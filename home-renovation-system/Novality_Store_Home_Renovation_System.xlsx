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0" lockWindows="0"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Projects" sheetId="3" state="visible" r:id="rId3"/>
    <sheet name="Rooms" sheetId="4" state="visible" r:id="rId4"/>
    <sheet name="Design Studio" sheetId="5" state="visible" r:id="rId5"/>
    <sheet name="AI Insights" sheetId="6" state="visible" r:id="rId6"/>
    <sheet name="Budget" sheetId="7" state="visible" r:id="rId7"/>
    <sheet name="Expenses" sheetId="8" state="visible" r:id="rId8"/>
    <sheet name="Finance" sheetId="9" state="visible" r:id="rId9"/>
    <sheet name="Contractors" sheetId="10" state="visible" r:id="rId10"/>
    <sheet name="Quotes" sheetId="11" state="visible" r:id="rId11"/>
    <sheet name="Jobs" sheetId="12" state="visible" r:id="rId12"/>
    <sheet name="Tasks" sheetId="13" state="visible" r:id="rId13"/>
    <sheet name="Timeline" sheetId="14" state="visible" r:id="rId14"/>
    <sheet name="Materials" sheetId="15" state="visible" r:id="rId15"/>
    <sheet name="Shopping List" sheetId="16" state="visible" r:id="rId16"/>
    <sheet name="Suppliers" sheetId="17" state="visible" r:id="rId17"/>
    <sheet name="Documents" sheetId="18" state="visible" r:id="rId18"/>
    <sheet name="Messages" sheetId="19" state="visible" r:id="rId19"/>
    <sheet name="Inventory" sheetId="20" state="visible" r:id="rId20"/>
    <sheet name="Maintenance" sheetId="21" state="visible" r:id="rId21"/>
    <sheet name="Inspections" sheetId="22" state="visible" r:id="rId22"/>
    <sheet name="Payments" sheetId="23" state="visible" r:id="rId23"/>
    <sheet name="Change Orders" sheetId="24" state="visible" r:id="rId24"/>
    <sheet name="Permits" sheetId="25" state="visible" r:id="rId25"/>
    <sheet name="Warranties" sheetId="26" state="visible" r:id="rId26"/>
    <sheet name="Calendar" sheetId="27" state="visible" r:id="rId27"/>
    <sheet name="Notifications" sheetId="28" state="visible" r:id="rId28"/>
    <sheet name="Users" sheetId="29" state="visible" r:id="rId29"/>
    <sheet name="Properties" sheetId="30" state="visible" r:id="rId30"/>
    <sheet name="Roles &amp; Permissions" sheetId="31" state="visible" r:id="rId31"/>
    <sheet name="Admin" sheetId="32" state="visible" r:id="rId32"/>
    <sheet name="Settings" sheetId="33" state="visible" r:id="rId33"/>
    <sheet name="Lookups" sheetId="34" state="visible" r:id="rId34"/>
    <sheet name="Audit Log" sheetId="35" state="visible" r:id="rId35"/>
  </sheets>
  <definedNames>
    <definedName name="Project_Status">Lookups!$A$5:$A$9</definedName>
    <definedName name="Project_Phase">Lookups!$B$5:$B$15</definedName>
    <definedName name="Room_Type">Lookups!$C$5:$C$22</definedName>
    <definedName name="Room_Status">Lookups!$D$5:$D$9</definedName>
    <definedName name="Design_Style">Lookups!$E$5:$E$14</definedName>
    <definedName name="Design_Item">Lookups!$F$5:$F$17</definedName>
    <definedName name="Budget_Category">Lookups!$G$5:$G$14</definedName>
    <definedName name="Expense_Status">Lookups!$H$5:$H$8</definedName>
    <definedName name="Payment_Method">Lookups!$I$5:$I$10</definedName>
    <definedName name="Trade">Lookups!$J$5:$J$21</definedName>
    <definedName name="Task_Status">Lookups!$K$5:$K$10</definedName>
    <definedName name="Priority">Lookups!$L$5:$L$8</definedName>
    <definedName name="Material_Status">Lookups!$M$5:$M$13</definedName>
    <definedName name="Doc_Category">Lookups!$N$5:$N$18</definedName>
    <definedName name="Role">Lookups!$O$5:$O$13</definedName>
    <definedName name="Quote_Status">Lookups!$P$5:$P$10</definedName>
    <definedName name="Job_Status">Lookups!$Q$5:$Q$10</definedName>
    <definedName name="Insp_Result">Lookups!$R$5:$R$8</definedName>
    <definedName name="Payment_Status">Lookups!$S$5:$S$9</definedName>
    <definedName name="CO_Status">Lookups!$T$5:$T$9</definedName>
    <definedName name="Permit_Status">Lookups!$U$5:$U$10</definedName>
    <definedName name="Maint_Status">Lookups!$V$5:$V$9</definedName>
    <definedName name="Insight_Severity">Lookups!$W$5:$W$8</definedName>
    <definedName name="Insight_Status">Lookups!$X$5:$X$9</definedName>
    <definedName name="Channel">Lookups!$Y$5:$Y$11</definedName>
    <definedName name="Currency">Lookups!$Z$5:$Z$11</definedName>
    <definedName name="Language">Lookups!$AA$5:$AA$11</definedName>
    <definedName name="Property_Type">Lookups!$AB$5:$AB$10</definedName>
    <definedName name="ActiveProject">Settings!$B$9</definedName>
    <definedName name="HomeownerName">Settings!$B$8</definedName>
    <definedName name="CurSym">Settings!$B$12</definedName>
    <definedName name="ContingencyPct">Settings!$B$14</definedName>
    <definedName name="AsOfDate">Settings!$B$16</definedName>
    <definedName name="ContingencyFloor">Settings!$B$22</definedName>
    <definedName name="OverrunAlert">Settings!$B$23</definedName>
    <definedName name="CompanyName">Settings!$B$5</definedName>
    <definedName name="TaxRate">Settings!$B$18</definedName>
    <definedName name="_xlnm.Print_Titles" localSheetId="0">'Start Here'!$1:$4</definedName>
    <definedName name="_xlnm.Print_Titles" localSheetId="1">'Dashboard'!$1:$4</definedName>
    <definedName name="_xlnm._FilterDatabase" localSheetId="2" hidden="1">'Projects'!$A$4:$U$6</definedName>
    <definedName name="_xlnm.Print_Titles" localSheetId="2">'Projects'!$1:$4</definedName>
    <definedName name="_xlnm._FilterDatabase" localSheetId="3" hidden="1">'Rooms'!$A$4:$U$13</definedName>
    <definedName name="_xlnm.Print_Titles" localSheetId="3">'Rooms'!$1:$4</definedName>
    <definedName name="_xlnm._FilterDatabase" localSheetId="4" hidden="1">'Design Studio'!$A$4:$M$17</definedName>
    <definedName name="_xlnm.Print_Titles" localSheetId="4">'Design Studio'!$1:$4</definedName>
    <definedName name="_xlnm._FilterDatabase" localSheetId="5" hidden="1">'AI Insights'!$A$4:$K$12</definedName>
    <definedName name="_xlnm.Print_Titles" localSheetId="5">'AI Insights'!$1:$4</definedName>
    <definedName name="_xlnm._FilterDatabase" localSheetId="6" hidden="1">'Budget'!$A$4:$L$41</definedName>
    <definedName name="_xlnm.Print_Titles" localSheetId="6">'Budget'!$1:$4</definedName>
    <definedName name="_xlnm._FilterDatabase" localSheetId="7" hidden="1">'Expenses'!$A$4:$L$39</definedName>
    <definedName name="_xlnm.Print_Titles" localSheetId="7">'Expenses'!$1:$4</definedName>
    <definedName name="_xlnm.Print_Titles" localSheetId="8">'Finance'!$1:$4</definedName>
    <definedName name="_xlnm._FilterDatabase" localSheetId="9" hidden="1">'Contractors'!$A$4:$S$15</definedName>
    <definedName name="_xlnm.Print_Titles" localSheetId="9">'Contractors'!$1:$4</definedName>
    <definedName name="_xlnm._FilterDatabase" localSheetId="10" hidden="1">'Quotes'!$A$4:$K$14</definedName>
    <definedName name="_xlnm.Print_Titles" localSheetId="10">'Quotes'!$1:$4</definedName>
    <definedName name="_xlnm._FilterDatabase" localSheetId="11" hidden="1">'Jobs'!$A$4:$N$14</definedName>
    <definedName name="_xlnm.Print_Titles" localSheetId="11">'Jobs'!$1:$4</definedName>
    <definedName name="_xlnm._FilterDatabase" localSheetId="12" hidden="1">'Tasks'!$A$4:$Q$34</definedName>
    <definedName name="_xlnm.Print_Titles" localSheetId="12">'Tasks'!$1:$4</definedName>
    <definedName name="_xlnm._FilterDatabase" localSheetId="13" hidden="1">'Timeline'!$A$4:$I$21</definedName>
    <definedName name="_xlnm.Print_Titles" localSheetId="13">'Timeline'!$1:$4</definedName>
    <definedName name="_xlnm._FilterDatabase" localSheetId="14" hidden="1">'Materials'!$A$4:$V$29</definedName>
    <definedName name="_xlnm.Print_Titles" localSheetId="14">'Materials'!$1:$4</definedName>
    <definedName name="_xlnm.Print_Titles" localSheetId="15">'Shopping List'!$1:$4</definedName>
    <definedName name="_xlnm._FilterDatabase" localSheetId="16" hidden="1">'Suppliers'!$A$4:$K$14</definedName>
    <definedName name="_xlnm.Print_Titles" localSheetId="16">'Suppliers'!$1:$4</definedName>
    <definedName name="_xlnm._FilterDatabase" localSheetId="17" hidden="1">'Documents'!$A$4:$N$20</definedName>
    <definedName name="_xlnm.Print_Titles" localSheetId="17">'Documents'!$1:$4</definedName>
    <definedName name="_xlnm._FilterDatabase" localSheetId="18" hidden="1">'Messages'!$A$4:$K$16</definedName>
    <definedName name="_xlnm.Print_Titles" localSheetId="18">'Messages'!$1:$4</definedName>
    <definedName name="_xlnm._FilterDatabase" localSheetId="19" hidden="1">'Inventory'!$A$4:$O$19</definedName>
    <definedName name="_xlnm.Print_Titles" localSheetId="19">'Inventory'!$1:$4</definedName>
    <definedName name="_xlnm._FilterDatabase" localSheetId="20" hidden="1">'Maintenance'!$A$4:$N$16</definedName>
    <definedName name="_xlnm.Print_Titles" localSheetId="20">'Maintenance'!$1:$4</definedName>
    <definedName name="_xlnm._FilterDatabase" localSheetId="21" hidden="1">'Inspections'!$A$4:$K$13</definedName>
    <definedName name="_xlnm.Print_Titles" localSheetId="21">'Inspections'!$1:$4</definedName>
    <definedName name="_xlnm._FilterDatabase" localSheetId="22" hidden="1">'Payments'!$A$4:$L$15</definedName>
    <definedName name="_xlnm.Print_Titles" localSheetId="22">'Payments'!$1:$4</definedName>
    <definedName name="_xlnm._FilterDatabase" localSheetId="23" hidden="1">'Change Orders'!$A$4:$J$9</definedName>
    <definedName name="_xlnm.Print_Titles" localSheetId="23">'Change Orders'!$1:$4</definedName>
    <definedName name="_xlnm._FilterDatabase" localSheetId="24" hidden="1">'Permits'!$A$4:$L$9</definedName>
    <definedName name="_xlnm.Print_Titles" localSheetId="24">'Permits'!$1:$4</definedName>
    <definedName name="_xlnm._FilterDatabase" localSheetId="25" hidden="1">'Warranties'!$A$4:$K$11</definedName>
    <definedName name="_xlnm.Print_Titles" localSheetId="25">'Warranties'!$1:$4</definedName>
    <definedName name="_xlnm._FilterDatabase" localSheetId="26" hidden="1">'Calendar'!$A$4:$G$19</definedName>
    <definedName name="_xlnm.Print_Titles" localSheetId="26">'Calendar'!$1:$4</definedName>
    <definedName name="_xlnm._FilterDatabase" localSheetId="27" hidden="1">'Notifications'!$A$4:$G$14</definedName>
    <definedName name="_xlnm.Print_Titles" localSheetId="27">'Notifications'!$1:$4</definedName>
    <definedName name="_xlnm._FilterDatabase" localSheetId="28" hidden="1">'Users'!$A$4:$I$13</definedName>
    <definedName name="_xlnm.Print_Titles" localSheetId="28">'Users'!$1:$4</definedName>
    <definedName name="_xlnm._FilterDatabase" localSheetId="29" hidden="1">'Properties'!$A$4:$R$6</definedName>
    <definedName name="_xlnm.Print_Titles" localSheetId="29">'Properties'!$1:$4</definedName>
    <definedName name="_xlnm.Print_Titles" localSheetId="30">'Roles &amp; Permissions'!$1:$4</definedName>
    <definedName name="_xlnm.Print_Titles" localSheetId="31">'Admin'!$1:$4</definedName>
    <definedName name="_xlnm.Print_Titles" localSheetId="32">'Settings'!$1:$4</definedName>
    <definedName name="_xlnm.Print_Titles" localSheetId="33">'Lookups'!$1:$4</definedName>
    <definedName name="_xlnm._FilterDatabase" localSheetId="34" hidden="1">'Audit Log'!$A$4:$G$14</definedName>
    <definedName name="_xlnm.Print_Titles" localSheetId="34">'Audit Log'!$1:$4</definedName>
  </definedNames>
  <calcPr calcId="124519" calcMode="auto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YYYY-MM-DD"/>
    <numFmt numFmtId="166" formatCode="&quot;$&quot;#,##0"/>
    <numFmt numFmtId="167" formatCode="0.0"/>
    <numFmt numFmtId="168" formatCode="0.0%"/>
    <numFmt numFmtId="169" formatCode="D-MMM"/>
    <numFmt numFmtId="170" formatCode="yyyy-mm-dd h:mm:ss"/>
  </numFmts>
  <fonts count="2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16352F"/>
      <sz val="10"/>
    </font>
    <font>
      <name val="Calibri"/>
      <b val="1"/>
      <color rgb="00FFFFFF"/>
      <sz val="9"/>
    </font>
    <font>
      <name val="Calibri"/>
      <color rgb="00202522"/>
      <sz val="10"/>
    </font>
    <font>
      <name val="Calibri"/>
      <i val="1"/>
      <color rgb="005C6560"/>
      <sz val="9"/>
    </font>
    <font>
      <name val="Calibri"/>
      <b val="1"/>
      <color rgb="00FFFFFF"/>
      <sz val="10"/>
    </font>
    <font>
      <name val="Calibri"/>
      <b val="1"/>
      <color rgb="0016352F"/>
      <sz val="10"/>
    </font>
    <font>
      <name val="Calibri"/>
      <color rgb="005C6560"/>
      <sz val="9"/>
    </font>
    <font>
      <name val="Calibri"/>
      <b val="1"/>
      <color rgb="00FFFFFF"/>
      <sz val="11"/>
    </font>
    <font>
      <name val="Calibri"/>
      <b val="1"/>
      <color rgb="0016352F"/>
      <sz val="9"/>
    </font>
    <font>
      <name val="Calibri"/>
      <b val="1"/>
      <color rgb="0016352F"/>
      <sz val="20"/>
    </font>
    <font>
      <name val="Calibri"/>
      <color rgb="005C6560"/>
      <sz val="8"/>
    </font>
    <font>
      <name val="Calibri"/>
      <b val="1"/>
      <color rgb="00C86B4A"/>
      <sz val="9"/>
    </font>
    <font>
      <name val="Calibri"/>
      <b val="1"/>
      <color rgb="00D99A3D"/>
      <sz val="9"/>
    </font>
    <font>
      <name val="Calibri"/>
      <b val="1"/>
      <color rgb="00719B7A"/>
      <sz val="9"/>
    </font>
    <font>
      <name val="Calibri"/>
      <b val="1"/>
      <color rgb="0016352F"/>
      <sz val="13"/>
    </font>
    <font>
      <name val="Calibri"/>
      <b val="1"/>
      <color rgb="00FFFFFF"/>
      <sz val="8"/>
    </font>
    <font>
      <name val="Calibri"/>
      <b val="1"/>
      <color rgb="005C6560"/>
      <sz val="10"/>
    </font>
    <font>
      <name val="Calibri"/>
      <b val="1"/>
      <color rgb="00C75C5C"/>
      <sz val="9"/>
    </font>
    <font>
      <name val="Calibri"/>
      <b val="1"/>
      <color rgb="004A6B73"/>
      <sz val="9"/>
    </font>
    <font>
      <name val="Calibri"/>
      <b val="1"/>
      <color rgb="0016352F"/>
      <sz val="16"/>
    </font>
    <font>
      <name val="Calibri"/>
      <color rgb="005C6560"/>
      <sz val="10"/>
    </font>
    <font>
      <name val="Calibri"/>
      <color rgb="00202522"/>
      <sz val="9"/>
    </font>
    <font>
      <name val="Calibri"/>
      <color rgb="00202522"/>
      <sz val="11"/>
    </font>
    <font>
      <name val="Calibri"/>
      <b val="1"/>
      <color rgb="00C86B4A"/>
      <sz val="10"/>
    </font>
    <font>
      <name val="Calibri"/>
      <b val="1"/>
      <color rgb="00202522"/>
      <sz val="9"/>
    </font>
  </fonts>
  <fills count="14">
    <fill>
      <patternFill/>
    </fill>
    <fill>
      <patternFill patternType="gray125"/>
    </fill>
    <fill>
      <patternFill patternType="solid">
        <fgColor rgb="00F8F6F1"/>
      </patternFill>
    </fill>
    <fill>
      <patternFill patternType="solid">
        <fgColor rgb="0016352F"/>
      </patternFill>
    </fill>
    <fill>
      <patternFill patternType="solid">
        <fgColor rgb="00E8DDCB"/>
      </patternFill>
    </fill>
    <fill>
      <patternFill patternType="solid">
        <fgColor rgb="00FFFFFF"/>
      </patternFill>
    </fill>
    <fill>
      <patternFill patternType="solid">
        <fgColor rgb="00F3EEE4"/>
      </patternFill>
    </fill>
    <fill>
      <patternFill patternType="solid">
        <fgColor rgb="00FFFCF7"/>
      </patternFill>
    </fill>
    <fill>
      <patternFill patternType="solid">
        <fgColor rgb="00F0EBE1"/>
      </patternFill>
    </fill>
    <fill>
      <patternFill patternType="solid">
        <fgColor rgb="00719B7A"/>
      </patternFill>
    </fill>
    <fill>
      <patternFill patternType="solid">
        <fgColor rgb="004A6B73"/>
      </patternFill>
    </fill>
    <fill>
      <patternFill patternType="solid">
        <fgColor rgb="00C86B4A"/>
      </patternFill>
    </fill>
    <fill>
      <patternFill patternType="solid">
        <fgColor rgb="00D99A3D"/>
      </patternFill>
    </fill>
    <fill>
      <patternFill patternType="solid">
        <fgColor rgb="00C75C5C"/>
      </patternFill>
    </fill>
  </fills>
  <borders count="16">
    <border>
      <left/>
      <right/>
      <top/>
      <bottom/>
      <diagonal/>
    </border>
    <border/>
    <border>
      <left style="thin">
        <color rgb="00E0D6C6"/>
      </left>
      <right style="thin">
        <color rgb="00E0D6C6"/>
      </right>
      <top style="thin">
        <color rgb="00E0D6C6"/>
      </top>
      <bottom style="thin">
        <color rgb="00E0D6C6"/>
      </bottom>
    </border>
    <border>
      <left style="thin">
        <color rgb="00D4C6AE"/>
      </left>
      <right style="thin">
        <color rgb="00D4C6AE"/>
      </right>
      <top style="thin">
        <color rgb="0016352F"/>
      </top>
      <bottom style="thin">
        <color rgb="00D4C6AE"/>
      </bottom>
    </border>
    <border>
      <left style="medium">
        <color rgb="0016352F"/>
      </left>
      <right style="thin">
        <color rgb="00D4C6AE"/>
      </right>
      <top style="thin">
        <color rgb="00D4C6AE"/>
      </top>
      <bottom style="thin">
        <color rgb="00D4C6AE"/>
      </bottom>
    </border>
    <border>
      <left style="thin">
        <color rgb="00D4C6AE"/>
      </left>
      <right style="thin">
        <color rgb="00D4C6AE"/>
      </right>
      <top style="thin">
        <color rgb="00E8DDCB"/>
      </top>
      <bottom style="thin">
        <color rgb="00D4C6AE"/>
      </bottom>
    </border>
    <border>
      <left style="thin">
        <color rgb="00D4C6AE"/>
      </left>
      <right style="thin">
        <color rgb="00D4C6AE"/>
      </right>
      <top style="thin">
        <color rgb="00C86B4A"/>
      </top>
      <bottom style="thin">
        <color rgb="00D4C6AE"/>
      </bottom>
    </border>
    <border>
      <left style="medium">
        <color rgb="00C86B4A"/>
      </left>
      <right style="thin">
        <color rgb="00D4C6AE"/>
      </right>
      <top style="thin">
        <color rgb="00D4C6AE"/>
      </top>
      <bottom style="thin">
        <color rgb="00D4C6AE"/>
      </bottom>
    </border>
    <border>
      <left style="thin">
        <color rgb="00D4C6AE"/>
      </left>
      <right style="thin">
        <color rgb="00D4C6AE"/>
      </right>
      <top style="thin">
        <color rgb="00D99A3D"/>
      </top>
      <bottom style="thin">
        <color rgb="00D4C6AE"/>
      </bottom>
    </border>
    <border>
      <left style="medium">
        <color rgb="00D99A3D"/>
      </left>
      <right style="thin">
        <color rgb="00D4C6AE"/>
      </right>
      <top style="thin">
        <color rgb="00D4C6AE"/>
      </top>
      <bottom style="thin">
        <color rgb="00D4C6AE"/>
      </bottom>
    </border>
    <border>
      <left style="thin">
        <color rgb="00D4C6AE"/>
      </left>
      <right style="thin">
        <color rgb="00D4C6AE"/>
      </right>
      <top style="thin">
        <color rgb="00719B7A"/>
      </top>
      <bottom style="thin">
        <color rgb="00D4C6AE"/>
      </bottom>
    </border>
    <border>
      <left style="medium">
        <color rgb="00719B7A"/>
      </left>
      <right style="thin">
        <color rgb="00D4C6AE"/>
      </right>
      <top style="thin">
        <color rgb="00D4C6AE"/>
      </top>
      <bottom style="thin">
        <color rgb="00D4C6AE"/>
      </bottom>
    </border>
    <border>
      <left style="thin">
        <color rgb="00D4C6AE"/>
      </left>
      <right style="thin">
        <color rgb="00D4C6AE"/>
      </right>
      <top style="thin">
        <color rgb="00C75C5C"/>
      </top>
      <bottom style="thin">
        <color rgb="00D4C6AE"/>
      </bottom>
    </border>
    <border>
      <left style="medium">
        <color rgb="00C75C5C"/>
      </left>
      <right style="thin">
        <color rgb="00D4C6AE"/>
      </right>
      <top style="thin">
        <color rgb="00D4C6AE"/>
      </top>
      <bottom style="thin">
        <color rgb="00D4C6AE"/>
      </bottom>
    </border>
    <border>
      <left style="thin">
        <color rgb="00D4C6AE"/>
      </left>
      <right style="thin">
        <color rgb="00D4C6AE"/>
      </right>
      <top style="thin">
        <color rgb="004A6B73"/>
      </top>
      <bottom style="thin">
        <color rgb="00D4C6AE"/>
      </bottom>
    </border>
    <border>
      <left style="medium">
        <color rgb="004A6B73"/>
      </left>
      <right style="thin">
        <color rgb="00D4C6AE"/>
      </right>
      <top style="thin">
        <color rgb="00D4C6AE"/>
      </top>
      <bottom style="thin">
        <color rgb="00D4C6AE"/>
      </bottom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0" fillId="2" borderId="1" pivotButton="0" quotePrefix="0" xfId="0"/>
    <xf numFmtId="0" fontId="11" fillId="2" borderId="1" applyAlignment="1" pivotButton="0" quotePrefix="0" xfId="0">
      <alignment horizontal="left" vertical="center"/>
    </xf>
    <xf numFmtId="0" fontId="24" fillId="2" borderId="1" applyAlignment="1" pivotButton="0" quotePrefix="0" xfId="0">
      <alignment horizontal="left" vertical="center" wrapText="1"/>
    </xf>
    <xf numFmtId="0" fontId="16" fillId="2" borderId="1" applyAlignment="1" pivotButton="0" quotePrefix="0" xfId="0">
      <alignment horizontal="left" vertical="center"/>
    </xf>
    <xf numFmtId="0" fontId="4" fillId="5" borderId="0" pivotButton="0" quotePrefix="0" xfId="0"/>
    <xf numFmtId="0" fontId="3" fillId="3" borderId="0" applyAlignment="1" pivotButton="0" quotePrefix="0" xfId="0">
      <alignment horizontal="center" vertical="center"/>
    </xf>
    <xf numFmtId="0" fontId="26" fillId="4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26" fillId="2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26" fillId="12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center" vertical="center"/>
    </xf>
    <xf numFmtId="0" fontId="26" fillId="8" borderId="0" applyAlignment="1" pivotButton="0" quotePrefix="0" xfId="0">
      <alignment horizontal="center" vertical="center"/>
    </xf>
    <xf numFmtId="0" fontId="3" fillId="3" borderId="0" pivotButton="0" quotePrefix="0" xfId="0"/>
    <xf numFmtId="0" fontId="25" fillId="5" borderId="2" pivotButton="0" quotePrefix="0" xfId="0"/>
    <xf numFmtId="0" fontId="23" fillId="5" borderId="2" pivotButton="0" quotePrefix="0" xfId="0"/>
    <xf numFmtId="0" fontId="25" fillId="6" borderId="2" pivotButton="0" quotePrefix="0" xfId="0"/>
    <xf numFmtId="0" fontId="23" fillId="6" borderId="2" pivotButton="0" quotePrefix="0" xfId="0"/>
    <xf numFmtId="0" fontId="4" fillId="5" borderId="0" applyAlignment="1" pivotButton="0" quotePrefix="0" xfId="0">
      <alignment horizontal="left" vertical="top" wrapText="1"/>
    </xf>
    <xf numFmtId="0" fontId="17" fillId="3" borderId="0" applyAlignment="1" pivotButton="0" quotePrefix="0" xfId="0">
      <alignment horizontal="center" vertical="center" wrapText="1"/>
    </xf>
    <xf numFmtId="0" fontId="17" fillId="11" borderId="0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left" vertical="center"/>
    </xf>
    <xf numFmtId="0" fontId="22" fillId="2" borderId="1" pivotButton="0" quotePrefix="0" xfId="0"/>
    <xf numFmtId="0" fontId="13" fillId="5" borderId="7" applyAlignment="1" pivotButton="0" quotePrefix="0" xfId="0">
      <alignment horizontal="left" vertical="center"/>
    </xf>
    <xf numFmtId="0" fontId="0" fillId="5" borderId="6" pivotButton="0" quotePrefix="0" xfId="0"/>
    <xf numFmtId="0" fontId="10" fillId="5" borderId="4" applyAlignment="1" pivotButton="0" quotePrefix="0" xfId="0">
      <alignment horizontal="left" vertical="center"/>
    </xf>
    <xf numFmtId="0" fontId="0" fillId="5" borderId="3" pivotButton="0" quotePrefix="0" xfId="0"/>
    <xf numFmtId="9" fontId="11" fillId="5" borderId="7" applyAlignment="1" pivotButton="0" quotePrefix="0" xfId="0">
      <alignment horizontal="left" vertical="center"/>
    </xf>
    <xf numFmtId="0" fontId="0" fillId="5" borderId="5" pivotButton="0" quotePrefix="0" xfId="0"/>
    <xf numFmtId="0" fontId="11" fillId="5" borderId="4" applyAlignment="1" pivotButton="0" quotePrefix="0" xfId="0">
      <alignment horizontal="left" vertical="center"/>
    </xf>
    <xf numFmtId="166" fontId="11" fillId="5" borderId="4" applyAlignment="1" pivotButton="0" quotePrefix="0" xfId="0">
      <alignment horizontal="left" vertical="center"/>
    </xf>
    <xf numFmtId="166" fontId="11" fillId="5" borderId="7" applyAlignment="1" pivotButton="0" quotePrefix="0" xfId="0">
      <alignment horizontal="left" vertical="center"/>
    </xf>
    <xf numFmtId="0" fontId="12" fillId="5" borderId="7" applyAlignment="1" pivotButton="0" quotePrefix="0" xfId="0">
      <alignment horizontal="left" vertical="center"/>
    </xf>
    <xf numFmtId="0" fontId="12" fillId="5" borderId="4" applyAlignment="1" pivotButton="0" quotePrefix="0" xfId="0">
      <alignment horizontal="left" vertical="center"/>
    </xf>
    <xf numFmtId="0" fontId="14" fillId="5" borderId="9" applyAlignment="1" pivotButton="0" quotePrefix="0" xfId="0">
      <alignment horizontal="left" vertical="center"/>
    </xf>
    <xf numFmtId="0" fontId="0" fillId="5" borderId="8" pivotButton="0" quotePrefix="0" xfId="0"/>
    <xf numFmtId="0" fontId="15" fillId="5" borderId="11" applyAlignment="1" pivotButton="0" quotePrefix="0" xfId="0">
      <alignment horizontal="left" vertical="center"/>
    </xf>
    <xf numFmtId="0" fontId="0" fillId="5" borderId="10" pivotButton="0" quotePrefix="0" xfId="0"/>
    <xf numFmtId="0" fontId="19" fillId="5" borderId="13" applyAlignment="1" pivotButton="0" quotePrefix="0" xfId="0">
      <alignment horizontal="left" vertical="center"/>
    </xf>
    <xf numFmtId="0" fontId="0" fillId="5" borderId="12" pivotButton="0" quotePrefix="0" xfId="0"/>
    <xf numFmtId="166" fontId="11" fillId="5" borderId="9" applyAlignment="1" pivotButton="0" quotePrefix="0" xfId="0">
      <alignment horizontal="left" vertical="center"/>
    </xf>
    <xf numFmtId="166" fontId="11" fillId="5" borderId="11" applyAlignment="1" pivotButton="0" quotePrefix="0" xfId="0">
      <alignment horizontal="left" vertical="center"/>
    </xf>
    <xf numFmtId="0" fontId="11" fillId="5" borderId="13" applyAlignment="1" pivotButton="0" quotePrefix="0" xfId="0">
      <alignment horizontal="left" vertical="center"/>
    </xf>
    <xf numFmtId="0" fontId="12" fillId="5" borderId="9" applyAlignment="1" pivotButton="0" quotePrefix="0" xfId="0">
      <alignment horizontal="left" vertical="center"/>
    </xf>
    <xf numFmtId="0" fontId="12" fillId="5" borderId="11" applyAlignment="1" pivotButton="0" quotePrefix="0" xfId="0">
      <alignment horizontal="left" vertical="center"/>
    </xf>
    <xf numFmtId="0" fontId="12" fillId="5" borderId="13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165" fontId="23" fillId="5" borderId="0" pivotButton="0" quotePrefix="0" xfId="0"/>
    <xf numFmtId="0" fontId="23" fillId="5" borderId="0" pivotButton="0" quotePrefix="0" xfId="0"/>
    <xf numFmtId="0" fontId="3" fillId="3" borderId="2" pivotButton="0" quotePrefix="0" xfId="0"/>
    <xf numFmtId="165" fontId="0" fillId="0" borderId="0" pivotButton="0" quotePrefix="0" xfId="0"/>
    <xf numFmtId="166" fontId="0" fillId="0" borderId="0" pivotButton="0" quotePrefix="0" xfId="0"/>
    <xf numFmtId="166" fontId="23" fillId="5" borderId="2" pivotButton="0" quotePrefix="0" xfId="0"/>
    <xf numFmtId="9" fontId="23" fillId="5" borderId="2" pivotButton="0" quotePrefix="0" xfId="0"/>
    <xf numFmtId="166" fontId="23" fillId="6" borderId="2" pivotButton="0" quotePrefix="0" xfId="0"/>
    <xf numFmtId="9" fontId="23" fillId="6" borderId="2" pivotButton="0" quotePrefix="0" xfId="0"/>
    <xf numFmtId="0" fontId="6" fillId="11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left" vertical="center" wrapText="1"/>
    </xf>
    <xf numFmtId="0" fontId="25" fillId="5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 wrapText="1"/>
    </xf>
    <xf numFmtId="0" fontId="4" fillId="5" borderId="2" applyAlignment="1" applyProtection="1" pivotButton="0" quotePrefix="0" xfId="0">
      <alignment horizontal="left" vertical="center"/>
      <protection locked="0" hidden="0"/>
    </xf>
    <xf numFmtId="0" fontId="4" fillId="5" borderId="2" applyAlignment="1" applyProtection="1" pivotButton="0" quotePrefix="0" xfId="0">
      <alignment horizontal="left" vertical="center" wrapText="1"/>
      <protection locked="0" hidden="0"/>
    </xf>
    <xf numFmtId="165" fontId="4" fillId="5" borderId="2" applyAlignment="1" applyProtection="1" pivotButton="0" quotePrefix="0" xfId="0">
      <alignment horizontal="left" vertical="center" wrapText="1"/>
      <protection locked="0" hidden="0"/>
    </xf>
    <xf numFmtId="165" fontId="4" fillId="5" borderId="2" applyAlignment="1" applyProtection="1" pivotButton="0" quotePrefix="0" xfId="0">
      <alignment horizontal="left" vertical="center"/>
      <protection locked="0" hidden="0"/>
    </xf>
    <xf numFmtId="166" fontId="4" fillId="5" borderId="2" applyAlignment="1" applyProtection="1" pivotButton="0" quotePrefix="0" xfId="0">
      <alignment horizontal="left" vertical="center"/>
      <protection locked="0" hidden="0"/>
    </xf>
    <xf numFmtId="9" fontId="4" fillId="5" borderId="2" applyAlignment="1" applyProtection="1" pivotButton="0" quotePrefix="0" xfId="0">
      <alignment horizontal="left" vertical="center" wrapText="1"/>
      <protection locked="0" hidden="0"/>
    </xf>
    <xf numFmtId="166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6" borderId="2" applyAlignment="1" applyProtection="1" pivotButton="0" quotePrefix="0" xfId="0">
      <alignment horizontal="left" vertical="center"/>
      <protection locked="0" hidden="0"/>
    </xf>
    <xf numFmtId="0" fontId="4" fillId="6" borderId="2" applyAlignment="1" applyProtection="1" pivotButton="0" quotePrefix="0" xfId="0">
      <alignment horizontal="left" vertical="center" wrapText="1"/>
      <protection locked="0" hidden="0"/>
    </xf>
    <xf numFmtId="165" fontId="4" fillId="6" borderId="2" applyAlignment="1" applyProtection="1" pivotButton="0" quotePrefix="0" xfId="0">
      <alignment horizontal="left" vertical="center" wrapText="1"/>
      <protection locked="0" hidden="0"/>
    </xf>
    <xf numFmtId="165" fontId="4" fillId="6" borderId="2" applyAlignment="1" applyProtection="1" pivotButton="0" quotePrefix="0" xfId="0">
      <alignment horizontal="left" vertical="center"/>
      <protection locked="0" hidden="0"/>
    </xf>
    <xf numFmtId="166" fontId="4" fillId="6" borderId="2" applyAlignment="1" applyProtection="1" pivotButton="0" quotePrefix="0" xfId="0">
      <alignment horizontal="left" vertical="center"/>
      <protection locked="0" hidden="0"/>
    </xf>
    <xf numFmtId="9" fontId="4" fillId="6" borderId="2" applyAlignment="1" applyProtection="1" pivotButton="0" quotePrefix="0" xfId="0">
      <alignment horizontal="left" vertical="center" wrapText="1"/>
      <protection locked="0" hidden="0"/>
    </xf>
    <xf numFmtId="0" fontId="0" fillId="2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66" fontId="4" fillId="5" borderId="2" applyAlignment="1" applyProtection="1" pivotButton="0" quotePrefix="0" xfId="0">
      <alignment horizontal="left" vertical="center" wrapText="1"/>
      <protection locked="0" hidden="0"/>
    </xf>
    <xf numFmtId="167" fontId="4" fillId="8" borderId="2" applyAlignment="1" pivotButton="0" quotePrefix="0" xfId="0">
      <alignment horizontal="left" vertical="center" wrapText="1"/>
    </xf>
    <xf numFmtId="166" fontId="4" fillId="8" borderId="2" applyAlignment="1" pivotButton="0" quotePrefix="0" xfId="0">
      <alignment horizontal="left" vertical="center"/>
    </xf>
    <xf numFmtId="168" fontId="4" fillId="8" borderId="2" applyAlignment="1" pivotButton="0" quotePrefix="0" xfId="0">
      <alignment horizontal="left" vertical="center"/>
    </xf>
    <xf numFmtId="166" fontId="4" fillId="6" borderId="2" applyAlignment="1" applyProtection="1" pivotButton="0" quotePrefix="0" xfId="0">
      <alignment horizontal="left" vertical="center" wrapText="1"/>
      <protection locked="0" hidden="0"/>
    </xf>
    <xf numFmtId="166" fontId="4" fillId="7" borderId="2" applyAlignment="1" pivotButton="0" quotePrefix="0" xfId="0">
      <alignment horizontal="left" vertical="center" wrapText="1"/>
    </xf>
    <xf numFmtId="166" fontId="4" fillId="8" borderId="2" applyAlignment="1" pivotButton="0" quotePrefix="0" xfId="0">
      <alignment horizontal="left" vertical="center" wrapText="1"/>
    </xf>
    <xf numFmtId="168" fontId="4" fillId="8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9" fillId="3" borderId="2" applyProtection="1" pivotButton="0" quotePrefix="0" xfId="0">
      <protection locked="0" hidden="0"/>
    </xf>
    <xf numFmtId="166" fontId="9" fillId="3" borderId="2" pivotButton="0" quotePrefix="0" xfId="0"/>
    <xf numFmtId="168" fontId="11" fillId="5" borderId="7" applyAlignment="1" pivotButton="0" quotePrefix="0" xfId="0">
      <alignment horizontal="left" vertical="center"/>
    </xf>
    <xf numFmtId="0" fontId="11" fillId="5" borderId="11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4" fillId="5" borderId="2" pivotButton="0" quotePrefix="0" xfId="0"/>
    <xf numFmtId="166" fontId="4" fillId="5" borderId="2" pivotButton="0" quotePrefix="0" xfId="0"/>
    <xf numFmtId="168" fontId="4" fillId="5" borderId="2" pivotButton="0" quotePrefix="0" xfId="0"/>
    <xf numFmtId="0" fontId="4" fillId="6" borderId="2" pivotButton="0" quotePrefix="0" xfId="0"/>
    <xf numFmtId="166" fontId="4" fillId="6" borderId="2" pivotButton="0" quotePrefix="0" xfId="0"/>
    <xf numFmtId="168" fontId="4" fillId="6" borderId="2" pivotButton="0" quotePrefix="0" xfId="0"/>
    <xf numFmtId="0" fontId="6" fillId="3" borderId="2" pivotButton="0" quotePrefix="0" xfId="0"/>
    <xf numFmtId="0" fontId="4" fillId="5" borderId="0" applyAlignment="1" pivotButton="0" quotePrefix="0" xfId="0">
      <alignment horizontal="left" vertical="center" wrapText="1"/>
    </xf>
    <xf numFmtId="9" fontId="4" fillId="5" borderId="2" applyAlignment="1" applyProtection="1" pivotButton="0" quotePrefix="0" xfId="0">
      <alignment horizontal="left" vertical="center"/>
      <protection locked="0" hidden="0"/>
    </xf>
    <xf numFmtId="9" fontId="7" fillId="8" borderId="2" applyAlignment="1" pivotButton="0" quotePrefix="0" xfId="0">
      <alignment horizontal="left" vertical="center"/>
    </xf>
    <xf numFmtId="9" fontId="4" fillId="6" borderId="2" applyAlignment="1" applyProtection="1" pivotButton="0" quotePrefix="0" xfId="0">
      <alignment horizontal="left" vertical="center"/>
      <protection locked="0" hidden="0"/>
    </xf>
    <xf numFmtId="9" fontId="4" fillId="8" borderId="2" applyAlignment="1" pivotButton="0" quotePrefix="0" xfId="0">
      <alignment horizontal="left" vertical="center"/>
    </xf>
    <xf numFmtId="0" fontId="10" fillId="0" borderId="0" pivotButton="0" quotePrefix="0" xfId="0"/>
    <xf numFmtId="169" fontId="17" fillId="3" borderId="2" applyAlignment="1" pivotButton="0" quotePrefix="0" xfId="0">
      <alignment horizontal="center" vertical="center"/>
    </xf>
    <xf numFmtId="3" fontId="4" fillId="8" borderId="2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4" fillId="7" borderId="2" pivotButton="0" quotePrefix="0" xfId="0"/>
    <xf numFmtId="0" fontId="5" fillId="2" borderId="1" applyAlignment="1" pivotButton="0" quotePrefix="0" xfId="0">
      <alignment horizontal="left" vertical="center" wrapText="1"/>
    </xf>
    <xf numFmtId="170" fontId="4" fillId="5" borderId="2" applyAlignment="1" applyProtection="1" pivotButton="0" quotePrefix="0" xfId="0">
      <alignment horizontal="left" vertical="center"/>
      <protection locked="0" hidden="0"/>
    </xf>
    <xf numFmtId="170" fontId="4" fillId="6" borderId="2" applyAlignment="1" applyProtection="1" pivotButton="0" quotePrefix="0" xfId="0">
      <alignment horizontal="left" vertical="center"/>
      <protection locked="0" hidden="0"/>
    </xf>
    <xf numFmtId="165" fontId="4" fillId="8" borderId="2" applyAlignment="1" pivotButton="0" quotePrefix="0" xfId="0">
      <alignment horizontal="left" vertical="center"/>
    </xf>
    <xf numFmtId="0" fontId="3" fillId="3" borderId="1" pivotButton="0" quotePrefix="0" xfId="0"/>
    <xf numFmtId="0" fontId="17" fillId="3" borderId="1" applyAlignment="1" pivotButton="0" quotePrefix="0" xfId="0">
      <alignment horizontal="center" vertical="center" wrapText="1"/>
    </xf>
    <xf numFmtId="0" fontId="10" fillId="5" borderId="2" pivotButton="0" quotePrefix="0" xfId="0"/>
    <xf numFmtId="0" fontId="6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18" fillId="4" borderId="2" applyAlignment="1" pivotButton="0" quotePrefix="0" xfId="0">
      <alignment horizontal="center" vertical="center"/>
    </xf>
    <xf numFmtId="0" fontId="10" fillId="6" borderId="2" pivotButton="0" quotePrefix="0" xfId="0"/>
    <xf numFmtId="0" fontId="6" fillId="11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center" vertical="center"/>
    </xf>
    <xf numFmtId="0" fontId="11" fillId="5" borderId="7" applyAlignment="1" pivotButton="0" quotePrefix="0" xfId="0">
      <alignment horizontal="left" vertical="center"/>
    </xf>
    <xf numFmtId="0" fontId="11" fillId="5" borderId="9" applyAlignment="1" pivotButton="0" quotePrefix="0" xfId="0">
      <alignment horizontal="left" vertical="center"/>
    </xf>
    <xf numFmtId="0" fontId="20" fillId="5" borderId="15" applyAlignment="1" pivotButton="0" quotePrefix="0" xfId="0">
      <alignment horizontal="left" vertical="center"/>
    </xf>
    <xf numFmtId="0" fontId="0" fillId="5" borderId="14" pivotButton="0" quotePrefix="0" xfId="0"/>
    <xf numFmtId="0" fontId="11" fillId="5" borderId="15" applyAlignment="1" pivotButton="0" quotePrefix="0" xfId="0">
      <alignment horizontal="left" vertical="center"/>
    </xf>
    <xf numFmtId="0" fontId="12" fillId="5" borderId="15" applyAlignment="1" pivotButton="0" quotePrefix="0" xfId="0">
      <alignment horizontal="left" vertical="center"/>
    </xf>
    <xf numFmtId="9" fontId="4" fillId="5" borderId="2" pivotButton="0" quotePrefix="0" xfId="0"/>
    <xf numFmtId="9" fontId="4" fillId="6" borderId="2" pivotButton="0" quotePrefix="0" xfId="0"/>
    <xf numFmtId="0" fontId="7" fillId="5" borderId="2" applyAlignment="1" pivotButton="0" quotePrefix="0" xfId="0">
      <alignment horizontal="left" vertical="center"/>
    </xf>
    <xf numFmtId="0" fontId="4" fillId="7" borderId="2" applyAlignment="1" applyProtection="1" pivotButton="0" quotePrefix="0" xfId="0">
      <alignment horizontal="left" vertical="center"/>
      <protection locked="0" hidden="0"/>
    </xf>
    <xf numFmtId="0" fontId="8" fillId="5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9" fontId="4" fillId="7" borderId="2" applyAlignment="1" applyProtection="1" pivotButton="0" quotePrefix="0" xfId="0">
      <alignment horizontal="left" vertical="center"/>
      <protection locked="0" hidden="0"/>
    </xf>
    <xf numFmtId="165" fontId="4" fillId="7" borderId="2" applyAlignment="1" applyProtection="1" pivotButton="0" quotePrefix="0" xfId="0">
      <alignment horizontal="left" vertical="center"/>
      <protection locked="0" hidden="0"/>
    </xf>
    <xf numFmtId="0" fontId="3" fillId="3" borderId="1" applyAlignment="1" pivotButton="0" quotePrefix="0" xfId="0">
      <alignment horizontal="center" vertical="center"/>
    </xf>
    <xf numFmtId="0" fontId="4" fillId="5" borderId="2" applyProtection="1" pivotButton="0" quotePrefix="0" xfId="0">
      <protection locked="0" hidden="0"/>
    </xf>
    <xf numFmtId="0" fontId="4" fillId="6" borderId="2" applyProtection="1" pivotButton="0" quotePrefix="0" xfId="0">
      <protection locked="0" hidden="0"/>
    </xf>
  </cellXfs>
  <cellStyles count="1">
    <cellStyle name="Normal" xfId="0" builtinId="0" hidden="0"/>
  </cellStyles>
  <dxfs count="14">
    <dxf>
      <font>
        <name val="Calibri"/>
        <b val="1"/>
        <color rgb="00202522"/>
        <sz val="10"/>
      </font>
      <fill>
        <patternFill patternType="solid">
          <fgColor rgb="00719B7A"/>
        </patternFill>
      </fill>
    </dxf>
    <dxf>
      <font>
        <name val="Calibri"/>
        <b val="1"/>
        <color rgb="00FFFFFF"/>
        <sz val="10"/>
      </font>
      <fill>
        <patternFill patternType="solid">
          <fgColor rgb="004A6B73"/>
        </patternFill>
      </fill>
    </dxf>
    <dxf>
      <font>
        <name val="Calibri"/>
        <b val="1"/>
        <color rgb="00202522"/>
        <sz val="10"/>
      </font>
      <fill>
        <patternFill patternType="solid">
          <fgColor rgb="00D99A3D"/>
        </patternFill>
      </fill>
    </dxf>
    <dxf>
      <font>
        <name val="Calibri"/>
        <b val="1"/>
        <color rgb="00FFFFFF"/>
        <sz val="10"/>
      </font>
      <fill>
        <patternFill patternType="solid">
          <fgColor rgb="0016352F"/>
        </patternFill>
      </fill>
    </dxf>
    <dxf>
      <font>
        <name val="Calibri"/>
        <b val="1"/>
        <color rgb="00FFFFFF"/>
        <sz val="10"/>
      </font>
      <fill>
        <patternFill patternType="solid">
          <fgColor rgb="00C75C5C"/>
        </patternFill>
      </fill>
    </dxf>
    <dxf>
      <font>
        <name val="Calibri"/>
        <b val="1"/>
        <color rgb="00719B7A"/>
        <sz val="10"/>
      </font>
      <fill>
        <patternFill patternType="solid">
          <fgColor rgb="00DCE8DE"/>
        </patternFill>
      </fill>
    </dxf>
    <dxf>
      <font>
        <name val="Calibri"/>
        <b val="1"/>
        <color rgb="00D99A3D"/>
        <sz val="10"/>
      </font>
      <fill>
        <patternFill patternType="solid">
          <fgColor rgb="00F6E6C6"/>
        </patternFill>
      </fill>
    </dxf>
    <dxf>
      <font>
        <name val="Calibri"/>
        <b val="1"/>
        <color rgb="00C75C5C"/>
        <sz val="10"/>
      </font>
      <fill>
        <patternFill patternType="solid">
          <fgColor rgb="00F3D6D6"/>
        </patternFill>
      </fill>
    </dxf>
    <dxf>
      <font>
        <name val="Calibri"/>
        <b val="1"/>
        <color rgb="00202522"/>
        <sz val="10"/>
      </font>
      <fill>
        <patternFill patternType="solid">
          <fgColor rgb="005C6560"/>
        </patternFill>
      </fill>
    </dxf>
    <dxf>
      <font>
        <name val="Calibri"/>
        <b val="1"/>
        <color rgb="00FFFFFF"/>
        <sz val="10"/>
      </font>
      <fill>
        <patternFill patternType="solid">
          <fgColor rgb="00C86B4A"/>
        </patternFill>
      </fill>
    </dxf>
    <dxf>
      <font>
        <name val="Calibri"/>
        <b val="1"/>
        <color rgb="00719B7A"/>
        <sz val="8"/>
      </font>
      <fill>
        <patternFill patternType="solid">
          <fgColor rgb="00719B7A"/>
        </patternFill>
      </fill>
    </dxf>
    <dxf>
      <font>
        <name val="Calibri"/>
        <b val="1"/>
        <color rgb="00C86B4A"/>
        <sz val="8"/>
      </font>
      <fill>
        <patternFill patternType="solid">
          <fgColor rgb="00C86B4A"/>
        </patternFill>
      </fill>
    </dxf>
    <dxf>
      <font>
        <name val="Calibri"/>
        <b val="1"/>
        <color rgb="00D4C6AE"/>
        <sz val="8"/>
      </font>
      <fill>
        <patternFill patternType="solid">
          <fgColor rgb="00D4C6AE"/>
        </patternFill>
      </fill>
    </dxf>
    <dxf>
      <font>
        <name val="Calibri"/>
        <b val="1"/>
        <color rgb="00FFFFFF"/>
        <sz val="8"/>
      </font>
      <fill>
        <patternFill patternType="solid">
          <fgColor rgb="00C86B4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Spent by category</a:t>
            </a:r>
          </a:p>
        </rich>
      </tx>
    </title>
    <plotArea>
      <pieChart>
        <varyColors val="1"/>
        <ser>
          <idx val="0"/>
          <order val="0"/>
          <tx>
            <strRef>
              <f>'Finance'!C14</f>
            </strRef>
          </tx>
          <spPr>
            <a:ln>
              <a:prstDash val="solid"/>
            </a:ln>
          </spPr>
          <cat>
            <numRef>
              <f>'Finance'!$A$15:$A$24</f>
            </numRef>
          </cat>
          <val>
            <numRef>
              <f>'Finance'!$C$15:$C$24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Planned vs spent vs committed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'Finance'!B14</f>
            </strRef>
          </tx>
          <spPr>
            <a:ln>
              <a:prstDash val="solid"/>
            </a:ln>
          </spPr>
          <cat>
            <numRef>
              <f>'Finance'!$A$15:$A$24</f>
            </numRef>
          </cat>
          <val>
            <numRef>
              <f>'Finance'!$B$15:$B$24</f>
            </numRef>
          </val>
        </ser>
        <ser>
          <idx val="1"/>
          <order val="1"/>
          <tx>
            <strRef>
              <f>'Finance'!C14</f>
            </strRef>
          </tx>
          <spPr>
            <a:ln>
              <a:prstDash val="solid"/>
            </a:ln>
          </spPr>
          <cat>
            <numRef>
              <f>'Finance'!$A$15:$A$24</f>
            </numRef>
          </cat>
          <val>
            <numRef>
              <f>'Finance'!$C$15:$C$24</f>
            </numRef>
          </val>
        </ser>
        <ser>
          <idx val="2"/>
          <order val="2"/>
          <tx>
            <strRef>
              <f>'Finance'!D14</f>
            </strRef>
          </tx>
          <spPr>
            <a:ln>
              <a:prstDash val="solid"/>
            </a:ln>
          </spPr>
          <cat>
            <numRef>
              <f>'Finance'!$A$15:$A$24</f>
            </numRef>
          </cat>
          <val>
            <numRef>
              <f>'Finance'!$D$15:$D$24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cash out (paid)</a:t>
            </a:r>
          </a:p>
        </rich>
      </tx>
    </title>
    <plotArea>
      <lineChart>
        <grouping val="standard"/>
        <ser>
          <idx val="0"/>
          <order val="0"/>
          <tx>
            <strRef>
              <f>'Finance'!B28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'Finance'!$A$29:$A$37</f>
            </numRef>
          </cat>
          <val>
            <numRef>
              <f>'Finance'!$B$29:$B$37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39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39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57</row>
      <rowOff>0</rowOff>
    </from>
    <ext cx="648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Messages'!A1" TargetMode="External" Id="rId2" /><Relationship Type="http://schemas.openxmlformats.org/officeDocument/2006/relationships/hyperlink" Target="#'Projects'!A1" TargetMode="External" Id="rId3" /><Relationship Type="http://schemas.openxmlformats.org/officeDocument/2006/relationships/hyperlink" Target="#'Inventory'!A1" TargetMode="External" Id="rId4" /><Relationship Type="http://schemas.openxmlformats.org/officeDocument/2006/relationships/hyperlink" Target="#'Rooms'!A1" TargetMode="External" Id="rId5" /><Relationship Type="http://schemas.openxmlformats.org/officeDocument/2006/relationships/hyperlink" Target="#'Maintenance'!A1" TargetMode="External" Id="rId6" /><Relationship Type="http://schemas.openxmlformats.org/officeDocument/2006/relationships/hyperlink" Target="#'Design Studio'!A1" TargetMode="External" Id="rId7" /><Relationship Type="http://schemas.openxmlformats.org/officeDocument/2006/relationships/hyperlink" Target="#'Inspections'!A1" TargetMode="External" Id="rId8" /><Relationship Type="http://schemas.openxmlformats.org/officeDocument/2006/relationships/hyperlink" Target="#'AI Insights'!A1" TargetMode="External" Id="rId9" /><Relationship Type="http://schemas.openxmlformats.org/officeDocument/2006/relationships/hyperlink" Target="#'Payments'!A1" TargetMode="External" Id="rId10" /><Relationship Type="http://schemas.openxmlformats.org/officeDocument/2006/relationships/hyperlink" Target="#'Budget'!A1" TargetMode="External" Id="rId11" /><Relationship Type="http://schemas.openxmlformats.org/officeDocument/2006/relationships/hyperlink" Target="#'Change Orders'!A1" TargetMode="External" Id="rId12" /><Relationship Type="http://schemas.openxmlformats.org/officeDocument/2006/relationships/hyperlink" Target="#'Expenses'!A1" TargetMode="External" Id="rId13" /><Relationship Type="http://schemas.openxmlformats.org/officeDocument/2006/relationships/hyperlink" Target="#'Permits'!A1" TargetMode="External" Id="rId14" /><Relationship Type="http://schemas.openxmlformats.org/officeDocument/2006/relationships/hyperlink" Target="#'Finance'!A1" TargetMode="External" Id="rId15" /><Relationship Type="http://schemas.openxmlformats.org/officeDocument/2006/relationships/hyperlink" Target="#'Warranties'!A1" TargetMode="External" Id="rId16" /><Relationship Type="http://schemas.openxmlformats.org/officeDocument/2006/relationships/hyperlink" Target="#'Contractors'!A1" TargetMode="External" Id="rId17" /><Relationship Type="http://schemas.openxmlformats.org/officeDocument/2006/relationships/hyperlink" Target="#'Calendar'!A1" TargetMode="External" Id="rId18" /><Relationship Type="http://schemas.openxmlformats.org/officeDocument/2006/relationships/hyperlink" Target="#'Quotes'!A1" TargetMode="External" Id="rId19" /><Relationship Type="http://schemas.openxmlformats.org/officeDocument/2006/relationships/hyperlink" Target="#'Notifications'!A1" TargetMode="External" Id="rId20" /><Relationship Type="http://schemas.openxmlformats.org/officeDocument/2006/relationships/hyperlink" Target="#'Jobs'!A1" TargetMode="External" Id="rId21" /><Relationship Type="http://schemas.openxmlformats.org/officeDocument/2006/relationships/hyperlink" Target="#'Users'!A1" TargetMode="External" Id="rId22" /><Relationship Type="http://schemas.openxmlformats.org/officeDocument/2006/relationships/hyperlink" Target="#'Tasks'!A1" TargetMode="External" Id="rId23" /><Relationship Type="http://schemas.openxmlformats.org/officeDocument/2006/relationships/hyperlink" Target="#'Properties'!A1" TargetMode="External" Id="rId24" /><Relationship Type="http://schemas.openxmlformats.org/officeDocument/2006/relationships/hyperlink" Target="#'Timeline'!A1" TargetMode="External" Id="rId25" /><Relationship Type="http://schemas.openxmlformats.org/officeDocument/2006/relationships/hyperlink" Target="#'Admin'!A1" TargetMode="External" Id="rId26" /><Relationship Type="http://schemas.openxmlformats.org/officeDocument/2006/relationships/hyperlink" Target="#'Materials'!A1" TargetMode="External" Id="rId27" /><Relationship Type="http://schemas.openxmlformats.org/officeDocument/2006/relationships/hyperlink" Target="#'Settings'!A1" TargetMode="External" Id="rId28" /><Relationship Type="http://schemas.openxmlformats.org/officeDocument/2006/relationships/hyperlink" Target="#'Shopping List'!A1" TargetMode="External" Id="rId29" /><Relationship Type="http://schemas.openxmlformats.org/officeDocument/2006/relationships/hyperlink" Target="#'Lookups'!A1" TargetMode="External" Id="rId30" /><Relationship Type="http://schemas.openxmlformats.org/officeDocument/2006/relationships/hyperlink" Target="#'Suppliers'!A1" TargetMode="External" Id="rId31" /><Relationship Type="http://schemas.openxmlformats.org/officeDocument/2006/relationships/hyperlink" Target="#'Audit Log'!A1" TargetMode="External" Id="rId32" /><Relationship Type="http://schemas.openxmlformats.org/officeDocument/2006/relationships/hyperlink" Target="#'Documents'!A1" TargetMode="External" Id="rId33" /><Relationship Type="http://schemas.openxmlformats.org/officeDocument/2006/relationships/hyperlink" Target="#'Roles &amp; Permissions'!A1" TargetMode="External" Id="rId34" /></Relationships>
</file>

<file path=xl/worksheets/_rels/sheet2.xml.rels><Relationships xmlns="http://schemas.openxmlformats.org/package/2006/relationships"><Relationship Type="http://schemas.openxmlformats.org/officeDocument/2006/relationships/hyperlink" Target="#'Projects'!A1" TargetMode="External" Id="rId1" /><Relationship Type="http://schemas.openxmlformats.org/officeDocument/2006/relationships/hyperlink" Target="#'Rooms'!A1" TargetMode="External" Id="rId2" /><Relationship Type="http://schemas.openxmlformats.org/officeDocument/2006/relationships/hyperlink" Target="#'Design Studio'!A1" TargetMode="External" Id="rId3" /><Relationship Type="http://schemas.openxmlformats.org/officeDocument/2006/relationships/hyperlink" Target="#'Budget'!A1" TargetMode="External" Id="rId4" /><Relationship Type="http://schemas.openxmlformats.org/officeDocument/2006/relationships/hyperlink" Target="#'Contractors'!A1" TargetMode="External" Id="rId5" /><Relationship Type="http://schemas.openxmlformats.org/officeDocument/2006/relationships/hyperlink" Target="#'Materials'!A1" TargetMode="External" Id="rId6" /><Relationship Type="http://schemas.openxmlformats.org/officeDocument/2006/relationships/hyperlink" Target="#'Tasks'!A1" TargetMode="External" Id="rId7" /><Relationship Type="http://schemas.openxmlformats.org/officeDocument/2006/relationships/hyperlink" Target="#'Messages'!A1" TargetMode="External" Id="rId8" /><Relationship Type="http://schemas.openxmlformats.org/officeDocument/2006/relationships/hyperlink" Target="#'Documents'!A1" TargetMode="External" Id="rId9" /><Relationship Type="http://schemas.openxmlformats.org/officeDocument/2006/relationships/hyperlink" Target="#'Inventory'!A1" TargetMode="External" Id="rId10" /><Relationship Type="http://schemas.openxmlformats.org/officeDocument/2006/relationships/hyperlink" Target="#'Maintenance'!A1" TargetMode="External" Id="rId11" /><Relationship Type="http://schemas.openxmlformats.org/officeDocument/2006/relationships/hyperlink" Target="#'Admin'!A1" TargetMode="External" Id="rId12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C86B4A"/>
    <outlinePr summaryBelow="1" summaryRight="1"/>
    <pageSetUpPr fitToPage="1"/>
  </sheetPr>
  <dimension ref="A1:J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  <col width="16" customWidth="1" min="5" max="5"/>
    <col width="22" customWidth="1" min="6" max="6"/>
    <col width="18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START HERE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8" customHeight="1">
      <c r="A2" s="3" t="inlineStr">
        <is>
          <t>Read this first  ·  then open Dashboard  ·  upload this file to Google Drive to get a Google Sheet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>
      <c r="A4" s="6" t="inlineStr">
        <is>
          <t>Novality Store  ·  Home Renovation Management System</t>
        </is>
      </c>
    </row>
    <row r="5" ht="22" customHeight="1">
      <c r="A5" s="7" t="inlineStr">
        <is>
          <t>A digital twin of the home: every room, material, contractor, expense, document, task, photo, warranty and maintenance activity is connected to a place in the house. This workbook is the complete operating system for a renovation — from first idea through handover and aftercare.</t>
        </is>
      </c>
    </row>
    <row r="6" ht="22" customHeight="1"/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8" t="inlineStr">
        <is>
          <t>How to use (Excel)</t>
        </is>
      </c>
      <c r="B8" s="5" t="n"/>
      <c r="C8" s="5" t="n"/>
      <c r="D8" s="5" t="n"/>
      <c r="E8" s="5" t="n"/>
      <c r="F8" s="8" t="inlineStr">
        <is>
          <t>How to use (Google Sheets)</t>
        </is>
      </c>
      <c r="G8" s="5" t="n"/>
      <c r="H8" s="5" t="n"/>
      <c r="I8" s="5" t="n"/>
      <c r="J8" s="5" t="n"/>
    </row>
    <row r="9" ht="18" customHeight="1">
      <c r="A9" s="9" t="inlineStr">
        <is>
          <t>1. Enable editing / calculation (Formulas → Automatic).</t>
        </is>
      </c>
      <c r="F9" s="9" t="inlineStr">
        <is>
          <t>1. Upload this .xlsx to Google Drive → Open with Google Sheets.</t>
        </is>
      </c>
    </row>
    <row r="10" ht="18" customHeight="1">
      <c r="A10" s="9" t="inlineStr">
        <is>
          <t>2. Open Settings. Set Active Project ID (PRJ-001 or PRJ-002).</t>
        </is>
      </c>
      <c r="F10" s="9" t="inlineStr">
        <is>
          <t>2. File → Save as Google Sheets (keeps formulas, colors, charts).</t>
        </is>
      </c>
    </row>
    <row r="11" ht="18" customHeight="1">
      <c r="A11" s="9" t="inlineStr">
        <is>
          <t>3. Work in the yellow-ivory input cells. Grey-sand cells are formulas — don't type over them.</t>
        </is>
      </c>
      <c r="F11" s="9" t="inlineStr">
        <is>
          <t>3. Extensions → Apps Script → paste google_apps_script/Code.gs.</t>
        </is>
      </c>
    </row>
    <row r="12" ht="18" customHeight="1">
      <c r="A12" s="9" t="inlineStr">
        <is>
          <t>4. Add rows above the last data row; copy the formula cells down.</t>
        </is>
      </c>
      <c r="F12" s="9" t="inlineStr">
        <is>
          <t>4. Reload the sheet. A “Novality Store” menu appears.</t>
        </is>
      </c>
    </row>
    <row r="13" ht="18" customHeight="1">
      <c r="A13" s="9" t="inlineStr">
        <is>
          <t>5. Use column filters on every register. Status columns are color-coded.</t>
        </is>
      </c>
      <c r="F13" s="9" t="inlineStr">
        <is>
          <t>5. Formula cells stay locked in Excel. Google Sheets: Data → Protect sheets.</t>
        </is>
      </c>
    </row>
    <row r="14" ht="18" customHeight="1">
      <c r="A14" s="9" t="inlineStr">
        <is>
          <t>6. Dashboard, Finance and Admin recalculate from the registers.</t>
        </is>
      </c>
      <c r="F14" s="9" t="inlineStr">
        <is>
          <t>6. Share with contractors as Commenter or custom-filtered views.</t>
        </is>
      </c>
    </row>
    <row r="15" ht="18" customHeight="1">
      <c r="A15" s="9" t="inlineStr">
        <is>
          <t>7. File → Print uses tabloid landscape and branded headers.</t>
        </is>
      </c>
      <c r="F15" s="9" t="inlineStr">
        <is>
          <t>7. Optional: File → Download to keep an Excel archive.</t>
        </is>
      </c>
    </row>
    <row r="16"/>
    <row r="17"/>
    <row r="18">
      <c r="A18" s="8" t="inlineStr">
        <is>
          <t>Color system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</row>
    <row r="19" ht="22" customHeight="1">
      <c r="A19" s="10" t="inlineStr">
        <is>
          <t>Primary  #16352F  Forest</t>
        </is>
      </c>
      <c r="C19" s="11" t="inlineStr">
        <is>
          <t>Secondary  #E8DDCB  Sand</t>
        </is>
      </c>
      <c r="E19" s="12" t="inlineStr">
        <is>
          <t>Accent  #C86B4A  Terracotta</t>
        </is>
      </c>
      <c r="G19" s="13" t="inlineStr">
        <is>
          <t>Background  #F8F6F1  Ivory</t>
        </is>
      </c>
    </row>
    <row r="20" ht="22" customHeight="1">
      <c r="A20" s="14" t="inlineStr">
        <is>
          <t>Success  #719B7A  Sage</t>
        </is>
      </c>
      <c r="C20" s="15" t="inlineStr">
        <is>
          <t>Warning  #D99A3D  Amber</t>
        </is>
      </c>
      <c r="E20" s="16" t="inlineStr">
        <is>
          <t>Danger  #C75C5C  Muted red</t>
        </is>
      </c>
      <c r="G20" s="17" t="inlineStr">
        <is>
          <t>Formula cells  (do not type)</t>
        </is>
      </c>
    </row>
    <row r="21"/>
    <row r="22">
      <c r="A22" s="8" t="inlineStr">
        <is>
          <t>Module index  (click to jump)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18" t="inlineStr">
        <is>
          <t>Sheet</t>
        </is>
      </c>
      <c r="B23" s="18" t="inlineStr">
        <is>
          <t>What it holds</t>
        </is>
      </c>
      <c r="F23" s="18" t="inlineStr">
        <is>
          <t>Sheet</t>
        </is>
      </c>
      <c r="G23" s="18" t="inlineStr">
        <is>
          <t>What it holds</t>
        </is>
      </c>
    </row>
    <row r="24">
      <c r="A24" s="19" t="inlineStr">
        <is>
          <t>Dashboard</t>
        </is>
      </c>
      <c r="B24" s="20" t="inlineStr">
        <is>
          <t>Homeowner overview, KPIs, alerts, next tasks</t>
        </is>
      </c>
      <c r="F24" s="21" t="inlineStr">
        <is>
          <t>Messages</t>
        </is>
      </c>
      <c r="G24" s="22" t="inlineStr">
        <is>
          <t>Threaded communication log</t>
        </is>
      </c>
    </row>
    <row r="25">
      <c r="A25" s="21" t="inlineStr">
        <is>
          <t>Projects</t>
        </is>
      </c>
      <c r="B25" s="22" t="inlineStr">
        <is>
          <t>Multi-project register with live spend</t>
        </is>
      </c>
      <c r="F25" s="19" t="inlineStr">
        <is>
          <t>Inventory</t>
        </is>
      </c>
      <c r="G25" s="20" t="inlineStr">
        <is>
          <t>Home contents for insurance</t>
        </is>
      </c>
    </row>
    <row r="26">
      <c r="A26" s="19" t="inlineStr">
        <is>
          <t>Rooms</t>
        </is>
      </c>
      <c r="B26" s="20" t="inlineStr">
        <is>
          <t>Spaces, measurements, budgets, photos</t>
        </is>
      </c>
      <c r="F26" s="21" t="inlineStr">
        <is>
          <t>Maintenance</t>
        </is>
      </c>
      <c r="G26" s="22" t="inlineStr">
        <is>
          <t>Aftercare hub + reminders</t>
        </is>
      </c>
    </row>
    <row r="27">
      <c r="A27" s="21" t="inlineStr">
        <is>
          <t>Design Studio</t>
        </is>
      </c>
      <c r="B27" s="22" t="inlineStr">
        <is>
          <t>Mood boards, palettes, 2D/3D, AI concepts</t>
        </is>
      </c>
      <c r="F27" s="19" t="inlineStr">
        <is>
          <t>Inspections</t>
        </is>
      </c>
      <c r="G27" s="20" t="inlineStr">
        <is>
          <t>City and independent</t>
        </is>
      </c>
    </row>
    <row r="28">
      <c r="A28" s="19" t="inlineStr">
        <is>
          <t>AI Insights</t>
        </is>
      </c>
      <c r="B28" s="20" t="inlineStr">
        <is>
          <t>Assistant recommendations and savings</t>
        </is>
      </c>
      <c r="F28" s="21" t="inlineStr">
        <is>
          <t>Payments</t>
        </is>
      </c>
      <c r="G28" s="22" t="inlineStr">
        <is>
          <t>Draws and aging</t>
        </is>
      </c>
    </row>
    <row r="29">
      <c r="A29" s="21" t="inlineStr">
        <is>
          <t>Budget</t>
        </is>
      </c>
      <c r="B29" s="22" t="inlineStr">
        <is>
          <t>Category + room plan vs actual</t>
        </is>
      </c>
      <c r="F29" s="19" t="inlineStr">
        <is>
          <t>Change Orders</t>
        </is>
      </c>
      <c r="G29" s="20" t="inlineStr">
        <is>
          <t>Scope / cost / schedule deltas</t>
        </is>
      </c>
    </row>
    <row r="30">
      <c r="A30" s="19" t="inlineStr">
        <is>
          <t>Expenses</t>
        </is>
      </c>
      <c r="B30" s="20" t="inlineStr">
        <is>
          <t>Transaction log (Planned / Committed / Paid)</t>
        </is>
      </c>
      <c r="F30" s="21" t="inlineStr">
        <is>
          <t>Permits</t>
        </is>
      </c>
      <c r="G30" s="22" t="inlineStr">
        <is>
          <t>Authorities and expirations</t>
        </is>
      </c>
    </row>
    <row r="31">
      <c r="A31" s="21" t="inlineStr">
        <is>
          <t>Finance</t>
        </is>
      </c>
      <c r="B31" s="22" t="inlineStr">
        <is>
          <t>Charts, monthly cash, smart alerts</t>
        </is>
      </c>
      <c r="F31" s="19" t="inlineStr">
        <is>
          <t>Warranties</t>
        </is>
      </c>
      <c r="G31" s="20" t="inlineStr">
        <is>
          <t>Labor and product coverage</t>
        </is>
      </c>
    </row>
    <row r="32">
      <c r="A32" s="19" t="inlineStr">
        <is>
          <t>Contractors</t>
        </is>
      </c>
      <c r="B32" s="20" t="inlineStr">
        <is>
          <t>Profiles + Quality / On-time / Budget / Comms score</t>
        </is>
      </c>
      <c r="F32" s="21" t="inlineStr">
        <is>
          <t>Calendar</t>
        </is>
      </c>
      <c r="G32" s="22" t="inlineStr">
        <is>
          <t>Visits and deadlines</t>
        </is>
      </c>
    </row>
    <row r="33">
      <c r="A33" s="21" t="inlineStr">
        <is>
          <t>Quotes</t>
        </is>
      </c>
      <c r="B33" s="22" t="inlineStr">
        <is>
          <t>Bid comparison and award</t>
        </is>
      </c>
      <c r="F33" s="19" t="inlineStr">
        <is>
          <t>Notifications</t>
        </is>
      </c>
      <c r="G33" s="20" t="inlineStr">
        <is>
          <t>Alert queue</t>
        </is>
      </c>
    </row>
    <row r="34">
      <c r="A34" s="19" t="inlineStr">
        <is>
          <t>Jobs</t>
        </is>
      </c>
      <c r="B34" s="20" t="inlineStr">
        <is>
          <t>Assignments, milestones, balances</t>
        </is>
      </c>
      <c r="F34" s="21" t="inlineStr">
        <is>
          <t>Users</t>
        </is>
      </c>
      <c r="G34" s="22" t="inlineStr">
        <is>
          <t>Nine roles</t>
        </is>
      </c>
    </row>
    <row r="35">
      <c r="A35" s="21" t="inlineStr">
        <is>
          <t>Tasks</t>
        </is>
      </c>
      <c r="B35" s="22" t="inlineStr">
        <is>
          <t>Kanban fields + health + dependencies</t>
        </is>
      </c>
      <c r="F35" s="19" t="inlineStr">
        <is>
          <t>Properties</t>
        </is>
      </c>
      <c r="G35" s="20" t="inlineStr">
        <is>
          <t>Multi-home digital twin</t>
        </is>
      </c>
    </row>
    <row r="36">
      <c r="A36" s="19" t="inlineStr">
        <is>
          <t>Timeline</t>
        </is>
      </c>
      <c r="B36" s="20" t="inlineStr">
        <is>
          <t>Phase Gantt (weekly)</t>
        </is>
      </c>
      <c r="F36" s="21" t="inlineStr">
        <is>
          <t>Admin</t>
        </is>
      </c>
      <c r="G36" s="22" t="inlineStr">
        <is>
          <t>Portfolio analytics</t>
        </is>
      </c>
    </row>
    <row r="37">
      <c r="A37" s="21" t="inlineStr">
        <is>
          <t>Materials</t>
        </is>
      </c>
      <c r="B37" s="22" t="inlineStr">
        <is>
          <t>Procurement pipeline + QR / SKU</t>
        </is>
      </c>
      <c r="F37" s="19" t="inlineStr">
        <is>
          <t>Settings</t>
        </is>
      </c>
      <c r="G37" s="20" t="inlineStr">
        <is>
          <t>Currency, thresholds, brand</t>
        </is>
      </c>
    </row>
    <row r="38">
      <c r="A38" s="19" t="inlineStr">
        <is>
          <t>Shopping List</t>
        </is>
      </c>
      <c r="B38" s="20" t="inlineStr">
        <is>
          <t>Auto list of items still to buy</t>
        </is>
      </c>
      <c r="F38" s="21" t="inlineStr">
        <is>
          <t>Lookups</t>
        </is>
      </c>
      <c r="G38" s="22" t="inlineStr">
        <is>
          <t>Dropdown lists</t>
        </is>
      </c>
    </row>
    <row r="39">
      <c r="A39" s="21" t="inlineStr">
        <is>
          <t>Suppliers</t>
        </is>
      </c>
      <c r="B39" s="22" t="inlineStr">
        <is>
          <t>Lead times and terms</t>
        </is>
      </c>
      <c r="F39" s="19" t="inlineStr">
        <is>
          <t>Audit Log</t>
        </is>
      </c>
      <c r="G39" s="20" t="inlineStr">
        <is>
          <t>Who changed what</t>
        </is>
      </c>
    </row>
    <row r="40">
      <c r="A40" s="19" t="inlineStr">
        <is>
          <t>Documents</t>
        </is>
      </c>
      <c r="B40" s="20" t="inlineStr">
        <is>
          <t>Project vault + expiry alerts</t>
        </is>
      </c>
      <c r="F40" s="21" t="inlineStr">
        <is>
          <t>Roles &amp; Permissions</t>
        </is>
      </c>
      <c r="G40" s="22" t="inlineStr">
        <is>
          <t>Matrix of who can do what</t>
        </is>
      </c>
    </row>
    <row r="41"/>
    <row r="42"/>
    <row r="43">
      <c r="A43" s="8" t="inlineStr">
        <is>
          <t>Sample story already loaded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23" t="inlineStr">
        <is>
          <t>Alex Rivera is renovating 1847 Maplewood Drive, Portland (PRJ-001, $85,000, 72% complete, Construction phase). Kitchen boxes are going in this week; primary bath is on punch list after an AI-led swap from marble to porcelain (about 18% saved on that category). Contingency has dipped under 10%, so the exterior water feature is on hold. A second property — the Columbia Gorge cabin bath (PRJ-002) — is in design so you can see multi-property. Today in the file is 24 August 2026. Change Settings → Today if you reopen this later.</t>
        </is>
      </c>
    </row>
    <row r="45"/>
    <row r="46"/>
    <row r="47"/>
    <row r="48"/>
    <row r="49">
      <c r="A49" s="8" t="inlineStr">
        <is>
          <t>Roles in this system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</row>
    <row r="50" ht="28" customHeight="1">
      <c r="A50" s="24" t="inlineStr">
        <is>
          <t>Homeowner</t>
        </is>
      </c>
      <c r="B50" s="25" t="inlineStr">
        <is>
          <t>Admin</t>
        </is>
      </c>
      <c r="C50" s="24" t="inlineStr">
        <is>
          <t>Project Manager</t>
        </is>
      </c>
      <c r="D50" s="25" t="inlineStr">
        <is>
          <t>Interior Designer</t>
        </is>
      </c>
      <c r="E50" s="24" t="inlineStr">
        <is>
          <t>Contractor</t>
        </is>
      </c>
      <c r="F50" s="25" t="inlineStr">
        <is>
          <t>Subcontractor</t>
        </is>
      </c>
      <c r="G50" s="24" t="inlineStr">
        <is>
          <t>Supplier</t>
        </is>
      </c>
      <c r="H50" s="25" t="inlineStr">
        <is>
          <t>Inspector</t>
        </is>
      </c>
      <c r="I50" s="24" t="inlineStr">
        <is>
          <t>Accountant</t>
        </is>
      </c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mergeCells count="69">
    <mergeCell ref="B40:E40"/>
    <mergeCell ref="A8:D8"/>
    <mergeCell ref="F11:J11"/>
    <mergeCell ref="G26:J26"/>
    <mergeCell ref="A15:E15"/>
    <mergeCell ref="B37:E37"/>
    <mergeCell ref="G35:J35"/>
    <mergeCell ref="F10:J10"/>
    <mergeCell ref="B30:E30"/>
    <mergeCell ref="A11:E11"/>
    <mergeCell ref="A18:I18"/>
    <mergeCell ref="A4:J4"/>
    <mergeCell ref="B33:E33"/>
    <mergeCell ref="B24:E24"/>
    <mergeCell ref="G29:J29"/>
    <mergeCell ref="G25:J25"/>
    <mergeCell ref="B36:E36"/>
    <mergeCell ref="G32:J32"/>
    <mergeCell ref="B32:E32"/>
    <mergeCell ref="C20:D20"/>
    <mergeCell ref="B26:E26"/>
    <mergeCell ref="G40:J40"/>
    <mergeCell ref="E20:F20"/>
    <mergeCell ref="F15:J15"/>
    <mergeCell ref="B35:E35"/>
    <mergeCell ref="G31:J31"/>
    <mergeCell ref="F12:J12"/>
    <mergeCell ref="E19:F19"/>
    <mergeCell ref="G19:H19"/>
    <mergeCell ref="B25:E25"/>
    <mergeCell ref="A22:I22"/>
    <mergeCell ref="G27:J27"/>
    <mergeCell ref="G36:J36"/>
    <mergeCell ref="B31:E31"/>
    <mergeCell ref="A1:J1"/>
    <mergeCell ref="A12:E12"/>
    <mergeCell ref="B27:E27"/>
    <mergeCell ref="A5:J6"/>
    <mergeCell ref="A43:I43"/>
    <mergeCell ref="G23:J23"/>
    <mergeCell ref="G39:J39"/>
    <mergeCell ref="G33:J33"/>
    <mergeCell ref="B39:E39"/>
    <mergeCell ref="G38:J38"/>
    <mergeCell ref="A14:E14"/>
    <mergeCell ref="F13:J13"/>
    <mergeCell ref="G37:J37"/>
    <mergeCell ref="G28:J28"/>
    <mergeCell ref="F9:J9"/>
    <mergeCell ref="A20:B20"/>
    <mergeCell ref="G20:H20"/>
    <mergeCell ref="B23:E23"/>
    <mergeCell ref="A49:I49"/>
    <mergeCell ref="A44:J47"/>
    <mergeCell ref="F8:I8"/>
    <mergeCell ref="A10:E10"/>
    <mergeCell ref="A19:B19"/>
    <mergeCell ref="C19:D19"/>
    <mergeCell ref="B38:E38"/>
    <mergeCell ref="G34:J34"/>
    <mergeCell ref="B29:E29"/>
    <mergeCell ref="G24:J24"/>
    <mergeCell ref="G30:J30"/>
    <mergeCell ref="A13:E13"/>
    <mergeCell ref="A2:J2"/>
    <mergeCell ref="F14:J14"/>
    <mergeCell ref="B28:E28"/>
    <mergeCell ref="A9:E9"/>
    <mergeCell ref="B34:E34"/>
  </mergeCells>
  <hyperlinks>
    <hyperlink xmlns:r="http://schemas.openxmlformats.org/officeDocument/2006/relationships" ref="A24" r:id="rId1"/>
    <hyperlink xmlns:r="http://schemas.openxmlformats.org/officeDocument/2006/relationships" ref="F24" r:id="rId2"/>
    <hyperlink xmlns:r="http://schemas.openxmlformats.org/officeDocument/2006/relationships" ref="A25" r:id="rId3"/>
    <hyperlink xmlns:r="http://schemas.openxmlformats.org/officeDocument/2006/relationships" ref="F25" r:id="rId4"/>
    <hyperlink xmlns:r="http://schemas.openxmlformats.org/officeDocument/2006/relationships" ref="A26" r:id="rId5"/>
    <hyperlink xmlns:r="http://schemas.openxmlformats.org/officeDocument/2006/relationships" ref="F26" r:id="rId6"/>
    <hyperlink xmlns:r="http://schemas.openxmlformats.org/officeDocument/2006/relationships" ref="A27" r:id="rId7"/>
    <hyperlink xmlns:r="http://schemas.openxmlformats.org/officeDocument/2006/relationships" ref="F27" r:id="rId8"/>
    <hyperlink xmlns:r="http://schemas.openxmlformats.org/officeDocument/2006/relationships" ref="A28" r:id="rId9"/>
    <hyperlink xmlns:r="http://schemas.openxmlformats.org/officeDocument/2006/relationships" ref="F28" r:id="rId10"/>
    <hyperlink xmlns:r="http://schemas.openxmlformats.org/officeDocument/2006/relationships" ref="A29" r:id="rId11"/>
    <hyperlink xmlns:r="http://schemas.openxmlformats.org/officeDocument/2006/relationships" ref="F29" r:id="rId12"/>
    <hyperlink xmlns:r="http://schemas.openxmlformats.org/officeDocument/2006/relationships" ref="A30" r:id="rId13"/>
    <hyperlink xmlns:r="http://schemas.openxmlformats.org/officeDocument/2006/relationships" ref="F30" r:id="rId14"/>
    <hyperlink xmlns:r="http://schemas.openxmlformats.org/officeDocument/2006/relationships" ref="A31" r:id="rId15"/>
    <hyperlink xmlns:r="http://schemas.openxmlformats.org/officeDocument/2006/relationships" ref="F31" r:id="rId16"/>
    <hyperlink xmlns:r="http://schemas.openxmlformats.org/officeDocument/2006/relationships" ref="A32" r:id="rId17"/>
    <hyperlink xmlns:r="http://schemas.openxmlformats.org/officeDocument/2006/relationships" ref="F32" r:id="rId18"/>
    <hyperlink xmlns:r="http://schemas.openxmlformats.org/officeDocument/2006/relationships" ref="A33" r:id="rId19"/>
    <hyperlink xmlns:r="http://schemas.openxmlformats.org/officeDocument/2006/relationships" ref="F33" r:id="rId20"/>
    <hyperlink xmlns:r="http://schemas.openxmlformats.org/officeDocument/2006/relationships" ref="A34" r:id="rId21"/>
    <hyperlink xmlns:r="http://schemas.openxmlformats.org/officeDocument/2006/relationships" ref="F34" r:id="rId22"/>
    <hyperlink xmlns:r="http://schemas.openxmlformats.org/officeDocument/2006/relationships" ref="A35" r:id="rId23"/>
    <hyperlink xmlns:r="http://schemas.openxmlformats.org/officeDocument/2006/relationships" ref="F35" r:id="rId24"/>
    <hyperlink xmlns:r="http://schemas.openxmlformats.org/officeDocument/2006/relationships" ref="A36" r:id="rId25"/>
    <hyperlink xmlns:r="http://schemas.openxmlformats.org/officeDocument/2006/relationships" ref="F36" r:id="rId26"/>
    <hyperlink xmlns:r="http://schemas.openxmlformats.org/officeDocument/2006/relationships" ref="A37" r:id="rId27"/>
    <hyperlink xmlns:r="http://schemas.openxmlformats.org/officeDocument/2006/relationships" ref="F37" r:id="rId28"/>
    <hyperlink xmlns:r="http://schemas.openxmlformats.org/officeDocument/2006/relationships" ref="A38" r:id="rId29"/>
    <hyperlink xmlns:r="http://schemas.openxmlformats.org/officeDocument/2006/relationships" ref="F38" r:id="rId30"/>
    <hyperlink xmlns:r="http://schemas.openxmlformats.org/officeDocument/2006/relationships" ref="A39" r:id="rId31"/>
    <hyperlink xmlns:r="http://schemas.openxmlformats.org/officeDocument/2006/relationships" ref="F39" r:id="rId32"/>
    <hyperlink xmlns:r="http://schemas.openxmlformats.org/officeDocument/2006/relationships" ref="A40" r:id="rId33"/>
    <hyperlink xmlns:r="http://schemas.openxmlformats.org/officeDocument/2006/relationships" ref="F40" r:id="rId34"/>
  </hyperlinks>
  <pageMargins left="0.4" right="0.4" top="0.6" bottom="0.5" header="0.25" footer="0.25"/>
  <pageSetup orientation="landscape" paperSize="3" fitToHeight="0" fitToWidth="1"/>
  <headerFooter>
    <oddHeader>&amp;LNovality Store  ·  Home Renovation System&amp;RStart Here</oddHeader>
    <oddFooter>&amp;LConfidential  ·  Digital twin of the home&amp;RPage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6352F"/>
    <outlinePr summaryBelow="1" summaryRight="1"/>
    <pageSetUpPr fitToPage="1"/>
  </sheetPr>
  <dimension ref="A1:N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6" customWidth="1" min="5" max="5"/>
    <col width="16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</cols>
  <sheetData>
    <row r="1" ht="30" customHeight="1">
      <c r="A1" s="1" t="inlineStr">
        <is>
          <t>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8" customHeight="1">
      <c r="A2" s="3" t="inlineStr">
        <is>
          <t>Homeowner overview  ·  live formulas  ·  switch Active Project on Settings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26">
        <f> "Good day, " &amp; HomeownerName &amp; "  ·  " &amp; TEXT(AsOfDate,"DDDD, D MMMM YYYY")</f>
        <v/>
      </c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27">
        <f> "YOUR RENOVATION  ·  " &amp; IFERROR(INDEX(Projects!C:C,MATCH(ActiveProject,Projects!A:A,0)),ActiveProject) &amp; "  ·  " &amp; IFERROR(INDEX(Projects!F:F,MATCH(ActiveProject,Projects!A:A,0)),"")</f>
        <v/>
      </c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 ht="16" customHeight="1">
      <c r="A7" s="28" t="inlineStr">
        <is>
          <t>PROGRESS</t>
        </is>
      </c>
      <c r="B7" s="29" t="n"/>
      <c r="C7" s="29" t="n"/>
      <c r="D7" s="5" t="n"/>
      <c r="E7" s="30" t="inlineStr">
        <is>
          <t>PHASE</t>
        </is>
      </c>
      <c r="F7" s="31" t="n"/>
      <c r="G7" s="5" t="n"/>
      <c r="H7" s="30" t="inlineStr">
        <is>
          <t>BUDGET</t>
        </is>
      </c>
      <c r="I7" s="31" t="n"/>
      <c r="J7" s="5" t="n"/>
      <c r="K7" s="28" t="inlineStr">
        <is>
          <t>SPENT</t>
        </is>
      </c>
      <c r="L7" s="29" t="n"/>
      <c r="M7" s="5" t="n"/>
      <c r="N7" s="5" t="n"/>
    </row>
    <row r="8" ht="28" customHeight="1">
      <c r="A8" s="32">
        <f>IFERROR(INDEX(Projects!P:P,MATCH(ActiveProject,Projects!A:A,0)),0)</f>
        <v/>
      </c>
      <c r="B8" s="33" t="n"/>
      <c r="C8" s="33" t="n"/>
      <c r="D8" s="5" t="n"/>
      <c r="E8" s="34">
        <f>IFERROR(INDEX(Projects!F:F,MATCH(ActiveProject,Projects!A:A,0)),"—")</f>
        <v/>
      </c>
      <c r="F8" s="33" t="n"/>
      <c r="G8" s="5" t="n"/>
      <c r="H8" s="35">
        <f>IFERROR(INDEX(Projects!J:J,MATCH(ActiveProject,Projects!A:A,0)),0)</f>
        <v/>
      </c>
      <c r="I8" s="33" t="n"/>
      <c r="J8" s="5" t="n"/>
      <c r="K8" s="36">
        <f>IFERROR(SUMIFS(Expenses!H:H,Expenses!C:C,ActiveProject,Expenses!J:J,"Paid"),0)</f>
        <v/>
      </c>
      <c r="L8" s="33" t="n"/>
      <c r="M8" s="5" t="n"/>
      <c r="N8" s="5" t="n"/>
    </row>
    <row r="9" ht="16" customHeight="1">
      <c r="A9" s="37">
        <f>REPT("█",ROUND(A8*20,0))&amp;REPT("░",20-ROUND(A8*20,0))</f>
        <v/>
      </c>
      <c r="B9" s="33" t="n"/>
      <c r="C9" s="33" t="n"/>
      <c r="E9" s="38">
        <f>IFERROR(INDEX(Projects!E:E,MATCH(ActiveProject,Projects!A:A,0)),"")</f>
        <v/>
      </c>
      <c r="F9" s="33" t="n"/>
      <c r="H9" s="38" t="inlineStr">
        <is>
          <t>Planned</t>
        </is>
      </c>
      <c r="I9" s="33" t="n"/>
      <c r="K9" s="37" t="inlineStr">
        <is>
          <t>Paid to date</t>
        </is>
      </c>
      <c r="L9" s="33" t="n"/>
    </row>
    <row r="10"/>
    <row r="11" ht="16" customHeight="1">
      <c r="A11" s="39" t="inlineStr">
        <is>
          <t>COMMITTED</t>
        </is>
      </c>
      <c r="B11" s="40" t="n"/>
      <c r="D11" s="41" t="inlineStr">
        <is>
          <t>REMAINING</t>
        </is>
      </c>
      <c r="E11" s="42" t="n"/>
      <c r="G11" s="30" t="inlineStr">
        <is>
          <t>OPEN TASKS</t>
        </is>
      </c>
      <c r="H11" s="31" t="n"/>
      <c r="J11" s="43" t="inlineStr">
        <is>
          <t>OVERDUE</t>
        </is>
      </c>
      <c r="K11" s="44" t="n"/>
    </row>
    <row r="12" ht="28" customHeight="1">
      <c r="A12" s="45">
        <f>IFERROR(SUMIFS(Expenses!H:H,Expenses!C:C,ActiveProject,Expenses!J:J,"Committed"),0)</f>
        <v/>
      </c>
      <c r="B12" s="33" t="n"/>
      <c r="D12" s="46">
        <f>H8-K8-A12</f>
        <v/>
      </c>
      <c r="E12" s="33" t="n"/>
      <c r="G12" s="34">
        <f>COUNTIFS(Tasks!B:B,ActiveProject,Tasks!H:H,"&lt;&gt;Completed")</f>
        <v/>
      </c>
      <c r="H12" s="33" t="n"/>
      <c r="J12" s="47">
        <f>COUNTIFS(Tasks!B:B,ActiveProject,Tasks!H:H,"&lt;&gt;Completed",Tasks!K:K,"&lt;"&amp;AsOfDate)</f>
        <v/>
      </c>
      <c r="K12" s="33" t="n"/>
    </row>
    <row r="13" ht="16" customHeight="1">
      <c r="A13" s="48" t="inlineStr">
        <is>
          <t>Not yet paid</t>
        </is>
      </c>
      <c r="B13" s="33" t="n"/>
      <c r="D13" s="49" t="inlineStr">
        <is>
          <t>Still available</t>
        </is>
      </c>
      <c r="E13" s="33" t="n"/>
      <c r="G13" s="38" t="inlineStr">
        <is>
          <t>Not completed</t>
        </is>
      </c>
      <c r="H13" s="33" t="n"/>
      <c r="J13" s="50" t="inlineStr">
        <is>
          <t>Past deadline</t>
        </is>
      </c>
      <c r="K13" s="33" t="n"/>
    </row>
    <row r="14"/>
    <row r="15">
      <c r="A15" s="8" t="inlineStr">
        <is>
          <t>ATTENTION</t>
        </is>
      </c>
      <c r="B15" s="5" t="n"/>
      <c r="C15" s="5" t="n"/>
      <c r="D15" s="5" t="n"/>
      <c r="E15" s="5" t="n"/>
      <c r="F15" s="5" t="n"/>
      <c r="H15" s="8" t="inlineStr">
        <is>
          <t>NEXT UP</t>
        </is>
      </c>
      <c r="I15" s="5" t="n"/>
      <c r="J15" s="5" t="n"/>
      <c r="K15" s="5" t="n"/>
      <c r="L15" s="5" t="n"/>
      <c r="M15" s="5" t="n"/>
    </row>
    <row r="16" ht="18" customHeight="1">
      <c r="A16" s="51">
        <f>IF((K8+A12)&gt;H8,"⚠ Project is over the planned budget.","")</f>
        <v/>
      </c>
      <c r="H16" s="52" t="inlineStr">
        <is>
          <t>When</t>
        </is>
      </c>
      <c r="I16" s="52" t="inlineStr">
        <is>
          <t>Task</t>
        </is>
      </c>
      <c r="J16" s="52" t="inlineStr">
        <is>
          <t>Room</t>
        </is>
      </c>
      <c r="K16" s="52" t="inlineStr">
        <is>
          <t>Owner</t>
        </is>
      </c>
      <c r="L16" s="52" t="inlineStr">
        <is>
          <t>Status</t>
        </is>
      </c>
    </row>
    <row r="17" ht="18" customHeight="1">
      <c r="A17" s="51">
        <f>IF(Finance!D10&lt;H8*ContingencyFloor,"🔴 Contingency has fallen below 10%. Freeze non-critical extras.","")</f>
        <v/>
      </c>
      <c r="H17" s="53">
        <f>IFERROR(FILTER(Tasks!K5:K200,(Tasks!B5:B200=ActiveProject)*(Tasks!H5:H200&lt;&gt;"Completed")),"")</f>
        <v/>
      </c>
      <c r="I17" s="54">
        <f>IFERROR(FILTER(Tasks!D5:D200,(Tasks!B5:B200=ActiveProject)*(Tasks!H5:H200&lt;&gt;"Completed")),"")</f>
        <v/>
      </c>
      <c r="J17" s="54">
        <f>IFERROR(FILTER(Tasks!C5:C200,(Tasks!B5:B200=ActiveProject)*(Tasks!H5:H200&lt;&gt;"Completed")),"")</f>
        <v/>
      </c>
      <c r="K17" s="54">
        <f>IFERROR(FILTER(Tasks!F5:F200,(Tasks!B5:B200=ActiveProject)*(Tasks!H5:H200&lt;&gt;"Completed")),"")</f>
        <v/>
      </c>
      <c r="L17" s="54">
        <f>IFERROR(FILTER(Tasks!H5:H200,(Tasks!B5:B200=ActiveProject)*(Tasks!H5:H200&lt;&gt;"Completed")),"")</f>
        <v/>
      </c>
    </row>
    <row r="18" ht="18" customHeight="1">
      <c r="A18" s="51">
        <f>IF(COUNTIFS(Tasks!B:B,ActiveProject,Tasks!Q:Q,"Overdue")&gt;0,"⚠ "&amp;COUNTIFS(Tasks!B:B,ActiveProject,Tasks!Q:Q,"Overdue")&amp;" overdue task(s).","")</f>
        <v/>
      </c>
    </row>
    <row r="19" ht="18" customHeight="1">
      <c r="A19" s="51">
        <f>IF(COUNTIFS(Materials!B:B,ActiveProject,Materials!P:P,"Backordered")&gt;0,"⚠ Material backorder: "&amp;COUNTIFS(Materials!B:B,ActiveProject,Materials!P:P,"Backordered")&amp;" line(s).","")</f>
        <v/>
      </c>
    </row>
    <row r="20" ht="18" customHeight="1">
      <c r="A20" s="51">
        <f>IF(COUNTIFS(Documents!B:B,ActiveProject,Documents!N:N,"Expiring")+COUNTIFS(Documents!B:B,ActiveProject,Documents!N:N,"Expired")&gt;0,"⚠ Document expiry needs attention.","")</f>
        <v/>
      </c>
    </row>
    <row r="21" ht="18" customHeight="1">
      <c r="A21" s="51">
        <f>IF(COUNTIFS('Change Orders'!B:B,ActiveProject,'Change Orders'!I:I,"Submitted")&gt;0,"⚠ Change order awaiting approval.","")</f>
        <v/>
      </c>
    </row>
    <row r="22" ht="18" customHeight="1">
      <c r="A22" s="51">
        <f>IF(COUNTA(A16:A21)=0,"🟢 Nothing urgent. You're clear for the week.","")</f>
        <v/>
      </c>
    </row>
    <row r="23"/>
    <row r="24">
      <c r="A24" s="8" t="inlineStr">
        <is>
          <t>RECENT EXPENSES</t>
        </is>
      </c>
      <c r="B24" s="5" t="n"/>
      <c r="C24" s="5" t="n"/>
      <c r="D24" s="5" t="n"/>
      <c r="E24" s="5" t="n"/>
      <c r="F24" s="5" t="n"/>
      <c r="H24" s="8" t="inlineStr">
        <is>
          <t>ROOMS</t>
        </is>
      </c>
      <c r="I24" s="5" t="n"/>
      <c r="J24" s="5" t="n"/>
      <c r="K24" s="5" t="n"/>
      <c r="L24" s="5" t="n"/>
      <c r="M24" s="5" t="n"/>
    </row>
    <row r="25">
      <c r="A25" s="55" t="inlineStr">
        <is>
          <t>Date</t>
        </is>
      </c>
      <c r="B25" s="55" t="inlineStr">
        <is>
          <t>Vendor</t>
        </is>
      </c>
      <c r="C25" s="55" t="inlineStr">
        <is>
          <t>Description</t>
        </is>
      </c>
      <c r="D25" s="55" t="inlineStr">
        <is>
          <t>Amount</t>
        </is>
      </c>
      <c r="E25" s="55" t="inlineStr">
        <is>
          <t>Status</t>
        </is>
      </c>
      <c r="H25" s="55" t="inlineStr">
        <is>
          <t>Room</t>
        </is>
      </c>
      <c r="I25" s="55" t="inlineStr">
        <is>
          <t>Status</t>
        </is>
      </c>
      <c r="J25" s="55" t="inlineStr">
        <is>
          <t>Budget</t>
        </is>
      </c>
      <c r="K25" s="55" t="inlineStr">
        <is>
          <t>Spent</t>
        </is>
      </c>
      <c r="L25" s="55" t="inlineStr">
        <is>
          <t>%</t>
        </is>
      </c>
    </row>
    <row r="26">
      <c r="A26" s="56">
        <f>IFERROR(FILTER(Expenses!B5:B200,Expenses!C5:C200=ActiveProject),"")</f>
        <v/>
      </c>
      <c r="B26">
        <f>IFERROR(FILTER(Expenses!F5:F200,Expenses!C5:C200=ActiveProject),"")</f>
        <v/>
      </c>
      <c r="C26">
        <f>IFERROR(FILTER(Expenses!G5:G200,Expenses!C5:C200=ActiveProject),"")</f>
        <v/>
      </c>
      <c r="D26" s="57">
        <f>IFERROR(FILTER(Expenses!H5:H200,Expenses!C5:C200=ActiveProject),"")</f>
        <v/>
      </c>
      <c r="E26">
        <f>IFERROR(FILTER(Expenses!J5:J200,Expenses!C5:C200=ActiveProject),"")</f>
        <v/>
      </c>
      <c r="H26" s="20" t="inlineStr">
        <is>
          <t>Kitchen</t>
        </is>
      </c>
      <c r="I26" s="20">
        <f>IFERROR(INDEX(Rooms!J:J,MATCH("RM-01",Rooms!A:A,0)),"")</f>
        <v/>
      </c>
      <c r="J26" s="58">
        <f>IFERROR(INDEX(Rooms!K:K,MATCH("RM-01",Rooms!A:A,0)),0)</f>
        <v/>
      </c>
      <c r="K26" s="58">
        <f>IFERROR(INDEX(Rooms!R:R,MATCH("RM-01",Rooms!A:A,0)),0)</f>
        <v/>
      </c>
      <c r="L26" s="59">
        <f>IF(J26=0,"",K26/J26)</f>
        <v/>
      </c>
    </row>
    <row r="27">
      <c r="H27" s="22" t="inlineStr">
        <is>
          <t>Living Room</t>
        </is>
      </c>
      <c r="I27" s="22">
        <f>IFERROR(INDEX(Rooms!J:J,MATCH("RM-02",Rooms!A:A,0)),"")</f>
        <v/>
      </c>
      <c r="J27" s="60">
        <f>IFERROR(INDEX(Rooms!K:K,MATCH("RM-02",Rooms!A:A,0)),0)</f>
        <v/>
      </c>
      <c r="K27" s="60">
        <f>IFERROR(INDEX(Rooms!R:R,MATCH("RM-02",Rooms!A:A,0)),0)</f>
        <v/>
      </c>
      <c r="L27" s="61">
        <f>IF(J27=0,"",K27/J27)</f>
        <v/>
      </c>
    </row>
    <row r="28">
      <c r="H28" s="20" t="inlineStr">
        <is>
          <t>Primary Bathroom</t>
        </is>
      </c>
      <c r="I28" s="20">
        <f>IFERROR(INDEX(Rooms!J:J,MATCH("RM-03",Rooms!A:A,0)),"")</f>
        <v/>
      </c>
      <c r="J28" s="58">
        <f>IFERROR(INDEX(Rooms!K:K,MATCH("RM-03",Rooms!A:A,0)),0)</f>
        <v/>
      </c>
      <c r="K28" s="58">
        <f>IFERROR(INDEX(Rooms!R:R,MATCH("RM-03",Rooms!A:A,0)),0)</f>
        <v/>
      </c>
      <c r="L28" s="59">
        <f>IF(J28=0,"",K28/J28)</f>
        <v/>
      </c>
    </row>
    <row r="29">
      <c r="H29" s="22" t="inlineStr">
        <is>
          <t>Guest Bedroom</t>
        </is>
      </c>
      <c r="I29" s="22">
        <f>IFERROR(INDEX(Rooms!J:J,MATCH("RM-04",Rooms!A:A,0)),"")</f>
        <v/>
      </c>
      <c r="J29" s="60">
        <f>IFERROR(INDEX(Rooms!K:K,MATCH("RM-04",Rooms!A:A,0)),0)</f>
        <v/>
      </c>
      <c r="K29" s="60">
        <f>IFERROR(INDEX(Rooms!R:R,MATCH("RM-04",Rooms!A:A,0)),0)</f>
        <v/>
      </c>
      <c r="L29" s="61">
        <f>IF(J29=0,"",K29/J29)</f>
        <v/>
      </c>
    </row>
    <row r="30">
      <c r="H30" s="20" t="inlineStr">
        <is>
          <t>Dining Room</t>
        </is>
      </c>
      <c r="I30" s="20">
        <f>IFERROR(INDEX(Rooms!J:J,MATCH("RM-05",Rooms!A:A,0)),"")</f>
        <v/>
      </c>
      <c r="J30" s="58">
        <f>IFERROR(INDEX(Rooms!K:K,MATCH("RM-05",Rooms!A:A,0)),0)</f>
        <v/>
      </c>
      <c r="K30" s="58">
        <f>IFERROR(INDEX(Rooms!R:R,MATCH("RM-05",Rooms!A:A,0)),0)</f>
        <v/>
      </c>
      <c r="L30" s="59">
        <f>IF(J30=0,"",K30/J30)</f>
        <v/>
      </c>
    </row>
    <row r="31">
      <c r="H31" s="22" t="inlineStr">
        <is>
          <t>Exterior / Garden</t>
        </is>
      </c>
      <c r="I31" s="22">
        <f>IFERROR(INDEX(Rooms!J:J,MATCH("RM-06",Rooms!A:A,0)),"")</f>
        <v/>
      </c>
      <c r="J31" s="60">
        <f>IFERROR(INDEX(Rooms!K:K,MATCH("RM-06",Rooms!A:A,0)),0)</f>
        <v/>
      </c>
      <c r="K31" s="60">
        <f>IFERROR(INDEX(Rooms!R:R,MATCH("RM-06",Rooms!A:A,0)),0)</f>
        <v/>
      </c>
      <c r="L31" s="61">
        <f>IF(J31=0,"",K31/J31)</f>
        <v/>
      </c>
    </row>
    <row r="32">
      <c r="H32" s="20" t="inlineStr">
        <is>
          <t>Laundry</t>
        </is>
      </c>
      <c r="I32" s="20">
        <f>IFERROR(INDEX(Rooms!J:J,MATCH("RM-07",Rooms!A:A,0)),"")</f>
        <v/>
      </c>
      <c r="J32" s="58">
        <f>IFERROR(INDEX(Rooms!K:K,MATCH("RM-07",Rooms!A:A,0)),0)</f>
        <v/>
      </c>
      <c r="K32" s="58">
        <f>IFERROR(INDEX(Rooms!R:R,MATCH("RM-07",Rooms!A:A,0)),0)</f>
        <v/>
      </c>
      <c r="L32" s="59">
        <f>IF(J32=0,"",K32/J32)</f>
        <v/>
      </c>
    </row>
    <row r="33">
      <c r="H33" s="22" t="inlineStr">
        <is>
          <t>Entry / Foyer</t>
        </is>
      </c>
      <c r="I33" s="22">
        <f>IFERROR(INDEX(Rooms!J:J,MATCH("RM-08",Rooms!A:A,0)),"")</f>
        <v/>
      </c>
      <c r="J33" s="60">
        <f>IFERROR(INDEX(Rooms!K:K,MATCH("RM-08",Rooms!A:A,0)),0)</f>
        <v/>
      </c>
      <c r="K33" s="60">
        <f>IFERROR(INDEX(Rooms!R:R,MATCH("RM-08",Rooms!A:A,0)),0)</f>
        <v/>
      </c>
      <c r="L33" s="61">
        <f>IF(J33=0,"",K33/J33)</f>
        <v/>
      </c>
    </row>
    <row r="34"/>
    <row r="35"/>
    <row r="36">
      <c r="A36" s="8" t="inlineStr">
        <is>
          <t>UPCOMING CONTRACTOR VISITS</t>
        </is>
      </c>
      <c r="B36" s="5" t="n"/>
      <c r="C36" s="5" t="n"/>
      <c r="D36" s="5" t="n"/>
      <c r="E36" s="5" t="n"/>
      <c r="F36" s="5" t="n"/>
      <c r="H36" s="8" t="inlineStr">
        <is>
          <t>QUICK ACTIONS  (use the Novality Store menu in Google Sheets)</t>
        </is>
      </c>
      <c r="I36" s="5" t="n"/>
      <c r="J36" s="5" t="n"/>
      <c r="K36" s="5" t="n"/>
      <c r="L36" s="5" t="n"/>
      <c r="M36" s="5" t="n"/>
    </row>
    <row r="37" ht="20" customHeight="1">
      <c r="A37" s="55" t="inlineStr">
        <is>
          <t>Date</t>
        </is>
      </c>
      <c r="B37" s="55" t="inlineStr">
        <is>
          <t>Event</t>
        </is>
      </c>
      <c r="C37" s="55" t="inlineStr">
        <is>
          <t>Owner</t>
        </is>
      </c>
      <c r="D37" s="55" t="inlineStr">
        <is>
          <t>Status</t>
        </is>
      </c>
      <c r="H37" s="62" t="inlineStr">
        <is>
          <t>+ Expense</t>
        </is>
      </c>
    </row>
    <row r="38" ht="20" customHeight="1">
      <c r="A38" s="56">
        <f>IFERROR(FILTER(Calendar!A5:A80,Calendar!A5:A80&gt;=AsOfDate),"")</f>
        <v/>
      </c>
      <c r="B38">
        <f>IFERROR(FILTER(Calendar!C5:C80,Calendar!A5:A80&gt;=AsOfDate),"")</f>
        <v/>
      </c>
      <c r="C38">
        <f>IFERROR(FILTER(Calendar!F5:F80,Calendar!A5:A80&gt;=AsOfDate),"")</f>
        <v/>
      </c>
      <c r="D38">
        <f>IFERROR(FILTER(Calendar!G5:G80,Calendar!A5:A80&gt;=AsOfDate),"")</f>
        <v/>
      </c>
      <c r="H38" s="63" t="inlineStr">
        <is>
          <t>+ Task</t>
        </is>
      </c>
    </row>
    <row r="39" ht="20" customHeight="1">
      <c r="H39" s="62" t="inlineStr">
        <is>
          <t>Upload photo note</t>
        </is>
      </c>
    </row>
    <row r="40" ht="20" customHeight="1">
      <c r="H40" s="63" t="inlineStr">
        <is>
          <t>Message contractor</t>
        </is>
      </c>
    </row>
    <row r="41" ht="20" customHeight="1">
      <c r="H41" s="62" t="inlineStr">
        <is>
          <t>Approve change order</t>
        </is>
      </c>
    </row>
    <row r="42" ht="20" customHeight="1">
      <c r="H42" s="63" t="inlineStr">
        <is>
          <t>Generate shopping list</t>
        </is>
      </c>
    </row>
    <row r="43"/>
    <row r="44"/>
    <row r="45">
      <c r="A45" s="8" t="inlineStr">
        <is>
          <t>AI INSIGHT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>
      <c r="A46" s="64">
        <f>IFERROR(INDEX('AI Insights'!G:G,MATCH(1,('AI Insights'!C:C=ActiveProject)*(('AI Insights'!J:J="New")+('AI Insights'!J:J="In Progress")),0)),"No open AI insights.")</f>
        <v/>
      </c>
    </row>
    <row r="47"/>
    <row r="48"/>
    <row r="49">
      <c r="A49" s="65">
        <f>IFERROR("Recommendation: "&amp;INDEX('AI Insights'!H:H,MATCH(1,('AI Insights'!C:C=ActiveProject)*(('AI Insights'!J:J="New")+('AI Insights'!J:J="In Progress")),0)),"")</f>
        <v/>
      </c>
    </row>
    <row r="50"/>
    <row r="51"/>
    <row r="52">
      <c r="A52" s="8" t="inlineStr">
        <is>
          <t>NAVIGATION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 ht="22" customHeight="1">
      <c r="A53" s="63" t="inlineStr">
        <is>
          <t>Projects</t>
        </is>
      </c>
      <c r="C53" s="63" t="inlineStr">
        <is>
          <t>Rooms</t>
        </is>
      </c>
      <c r="E53" s="63" t="inlineStr">
        <is>
          <t>Design</t>
        </is>
      </c>
      <c r="G53" s="63" t="inlineStr">
        <is>
          <t>Budget</t>
        </is>
      </c>
      <c r="I53" s="63" t="inlineStr">
        <is>
          <t>Team</t>
        </is>
      </c>
      <c r="K53" s="63" t="inlineStr">
        <is>
          <t>Materials</t>
        </is>
      </c>
    </row>
    <row r="54" ht="22" customHeight="1">
      <c r="A54" s="63" t="inlineStr">
        <is>
          <t>Tasks</t>
        </is>
      </c>
      <c r="C54" s="63" t="inlineStr">
        <is>
          <t>Messages</t>
        </is>
      </c>
      <c r="E54" s="63" t="inlineStr">
        <is>
          <t>Documents</t>
        </is>
      </c>
      <c r="G54" s="63" t="inlineStr">
        <is>
          <t>Home</t>
        </is>
      </c>
      <c r="I54" s="63" t="inlineStr">
        <is>
          <t>Maint.</t>
        </is>
      </c>
      <c r="K54" s="63" t="inlineStr">
        <is>
          <t>Admin</t>
        </is>
      </c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mergeCells count="63">
    <mergeCell ref="A16:F16"/>
    <mergeCell ref="G12:H12"/>
    <mergeCell ref="A11:B11"/>
    <mergeCell ref="G11:H11"/>
    <mergeCell ref="H36:M36"/>
    <mergeCell ref="K9:L9"/>
    <mergeCell ref="A18:F18"/>
    <mergeCell ref="J13:K13"/>
    <mergeCell ref="A21:F21"/>
    <mergeCell ref="K54:L54"/>
    <mergeCell ref="H9:I9"/>
    <mergeCell ref="E8:F8"/>
    <mergeCell ref="A1:N1"/>
    <mergeCell ref="A54:B54"/>
    <mergeCell ref="A46:L48"/>
    <mergeCell ref="C54:D54"/>
    <mergeCell ref="I54:J54"/>
    <mergeCell ref="D11:E11"/>
    <mergeCell ref="A5:F5"/>
    <mergeCell ref="A8:C8"/>
    <mergeCell ref="D13:E13"/>
    <mergeCell ref="H37:J37"/>
    <mergeCell ref="A49:L50"/>
    <mergeCell ref="A22:F22"/>
    <mergeCell ref="A17:F17"/>
    <mergeCell ref="G53:H53"/>
    <mergeCell ref="A4:F4"/>
    <mergeCell ref="G13:H13"/>
    <mergeCell ref="A20:F20"/>
    <mergeCell ref="I53:J53"/>
    <mergeCell ref="E9:F9"/>
    <mergeCell ref="A12:B12"/>
    <mergeCell ref="H15:M15"/>
    <mergeCell ref="J11:K11"/>
    <mergeCell ref="H42:J42"/>
    <mergeCell ref="A52:L52"/>
    <mergeCell ref="A19:F19"/>
    <mergeCell ref="K8:L8"/>
    <mergeCell ref="H24:M24"/>
    <mergeCell ref="H7:I7"/>
    <mergeCell ref="A2:N2"/>
    <mergeCell ref="A9:C9"/>
    <mergeCell ref="A15:F15"/>
    <mergeCell ref="A53:B53"/>
    <mergeCell ref="D12:E12"/>
    <mergeCell ref="A24:F24"/>
    <mergeCell ref="H38:J38"/>
    <mergeCell ref="K7:L7"/>
    <mergeCell ref="K53:L53"/>
    <mergeCell ref="J12:K12"/>
    <mergeCell ref="E54:F54"/>
    <mergeCell ref="A36:F36"/>
    <mergeCell ref="E7:F7"/>
    <mergeCell ref="G54:H54"/>
    <mergeCell ref="H41:J41"/>
    <mergeCell ref="A45:L45"/>
    <mergeCell ref="A13:B13"/>
    <mergeCell ref="H40:J40"/>
    <mergeCell ref="E53:F53"/>
    <mergeCell ref="H8:I8"/>
    <mergeCell ref="C53:D53"/>
    <mergeCell ref="A7:C7"/>
    <mergeCell ref="H39:J39"/>
  </mergeCells>
  <hyperlinks>
    <hyperlink xmlns:r="http://schemas.openxmlformats.org/officeDocument/2006/relationships" ref="A53" r:id="rId1"/>
    <hyperlink xmlns:r="http://schemas.openxmlformats.org/officeDocument/2006/relationships" ref="C53" r:id="rId2"/>
    <hyperlink xmlns:r="http://schemas.openxmlformats.org/officeDocument/2006/relationships" ref="E53" r:id="rId3"/>
    <hyperlink xmlns:r="http://schemas.openxmlformats.org/officeDocument/2006/relationships" ref="G53" r:id="rId4"/>
    <hyperlink xmlns:r="http://schemas.openxmlformats.org/officeDocument/2006/relationships" ref="I53" r:id="rId5"/>
    <hyperlink xmlns:r="http://schemas.openxmlformats.org/officeDocument/2006/relationships" ref="K53" r:id="rId6"/>
    <hyperlink xmlns:r="http://schemas.openxmlformats.org/officeDocument/2006/relationships" ref="A54" r:id="rId7"/>
    <hyperlink xmlns:r="http://schemas.openxmlformats.org/officeDocument/2006/relationships" ref="C54" r:id="rId8"/>
    <hyperlink xmlns:r="http://schemas.openxmlformats.org/officeDocument/2006/relationships" ref="E54" r:id="rId9"/>
    <hyperlink xmlns:r="http://schemas.openxmlformats.org/officeDocument/2006/relationships" ref="G54" r:id="rId10"/>
    <hyperlink xmlns:r="http://schemas.openxmlformats.org/officeDocument/2006/relationships" ref="I54" r:id="rId11"/>
    <hyperlink xmlns:r="http://schemas.openxmlformats.org/officeDocument/2006/relationships" ref="K54" r:id="rId12"/>
  </hyperlinks>
  <pageMargins left="0.4" right="0.4" top="0.6" bottom="0.5" header="0.25" footer="0.25"/>
  <pageSetup orientation="landscape" paperSize="3" fitToHeight="0" fitToWidth="1"/>
  <headerFooter>
    <oddHeader>&amp;LNovality Store  ·  Home Renovation System&amp;RDashboard</oddHeader>
    <oddFooter>&amp;LConfidential  ·  Digital twin of the home&amp;RPage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86B4A"/>
    <outlinePr summaryBelow="1" summaryRight="1"/>
    <pageSetUpPr fitToPage="1"/>
  </sheetPr>
  <dimension ref="A1:U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36" customWidth="1" min="15" max="15"/>
    <col width="10" customWidth="1" min="16" max="16"/>
    <col width="40" customWidth="1" min="17" max="17"/>
    <col width="12" customWidth="1" min="18" max="18"/>
    <col width="12" customWidth="1" min="19" max="19"/>
    <col width="12" customWidth="1" min="20" max="20"/>
    <col width="14" customWidth="1" min="21" max="21"/>
  </cols>
  <sheetData>
    <row r="1" ht="28" customHeight="1">
      <c r="A1" s="1" t="inlineStr">
        <is>
          <t>PROJECTS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18" customHeight="1">
      <c r="A2" s="3" t="inlineStr">
        <is>
          <t>All renovation projects  ·  spent/committed roll up from Expenses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</row>
    <row r="4" ht="22" customHeight="1">
      <c r="A4" s="66" t="inlineStr">
        <is>
          <t>Project ID</t>
        </is>
      </c>
      <c r="B4" s="66" t="inlineStr">
        <is>
          <t>Property ID</t>
        </is>
      </c>
      <c r="C4" s="66" t="inlineStr">
        <is>
          <t>Name</t>
        </is>
      </c>
      <c r="D4" s="66" t="inlineStr">
        <is>
          <t>Type</t>
        </is>
      </c>
      <c r="E4" s="66" t="inlineStr">
        <is>
          <t>Status</t>
        </is>
      </c>
      <c r="F4" s="66" t="inlineStr">
        <is>
          <t>Phase</t>
        </is>
      </c>
      <c r="G4" s="66" t="inlineStr">
        <is>
          <t>Start</t>
        </is>
      </c>
      <c r="H4" s="66" t="inlineStr">
        <is>
          <t>Target End</t>
        </is>
      </c>
      <c r="I4" s="66" t="inlineStr">
        <is>
          <t>Actual End</t>
        </is>
      </c>
      <c r="J4" s="66" t="inlineStr">
        <is>
          <t>Budget</t>
        </is>
      </c>
      <c r="K4" s="66" t="inlineStr">
        <is>
          <t>Homeowner ID</t>
        </is>
      </c>
      <c r="L4" s="66" t="inlineStr">
        <is>
          <t>PM ID</t>
        </is>
      </c>
      <c r="M4" s="66" t="inlineStr">
        <is>
          <t>Designer ID</t>
        </is>
      </c>
      <c r="N4" s="66" t="inlineStr">
        <is>
          <t>Homeowner Name</t>
        </is>
      </c>
      <c r="O4" s="66" t="inlineStr">
        <is>
          <t>Address</t>
        </is>
      </c>
      <c r="P4" s="66" t="inlineStr">
        <is>
          <t>Progress</t>
        </is>
      </c>
      <c r="Q4" s="66" t="inlineStr">
        <is>
          <t>Notes</t>
        </is>
      </c>
      <c r="R4" s="66" t="inlineStr">
        <is>
          <t>Spent</t>
        </is>
      </c>
      <c r="S4" s="66" t="inlineStr">
        <is>
          <t>Committed</t>
        </is>
      </c>
      <c r="T4" s="66" t="inlineStr">
        <is>
          <t>Remaining</t>
        </is>
      </c>
      <c r="U4" s="66" t="inlineStr">
        <is>
          <t>Health</t>
        </is>
      </c>
    </row>
    <row r="5" ht="18" customHeight="1">
      <c r="A5" s="67" t="inlineStr">
        <is>
          <t>PRJ-001</t>
        </is>
      </c>
      <c r="B5" s="67" t="inlineStr">
        <is>
          <t>PROP-001</t>
        </is>
      </c>
      <c r="C5" s="67" t="inlineStr">
        <is>
          <t>Maplewood Whole-Home Refresh</t>
        </is>
      </c>
      <c r="D5" s="67" t="inlineStr">
        <is>
          <t>Whole Home</t>
        </is>
      </c>
      <c r="E5" s="68" t="inlineStr">
        <is>
          <t>Active</t>
        </is>
      </c>
      <c r="F5" s="68" t="inlineStr">
        <is>
          <t>Construction</t>
        </is>
      </c>
      <c r="G5" s="69" t="n">
        <v>46082</v>
      </c>
      <c r="H5" s="70" t="n">
        <v>46341</v>
      </c>
      <c r="I5" s="70" t="n"/>
      <c r="J5" s="71" t="n">
        <v>85000</v>
      </c>
      <c r="K5" s="68" t="inlineStr">
        <is>
          <t>HO-001</t>
        </is>
      </c>
      <c r="L5" s="68" t="inlineStr">
        <is>
          <t>PM-001</t>
        </is>
      </c>
      <c r="M5" s="67" t="inlineStr">
        <is>
          <t>DS-001</t>
        </is>
      </c>
      <c r="N5" s="67" t="inlineStr">
        <is>
          <t>Alex Rivera</t>
        </is>
      </c>
      <c r="O5" s="67" t="inlineStr">
        <is>
          <t>1847 Maplewood Drive, Portland, OR</t>
        </is>
      </c>
      <c r="P5" s="72" t="n">
        <v>0.72</v>
      </c>
      <c r="Q5" s="68" t="inlineStr">
        <is>
          <t>Kitchen, primary bath, living, guest bedroom, exterior paint, garden path.</t>
        </is>
      </c>
      <c r="R5" s="73">
        <f>IF($A5="","",SUMIFS(Expenses!$H:$H,Expenses!$C:$C,$A5,Expenses!$J:$J,"Paid"))</f>
        <v/>
      </c>
      <c r="S5" s="73">
        <f>IF($A5="","",SUMIFS(Expenses!$H:$H,Expenses!$C:$C,$A5,Expenses!$J:$J,"Committed"))</f>
        <v/>
      </c>
      <c r="T5" s="73">
        <f>IF($A5="","",$J5-$R5-$S5)</f>
        <v/>
      </c>
      <c r="U5" s="74">
        <f>IF($A5="","",IF($R5+$S5&gt;$J5*(1+OverrunAlert),"Over",IF($R5+$S5&gt;$J5,"Watch","On Track")))</f>
        <v/>
      </c>
    </row>
    <row r="6" ht="18" customHeight="1">
      <c r="A6" s="75" t="inlineStr">
        <is>
          <t>PRJ-002</t>
        </is>
      </c>
      <c r="B6" s="75" t="inlineStr">
        <is>
          <t>PROP-002</t>
        </is>
      </c>
      <c r="C6" s="75" t="inlineStr">
        <is>
          <t>Gorge Cabin Bath Refresh</t>
        </is>
      </c>
      <c r="D6" s="75" t="inlineStr">
        <is>
          <t>Bathroom</t>
        </is>
      </c>
      <c r="E6" s="76" t="inlineStr">
        <is>
          <t>Planning</t>
        </is>
      </c>
      <c r="F6" s="76" t="inlineStr">
        <is>
          <t>Design</t>
        </is>
      </c>
      <c r="G6" s="77" t="n">
        <v>46296</v>
      </c>
      <c r="H6" s="78" t="n">
        <v>46371</v>
      </c>
      <c r="I6" s="78" t="n"/>
      <c r="J6" s="79" t="n">
        <v>18500</v>
      </c>
      <c r="K6" s="76" t="inlineStr">
        <is>
          <t>HO-001</t>
        </is>
      </c>
      <c r="L6" s="76" t="inlineStr">
        <is>
          <t>PM-001</t>
        </is>
      </c>
      <c r="M6" s="75" t="inlineStr">
        <is>
          <t>DS-001</t>
        </is>
      </c>
      <c r="N6" s="75" t="inlineStr">
        <is>
          <t>Alex Rivera</t>
        </is>
      </c>
      <c r="O6" s="75" t="inlineStr">
        <is>
          <t>88 Ridge Trail, Hood River, OR</t>
        </is>
      </c>
      <c r="P6" s="80" t="n">
        <v>0.12</v>
      </c>
      <c r="Q6" s="76" t="inlineStr">
        <is>
          <t>Single bath + vanity lighting. Starts after Maplewood handover.</t>
        </is>
      </c>
      <c r="R6" s="73">
        <f>IF($A6="","",SUMIFS(Expenses!$H:$H,Expenses!$C:$C,$A6,Expenses!$J:$J,"Paid"))</f>
        <v/>
      </c>
      <c r="S6" s="73">
        <f>IF($A6="","",SUMIFS(Expenses!$H:$H,Expenses!$C:$C,$A6,Expenses!$J:$J,"Committed"))</f>
        <v/>
      </c>
      <c r="T6" s="73">
        <f>IF($A6="","",$J6-$R6-$S6)</f>
        <v/>
      </c>
      <c r="U6" s="74">
        <f>IF($A6="","",IF($R6+$S6&gt;$J6*(1+OverrunAlert),"Over",IF($R6+$S6&gt;$J6,"Watch","On Track")))</f>
        <v/>
      </c>
    </row>
    <row r="7">
      <c r="A7" s="81" t="n"/>
      <c r="B7" s="81" t="n"/>
      <c r="C7" s="81" t="n"/>
      <c r="D7" s="81" t="n"/>
      <c r="E7" s="81" t="n"/>
      <c r="F7" s="81" t="n"/>
      <c r="G7" s="81" t="n"/>
      <c r="H7" s="81" t="n"/>
      <c r="I7" s="81" t="n"/>
      <c r="J7" s="81" t="n"/>
      <c r="K7" s="81" t="n"/>
      <c r="L7" s="81" t="n"/>
      <c r="M7" s="81" t="n"/>
      <c r="N7" s="81" t="n"/>
      <c r="O7" s="81" t="n"/>
      <c r="P7" s="81" t="n"/>
      <c r="Q7" s="81" t="n"/>
      <c r="R7" s="5" t="n"/>
      <c r="S7" s="5" t="n"/>
      <c r="T7" s="5" t="n"/>
      <c r="U7" s="5" t="n"/>
    </row>
    <row r="8">
      <c r="A8" s="81" t="n"/>
      <c r="B8" s="81" t="n"/>
      <c r="C8" s="81" t="n"/>
      <c r="D8" s="81" t="n"/>
      <c r="E8" s="81" t="n"/>
      <c r="F8" s="81" t="n"/>
      <c r="G8" s="81" t="n"/>
      <c r="H8" s="81" t="n"/>
      <c r="I8" s="81" t="n"/>
      <c r="J8" s="81" t="n"/>
      <c r="K8" s="81" t="n"/>
      <c r="L8" s="81" t="n"/>
      <c r="M8" s="81" t="n"/>
      <c r="N8" s="81" t="n"/>
      <c r="O8" s="81" t="n"/>
      <c r="P8" s="81" t="n"/>
      <c r="Q8" s="81" t="n"/>
      <c r="R8" s="5" t="n"/>
      <c r="S8" s="5" t="n"/>
      <c r="T8" s="5" t="n"/>
      <c r="U8" s="5" t="n"/>
    </row>
    <row r="9">
      <c r="A9" s="82" t="n"/>
      <c r="B9" s="82" t="n"/>
      <c r="C9" s="82" t="n"/>
      <c r="D9" s="82" t="n"/>
      <c r="E9" s="82" t="n"/>
      <c r="F9" s="82" t="n"/>
      <c r="G9" s="82" t="n"/>
      <c r="H9" s="82" t="n"/>
      <c r="I9" s="82" t="n"/>
      <c r="J9" s="82" t="n"/>
      <c r="K9" s="82" t="n"/>
      <c r="L9" s="82" t="n"/>
      <c r="M9" s="82" t="n"/>
      <c r="N9" s="82" t="n"/>
      <c r="O9" s="82" t="n"/>
      <c r="P9" s="82" t="n"/>
      <c r="Q9" s="82" t="n"/>
    </row>
    <row r="10">
      <c r="A10" s="82" t="n"/>
      <c r="B10" s="82" t="n"/>
      <c r="C10" s="82" t="n"/>
      <c r="D10" s="82" t="n"/>
      <c r="E10" s="82" t="n"/>
      <c r="F10" s="82" t="n"/>
      <c r="G10" s="82" t="n"/>
      <c r="H10" s="82" t="n"/>
      <c r="I10" s="82" t="n"/>
      <c r="J10" s="82" t="n"/>
      <c r="K10" s="82" t="n"/>
      <c r="L10" s="82" t="n"/>
      <c r="M10" s="82" t="n"/>
      <c r="N10" s="82" t="n"/>
      <c r="O10" s="82" t="n"/>
      <c r="P10" s="82" t="n"/>
      <c r="Q10" s="82" t="n"/>
    </row>
    <row r="11">
      <c r="A11" s="82" t="n"/>
      <c r="B11" s="82" t="n"/>
      <c r="C11" s="82" t="n"/>
      <c r="D11" s="82" t="n"/>
      <c r="E11" s="82" t="n"/>
      <c r="F11" s="82" t="n"/>
      <c r="G11" s="82" t="n"/>
      <c r="H11" s="82" t="n"/>
      <c r="I11" s="82" t="n"/>
      <c r="J11" s="82" t="n"/>
      <c r="K11" s="82" t="n"/>
      <c r="L11" s="82" t="n"/>
      <c r="M11" s="82" t="n"/>
      <c r="N11" s="82" t="n"/>
      <c r="O11" s="82" t="n"/>
      <c r="P11" s="82" t="n"/>
      <c r="Q11" s="82" t="n"/>
    </row>
    <row r="12">
      <c r="A12" s="82" t="n"/>
      <c r="B12" s="82" t="n"/>
      <c r="C12" s="82" t="n"/>
      <c r="D12" s="82" t="n"/>
      <c r="E12" s="82" t="n"/>
      <c r="F12" s="82" t="n"/>
      <c r="G12" s="82" t="n"/>
      <c r="H12" s="82" t="n"/>
      <c r="I12" s="82" t="n"/>
      <c r="J12" s="82" t="n"/>
      <c r="K12" s="82" t="n"/>
      <c r="L12" s="82" t="n"/>
      <c r="M12" s="82" t="n"/>
      <c r="N12" s="82" t="n"/>
      <c r="O12" s="82" t="n"/>
      <c r="P12" s="82" t="n"/>
      <c r="Q12" s="82" t="n"/>
    </row>
    <row r="13">
      <c r="A13" s="82" t="n"/>
      <c r="B13" s="82" t="n"/>
      <c r="C13" s="82" t="n"/>
      <c r="D13" s="82" t="n"/>
      <c r="E13" s="82" t="n"/>
      <c r="F13" s="82" t="n"/>
      <c r="G13" s="82" t="n"/>
      <c r="H13" s="82" t="n"/>
      <c r="I13" s="82" t="n"/>
      <c r="J13" s="82" t="n"/>
      <c r="K13" s="82" t="n"/>
      <c r="L13" s="82" t="n"/>
      <c r="M13" s="82" t="n"/>
      <c r="N13" s="82" t="n"/>
      <c r="O13" s="82" t="n"/>
      <c r="P13" s="82" t="n"/>
      <c r="Q13" s="82" t="n"/>
    </row>
    <row r="14">
      <c r="A14" s="82" t="n"/>
      <c r="B14" s="82" t="n"/>
      <c r="C14" s="82" t="n"/>
      <c r="D14" s="82" t="n"/>
      <c r="E14" s="82" t="n"/>
      <c r="F14" s="82" t="n"/>
      <c r="G14" s="82" t="n"/>
      <c r="H14" s="82" t="n"/>
      <c r="I14" s="82" t="n"/>
      <c r="J14" s="82" t="n"/>
      <c r="K14" s="82" t="n"/>
      <c r="L14" s="82" t="n"/>
      <c r="M14" s="82" t="n"/>
      <c r="N14" s="82" t="n"/>
      <c r="O14" s="82" t="n"/>
      <c r="P14" s="82" t="n"/>
      <c r="Q14" s="82" t="n"/>
    </row>
    <row r="15">
      <c r="A15" s="82" t="n"/>
      <c r="B15" s="82" t="n"/>
      <c r="C15" s="82" t="n"/>
      <c r="D15" s="82" t="n"/>
      <c r="E15" s="82" t="n"/>
      <c r="F15" s="82" t="n"/>
      <c r="G15" s="82" t="n"/>
      <c r="H15" s="82" t="n"/>
      <c r="I15" s="82" t="n"/>
      <c r="J15" s="82" t="n"/>
      <c r="K15" s="82" t="n"/>
      <c r="L15" s="82" t="n"/>
      <c r="M15" s="82" t="n"/>
      <c r="N15" s="82" t="n"/>
      <c r="O15" s="82" t="n"/>
      <c r="P15" s="82" t="n"/>
      <c r="Q15" s="82" t="n"/>
    </row>
    <row r="16">
      <c r="A16" s="82" t="n"/>
      <c r="B16" s="82" t="n"/>
      <c r="C16" s="82" t="n"/>
      <c r="D16" s="82" t="n"/>
      <c r="E16" s="82" t="n"/>
      <c r="F16" s="82" t="n"/>
      <c r="G16" s="82" t="n"/>
      <c r="H16" s="82" t="n"/>
      <c r="I16" s="82" t="n"/>
      <c r="J16" s="82" t="n"/>
      <c r="K16" s="82" t="n"/>
      <c r="L16" s="82" t="n"/>
      <c r="M16" s="82" t="n"/>
      <c r="N16" s="82" t="n"/>
      <c r="O16" s="82" t="n"/>
      <c r="P16" s="82" t="n"/>
      <c r="Q16" s="82" t="n"/>
    </row>
    <row r="17">
      <c r="A17" s="82" t="n"/>
      <c r="B17" s="82" t="n"/>
      <c r="C17" s="82" t="n"/>
      <c r="D17" s="82" t="n"/>
      <c r="E17" s="82" t="n"/>
      <c r="F17" s="82" t="n"/>
      <c r="G17" s="82" t="n"/>
      <c r="H17" s="82" t="n"/>
      <c r="I17" s="82" t="n"/>
      <c r="J17" s="82" t="n"/>
      <c r="K17" s="82" t="n"/>
      <c r="L17" s="82" t="n"/>
      <c r="M17" s="82" t="n"/>
      <c r="N17" s="82" t="n"/>
      <c r="O17" s="82" t="n"/>
      <c r="P17" s="82" t="n"/>
      <c r="Q17" s="82" t="n"/>
    </row>
    <row r="18">
      <c r="A18" s="82" t="n"/>
      <c r="B18" s="82" t="n"/>
      <c r="C18" s="82" t="n"/>
      <c r="D18" s="82" t="n"/>
      <c r="E18" s="82" t="n"/>
      <c r="F18" s="82" t="n"/>
      <c r="G18" s="82" t="n"/>
      <c r="H18" s="82" t="n"/>
      <c r="I18" s="82" t="n"/>
      <c r="J18" s="82" t="n"/>
      <c r="K18" s="82" t="n"/>
      <c r="L18" s="82" t="n"/>
      <c r="M18" s="82" t="n"/>
      <c r="N18" s="82" t="n"/>
      <c r="O18" s="82" t="n"/>
      <c r="P18" s="82" t="n"/>
      <c r="Q18" s="82" t="n"/>
    </row>
    <row r="19">
      <c r="A19" s="82" t="n"/>
      <c r="B19" s="82" t="n"/>
      <c r="C19" s="82" t="n"/>
      <c r="D19" s="82" t="n"/>
      <c r="E19" s="82" t="n"/>
      <c r="F19" s="82" t="n"/>
      <c r="G19" s="82" t="n"/>
      <c r="H19" s="82" t="n"/>
      <c r="I19" s="82" t="n"/>
      <c r="J19" s="82" t="n"/>
      <c r="K19" s="82" t="n"/>
      <c r="L19" s="82" t="n"/>
      <c r="M19" s="82" t="n"/>
      <c r="N19" s="82" t="n"/>
      <c r="O19" s="82" t="n"/>
      <c r="P19" s="82" t="n"/>
      <c r="Q19" s="82" t="n"/>
    </row>
    <row r="20">
      <c r="A20" s="82" t="n"/>
      <c r="B20" s="82" t="n"/>
      <c r="C20" s="82" t="n"/>
      <c r="D20" s="82" t="n"/>
      <c r="E20" s="82" t="n"/>
      <c r="F20" s="82" t="n"/>
      <c r="G20" s="82" t="n"/>
      <c r="H20" s="82" t="n"/>
      <c r="I20" s="82" t="n"/>
      <c r="J20" s="82" t="n"/>
      <c r="K20" s="82" t="n"/>
      <c r="L20" s="82" t="n"/>
      <c r="M20" s="82" t="n"/>
      <c r="N20" s="82" t="n"/>
      <c r="O20" s="82" t="n"/>
      <c r="P20" s="82" t="n"/>
      <c r="Q20" s="82" t="n"/>
    </row>
    <row r="21">
      <c r="A21" s="82" t="n"/>
      <c r="B21" s="82" t="n"/>
      <c r="C21" s="82" t="n"/>
      <c r="D21" s="82" t="n"/>
      <c r="E21" s="82" t="n"/>
      <c r="F21" s="82" t="n"/>
      <c r="G21" s="82" t="n"/>
      <c r="H21" s="82" t="n"/>
      <c r="I21" s="82" t="n"/>
      <c r="J21" s="82" t="n"/>
      <c r="K21" s="82" t="n"/>
      <c r="L21" s="82" t="n"/>
      <c r="M21" s="82" t="n"/>
      <c r="N21" s="82" t="n"/>
      <c r="O21" s="82" t="n"/>
      <c r="P21" s="82" t="n"/>
      <c r="Q21" s="82" t="n"/>
    </row>
    <row r="22">
      <c r="A22" s="82" t="n"/>
      <c r="B22" s="82" t="n"/>
      <c r="C22" s="82" t="n"/>
      <c r="D22" s="82" t="n"/>
      <c r="E22" s="82" t="n"/>
      <c r="F22" s="82" t="n"/>
      <c r="G22" s="82" t="n"/>
      <c r="H22" s="82" t="n"/>
      <c r="I22" s="82" t="n"/>
      <c r="J22" s="82" t="n"/>
      <c r="K22" s="82" t="n"/>
      <c r="L22" s="82" t="n"/>
      <c r="M22" s="82" t="n"/>
      <c r="N22" s="82" t="n"/>
      <c r="O22" s="82" t="n"/>
      <c r="P22" s="82" t="n"/>
      <c r="Q22" s="82" t="n"/>
    </row>
    <row r="23">
      <c r="A23" s="82" t="n"/>
      <c r="B23" s="82" t="n"/>
      <c r="C23" s="82" t="n"/>
      <c r="D23" s="82" t="n"/>
      <c r="E23" s="82" t="n"/>
      <c r="F23" s="82" t="n"/>
      <c r="G23" s="82" t="n"/>
      <c r="H23" s="82" t="n"/>
      <c r="I23" s="82" t="n"/>
      <c r="J23" s="82" t="n"/>
      <c r="K23" s="82" t="n"/>
      <c r="L23" s="82" t="n"/>
      <c r="M23" s="82" t="n"/>
      <c r="N23" s="82" t="n"/>
      <c r="O23" s="82" t="n"/>
      <c r="P23" s="82" t="n"/>
      <c r="Q23" s="82" t="n"/>
    </row>
    <row r="24">
      <c r="A24" s="82" t="n"/>
      <c r="B24" s="82" t="n"/>
      <c r="C24" s="82" t="n"/>
      <c r="D24" s="82" t="n"/>
      <c r="E24" s="82" t="n"/>
      <c r="F24" s="82" t="n"/>
      <c r="G24" s="82" t="n"/>
      <c r="H24" s="82" t="n"/>
      <c r="I24" s="82" t="n"/>
      <c r="J24" s="82" t="n"/>
      <c r="K24" s="82" t="n"/>
      <c r="L24" s="82" t="n"/>
      <c r="M24" s="82" t="n"/>
      <c r="N24" s="82" t="n"/>
      <c r="O24" s="82" t="n"/>
      <c r="P24" s="82" t="n"/>
      <c r="Q24" s="82" t="n"/>
    </row>
    <row r="25">
      <c r="A25" s="82" t="n"/>
      <c r="B25" s="82" t="n"/>
      <c r="C25" s="82" t="n"/>
      <c r="D25" s="82" t="n"/>
      <c r="E25" s="82" t="n"/>
      <c r="F25" s="82" t="n"/>
      <c r="G25" s="82" t="n"/>
      <c r="H25" s="82" t="n"/>
      <c r="I25" s="82" t="n"/>
      <c r="J25" s="82" t="n"/>
      <c r="K25" s="82" t="n"/>
      <c r="L25" s="82" t="n"/>
      <c r="M25" s="82" t="n"/>
      <c r="N25" s="82" t="n"/>
      <c r="O25" s="82" t="n"/>
      <c r="P25" s="82" t="n"/>
      <c r="Q25" s="82" t="n"/>
    </row>
    <row r="26">
      <c r="A26" s="82" t="n"/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  <c r="L26" s="82" t="n"/>
      <c r="M26" s="82" t="n"/>
      <c r="N26" s="82" t="n"/>
      <c r="O26" s="82" t="n"/>
      <c r="P26" s="82" t="n"/>
      <c r="Q26" s="82" t="n"/>
    </row>
    <row r="27">
      <c r="A27" s="82" t="n"/>
      <c r="B27" s="82" t="n"/>
      <c r="C27" s="82" t="n"/>
      <c r="D27" s="82" t="n"/>
      <c r="E27" s="82" t="n"/>
      <c r="F27" s="82" t="n"/>
      <c r="G27" s="82" t="n"/>
      <c r="H27" s="82" t="n"/>
      <c r="I27" s="82" t="n"/>
      <c r="J27" s="82" t="n"/>
      <c r="K27" s="82" t="n"/>
      <c r="L27" s="82" t="n"/>
      <c r="M27" s="82" t="n"/>
      <c r="N27" s="82" t="n"/>
      <c r="O27" s="82" t="n"/>
      <c r="P27" s="82" t="n"/>
      <c r="Q27" s="82" t="n"/>
    </row>
    <row r="28">
      <c r="A28" s="82" t="n"/>
      <c r="B28" s="82" t="n"/>
      <c r="C28" s="82" t="n"/>
      <c r="D28" s="82" t="n"/>
      <c r="E28" s="82" t="n"/>
      <c r="F28" s="82" t="n"/>
      <c r="G28" s="82" t="n"/>
      <c r="H28" s="82" t="n"/>
      <c r="I28" s="82" t="n"/>
      <c r="J28" s="82" t="n"/>
      <c r="K28" s="82" t="n"/>
      <c r="L28" s="82" t="n"/>
      <c r="M28" s="82" t="n"/>
      <c r="N28" s="82" t="n"/>
      <c r="O28" s="82" t="n"/>
      <c r="P28" s="82" t="n"/>
      <c r="Q28" s="82" t="n"/>
    </row>
    <row r="29">
      <c r="A29" s="82" t="n"/>
      <c r="B29" s="82" t="n"/>
      <c r="C29" s="82" t="n"/>
      <c r="D29" s="82" t="n"/>
      <c r="E29" s="82" t="n"/>
      <c r="F29" s="82" t="n"/>
      <c r="G29" s="82" t="n"/>
      <c r="H29" s="82" t="n"/>
      <c r="I29" s="82" t="n"/>
      <c r="J29" s="82" t="n"/>
      <c r="K29" s="82" t="n"/>
      <c r="L29" s="82" t="n"/>
      <c r="M29" s="82" t="n"/>
      <c r="N29" s="82" t="n"/>
      <c r="O29" s="82" t="n"/>
      <c r="P29" s="82" t="n"/>
      <c r="Q29" s="82" t="n"/>
    </row>
    <row r="30">
      <c r="A30" s="82" t="n"/>
      <c r="B30" s="82" t="n"/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  <c r="M30" s="82" t="n"/>
      <c r="N30" s="82" t="n"/>
      <c r="O30" s="82" t="n"/>
      <c r="P30" s="82" t="n"/>
      <c r="Q30" s="82" t="n"/>
    </row>
    <row r="31">
      <c r="A31" s="82" t="n"/>
      <c r="B31" s="82" t="n"/>
      <c r="C31" s="82" t="n"/>
      <c r="D31" s="82" t="n"/>
      <c r="E31" s="82" t="n"/>
      <c r="F31" s="82" t="n"/>
      <c r="G31" s="82" t="n"/>
      <c r="H31" s="82" t="n"/>
      <c r="I31" s="82" t="n"/>
      <c r="J31" s="82" t="n"/>
      <c r="K31" s="82" t="n"/>
      <c r="L31" s="82" t="n"/>
      <c r="M31" s="82" t="n"/>
      <c r="N31" s="82" t="n"/>
      <c r="O31" s="82" t="n"/>
      <c r="P31" s="82" t="n"/>
      <c r="Q31" s="82" t="n"/>
    </row>
    <row r="32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  <c r="L32" s="82" t="n"/>
      <c r="M32" s="82" t="n"/>
      <c r="N32" s="82" t="n"/>
      <c r="O32" s="82" t="n"/>
      <c r="P32" s="82" t="n"/>
      <c r="Q32" s="82" t="n"/>
    </row>
    <row r="33">
      <c r="A33" s="82" t="n"/>
      <c r="B33" s="82" t="n"/>
      <c r="C33" s="82" t="n"/>
      <c r="D33" s="82" t="n"/>
      <c r="E33" s="82" t="n"/>
      <c r="F33" s="82" t="n"/>
      <c r="G33" s="82" t="n"/>
      <c r="H33" s="82" t="n"/>
      <c r="I33" s="82" t="n"/>
      <c r="J33" s="82" t="n"/>
      <c r="K33" s="82" t="n"/>
      <c r="L33" s="82" t="n"/>
      <c r="M33" s="82" t="n"/>
      <c r="N33" s="82" t="n"/>
      <c r="O33" s="82" t="n"/>
      <c r="P33" s="82" t="n"/>
      <c r="Q33" s="82" t="n"/>
    </row>
    <row r="34">
      <c r="A34" s="82" t="n"/>
      <c r="B34" s="82" t="n"/>
      <c r="C34" s="82" t="n"/>
      <c r="D34" s="82" t="n"/>
      <c r="E34" s="82" t="n"/>
      <c r="F34" s="82" t="n"/>
      <c r="G34" s="82" t="n"/>
      <c r="H34" s="82" t="n"/>
      <c r="I34" s="82" t="n"/>
      <c r="J34" s="82" t="n"/>
      <c r="K34" s="82" t="n"/>
      <c r="L34" s="82" t="n"/>
      <c r="M34" s="82" t="n"/>
      <c r="N34" s="82" t="n"/>
      <c r="O34" s="82" t="n"/>
      <c r="P34" s="82" t="n"/>
      <c r="Q34" s="82" t="n"/>
    </row>
    <row r="35">
      <c r="A35" s="82" t="n"/>
      <c r="B35" s="82" t="n"/>
      <c r="C35" s="82" t="n"/>
      <c r="D35" s="82" t="n"/>
      <c r="E35" s="82" t="n"/>
      <c r="F35" s="82" t="n"/>
      <c r="G35" s="82" t="n"/>
      <c r="H35" s="82" t="n"/>
      <c r="I35" s="82" t="n"/>
      <c r="J35" s="82" t="n"/>
      <c r="K35" s="82" t="n"/>
      <c r="L35" s="82" t="n"/>
      <c r="M35" s="82" t="n"/>
      <c r="N35" s="82" t="n"/>
      <c r="O35" s="82" t="n"/>
      <c r="P35" s="82" t="n"/>
      <c r="Q35" s="82" t="n"/>
    </row>
    <row r="36">
      <c r="A36" s="82" t="n"/>
      <c r="B36" s="82" t="n"/>
      <c r="C36" s="82" t="n"/>
      <c r="D36" s="82" t="n"/>
      <c r="E36" s="82" t="n"/>
      <c r="F36" s="82" t="n"/>
      <c r="G36" s="82" t="n"/>
      <c r="H36" s="82" t="n"/>
      <c r="I36" s="82" t="n"/>
      <c r="J36" s="82" t="n"/>
      <c r="K36" s="82" t="n"/>
      <c r="L36" s="82" t="n"/>
      <c r="M36" s="82" t="n"/>
      <c r="N36" s="82" t="n"/>
      <c r="O36" s="82" t="n"/>
      <c r="P36" s="82" t="n"/>
      <c r="Q36" s="82" t="n"/>
    </row>
    <row r="37">
      <c r="A37" s="82" t="n"/>
      <c r="B37" s="82" t="n"/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  <c r="L37" s="82" t="n"/>
      <c r="M37" s="82" t="n"/>
      <c r="N37" s="82" t="n"/>
      <c r="O37" s="82" t="n"/>
      <c r="P37" s="82" t="n"/>
      <c r="Q37" s="82" t="n"/>
    </row>
    <row r="38">
      <c r="A38" s="82" t="n"/>
      <c r="B38" s="82" t="n"/>
      <c r="C38" s="82" t="n"/>
      <c r="D38" s="82" t="n"/>
      <c r="E38" s="82" t="n"/>
      <c r="F38" s="82" t="n"/>
      <c r="G38" s="82" t="n"/>
      <c r="H38" s="82" t="n"/>
      <c r="I38" s="82" t="n"/>
      <c r="J38" s="82" t="n"/>
      <c r="K38" s="82" t="n"/>
      <c r="L38" s="82" t="n"/>
      <c r="M38" s="82" t="n"/>
      <c r="N38" s="82" t="n"/>
      <c r="O38" s="82" t="n"/>
      <c r="P38" s="82" t="n"/>
      <c r="Q38" s="82" t="n"/>
    </row>
    <row r="39">
      <c r="A39" s="82" t="n"/>
      <c r="B39" s="82" t="n"/>
      <c r="C39" s="82" t="n"/>
      <c r="D39" s="82" t="n"/>
      <c r="E39" s="82" t="n"/>
      <c r="F39" s="82" t="n"/>
      <c r="G39" s="82" t="n"/>
      <c r="H39" s="82" t="n"/>
      <c r="I39" s="82" t="n"/>
      <c r="J39" s="82" t="n"/>
      <c r="K39" s="82" t="n"/>
      <c r="L39" s="82" t="n"/>
      <c r="M39" s="82" t="n"/>
      <c r="N39" s="82" t="n"/>
      <c r="O39" s="82" t="n"/>
      <c r="P39" s="82" t="n"/>
      <c r="Q39" s="82" t="n"/>
    </row>
    <row r="40">
      <c r="A40" s="82" t="n"/>
      <c r="B40" s="82" t="n"/>
      <c r="C40" s="82" t="n"/>
      <c r="D40" s="82" t="n"/>
      <c r="E40" s="82" t="n"/>
      <c r="F40" s="82" t="n"/>
      <c r="G40" s="82" t="n"/>
      <c r="H40" s="82" t="n"/>
      <c r="I40" s="82" t="n"/>
      <c r="J40" s="82" t="n"/>
      <c r="K40" s="82" t="n"/>
      <c r="L40" s="82" t="n"/>
      <c r="M40" s="82" t="n"/>
      <c r="N40" s="82" t="n"/>
      <c r="O40" s="82" t="n"/>
      <c r="P40" s="82" t="n"/>
      <c r="Q40" s="82" t="n"/>
    </row>
    <row r="41">
      <c r="A41" s="82" t="n"/>
      <c r="B41" s="82" t="n"/>
      <c r="C41" s="82" t="n"/>
      <c r="D41" s="82" t="n"/>
      <c r="E41" s="82" t="n"/>
      <c r="F41" s="82" t="n"/>
      <c r="G41" s="82" t="n"/>
      <c r="H41" s="82" t="n"/>
      <c r="I41" s="82" t="n"/>
      <c r="J41" s="82" t="n"/>
      <c r="K41" s="82" t="n"/>
      <c r="L41" s="82" t="n"/>
      <c r="M41" s="82" t="n"/>
      <c r="N41" s="82" t="n"/>
      <c r="O41" s="82" t="n"/>
      <c r="P41" s="82" t="n"/>
      <c r="Q41" s="82" t="n"/>
    </row>
    <row r="42">
      <c r="A42" s="82" t="n"/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  <c r="L42" s="82" t="n"/>
      <c r="M42" s="82" t="n"/>
      <c r="N42" s="82" t="n"/>
      <c r="O42" s="82" t="n"/>
      <c r="P42" s="82" t="n"/>
      <c r="Q42" s="82" t="n"/>
    </row>
    <row r="43">
      <c r="A43" s="82" t="n"/>
      <c r="B43" s="82" t="n"/>
      <c r="C43" s="82" t="n"/>
      <c r="D43" s="82" t="n"/>
      <c r="E43" s="82" t="n"/>
      <c r="F43" s="82" t="n"/>
      <c r="G43" s="82" t="n"/>
      <c r="H43" s="82" t="n"/>
      <c r="I43" s="82" t="n"/>
      <c r="J43" s="82" t="n"/>
      <c r="K43" s="82" t="n"/>
      <c r="L43" s="82" t="n"/>
      <c r="M43" s="82" t="n"/>
      <c r="N43" s="82" t="n"/>
      <c r="O43" s="82" t="n"/>
      <c r="P43" s="82" t="n"/>
      <c r="Q43" s="82" t="n"/>
    </row>
    <row r="44">
      <c r="A44" s="82" t="n"/>
      <c r="B44" s="82" t="n"/>
      <c r="C44" s="82" t="n"/>
      <c r="D44" s="82" t="n"/>
      <c r="E44" s="82" t="n"/>
      <c r="F44" s="82" t="n"/>
      <c r="G44" s="82" t="n"/>
      <c r="H44" s="82" t="n"/>
      <c r="I44" s="82" t="n"/>
      <c r="J44" s="82" t="n"/>
      <c r="K44" s="82" t="n"/>
      <c r="L44" s="82" t="n"/>
      <c r="M44" s="82" t="n"/>
      <c r="N44" s="82" t="n"/>
      <c r="O44" s="82" t="n"/>
      <c r="P44" s="82" t="n"/>
      <c r="Q44" s="82" t="n"/>
    </row>
    <row r="45">
      <c r="A45" s="82" t="n"/>
      <c r="B45" s="82" t="n"/>
      <c r="C45" s="82" t="n"/>
      <c r="D45" s="82" t="n"/>
      <c r="E45" s="82" t="n"/>
      <c r="F45" s="82" t="n"/>
      <c r="G45" s="82" t="n"/>
      <c r="H45" s="82" t="n"/>
      <c r="I45" s="82" t="n"/>
      <c r="J45" s="82" t="n"/>
      <c r="K45" s="82" t="n"/>
      <c r="L45" s="82" t="n"/>
      <c r="M45" s="82" t="n"/>
      <c r="N45" s="82" t="n"/>
      <c r="O45" s="82" t="n"/>
      <c r="P45" s="82" t="n"/>
      <c r="Q45" s="82" t="n"/>
    </row>
    <row r="46">
      <c r="A46" s="82" t="n"/>
      <c r="B46" s="82" t="n"/>
      <c r="C46" s="82" t="n"/>
      <c r="D46" s="82" t="n"/>
      <c r="E46" s="82" t="n"/>
      <c r="F46" s="82" t="n"/>
      <c r="G46" s="82" t="n"/>
      <c r="H46" s="82" t="n"/>
      <c r="I46" s="82" t="n"/>
      <c r="J46" s="82" t="n"/>
      <c r="K46" s="82" t="n"/>
      <c r="L46" s="82" t="n"/>
      <c r="M46" s="82" t="n"/>
      <c r="N46" s="82" t="n"/>
      <c r="O46" s="82" t="n"/>
      <c r="P46" s="82" t="n"/>
      <c r="Q46" s="82" t="n"/>
    </row>
    <row r="47">
      <c r="A47" s="82" t="n"/>
      <c r="B47" s="82" t="n"/>
      <c r="C47" s="82" t="n"/>
      <c r="D47" s="82" t="n"/>
      <c r="E47" s="82" t="n"/>
      <c r="F47" s="82" t="n"/>
      <c r="G47" s="82" t="n"/>
      <c r="H47" s="82" t="n"/>
      <c r="I47" s="82" t="n"/>
      <c r="J47" s="82" t="n"/>
      <c r="K47" s="82" t="n"/>
      <c r="L47" s="82" t="n"/>
      <c r="M47" s="82" t="n"/>
      <c r="N47" s="82" t="n"/>
      <c r="O47" s="82" t="n"/>
      <c r="P47" s="82" t="n"/>
      <c r="Q47" s="82" t="n"/>
    </row>
    <row r="48">
      <c r="A48" s="82" t="n"/>
      <c r="B48" s="82" t="n"/>
      <c r="C48" s="82" t="n"/>
      <c r="D48" s="82" t="n"/>
      <c r="E48" s="82" t="n"/>
      <c r="F48" s="82" t="n"/>
      <c r="G48" s="82" t="n"/>
      <c r="H48" s="82" t="n"/>
      <c r="I48" s="82" t="n"/>
      <c r="J48" s="82" t="n"/>
      <c r="K48" s="82" t="n"/>
      <c r="L48" s="82" t="n"/>
      <c r="M48" s="82" t="n"/>
      <c r="N48" s="82" t="n"/>
      <c r="O48" s="82" t="n"/>
      <c r="P48" s="82" t="n"/>
      <c r="Q48" s="82" t="n"/>
    </row>
    <row r="49">
      <c r="A49" s="82" t="n"/>
      <c r="B49" s="82" t="n"/>
      <c r="C49" s="82" t="n"/>
      <c r="D49" s="82" t="n"/>
      <c r="E49" s="82" t="n"/>
      <c r="F49" s="82" t="n"/>
      <c r="G49" s="82" t="n"/>
      <c r="H49" s="82" t="n"/>
      <c r="I49" s="82" t="n"/>
      <c r="J49" s="82" t="n"/>
      <c r="K49" s="82" t="n"/>
      <c r="L49" s="82" t="n"/>
      <c r="M49" s="82" t="n"/>
      <c r="N49" s="82" t="n"/>
      <c r="O49" s="82" t="n"/>
      <c r="P49" s="82" t="n"/>
      <c r="Q49" s="82" t="n"/>
    </row>
    <row r="50">
      <c r="A50" s="82" t="n"/>
      <c r="B50" s="82" t="n"/>
      <c r="C50" s="82" t="n"/>
      <c r="D50" s="82" t="n"/>
      <c r="E50" s="82" t="n"/>
      <c r="F50" s="82" t="n"/>
      <c r="G50" s="82" t="n"/>
      <c r="H50" s="82" t="n"/>
      <c r="I50" s="82" t="n"/>
      <c r="J50" s="82" t="n"/>
      <c r="K50" s="82" t="n"/>
      <c r="L50" s="82" t="n"/>
      <c r="M50" s="82" t="n"/>
      <c r="N50" s="82" t="n"/>
      <c r="O50" s="82" t="n"/>
      <c r="P50" s="82" t="n"/>
      <c r="Q50" s="82" t="n"/>
    </row>
    <row r="51">
      <c r="A51" s="82" t="n"/>
      <c r="B51" s="82" t="n"/>
      <c r="C51" s="82" t="n"/>
      <c r="D51" s="82" t="n"/>
      <c r="E51" s="82" t="n"/>
      <c r="F51" s="82" t="n"/>
      <c r="G51" s="82" t="n"/>
      <c r="H51" s="82" t="n"/>
      <c r="I51" s="82" t="n"/>
      <c r="J51" s="82" t="n"/>
      <c r="K51" s="82" t="n"/>
      <c r="L51" s="82" t="n"/>
      <c r="M51" s="82" t="n"/>
      <c r="N51" s="82" t="n"/>
      <c r="O51" s="82" t="n"/>
      <c r="P51" s="82" t="n"/>
      <c r="Q51" s="82" t="n"/>
    </row>
    <row r="52">
      <c r="A52" s="82" t="n"/>
      <c r="B52" s="82" t="n"/>
      <c r="C52" s="82" t="n"/>
      <c r="D52" s="82" t="n"/>
      <c r="E52" s="82" t="n"/>
      <c r="F52" s="82" t="n"/>
      <c r="G52" s="82" t="n"/>
      <c r="H52" s="82" t="n"/>
      <c r="I52" s="82" t="n"/>
      <c r="J52" s="82" t="n"/>
      <c r="K52" s="82" t="n"/>
      <c r="L52" s="82" t="n"/>
      <c r="M52" s="82" t="n"/>
      <c r="N52" s="82" t="n"/>
      <c r="O52" s="82" t="n"/>
      <c r="P52" s="82" t="n"/>
      <c r="Q52" s="82" t="n"/>
    </row>
    <row r="53">
      <c r="A53" s="82" t="n"/>
      <c r="B53" s="82" t="n"/>
      <c r="C53" s="82" t="n"/>
      <c r="D53" s="82" t="n"/>
      <c r="E53" s="82" t="n"/>
      <c r="F53" s="82" t="n"/>
      <c r="G53" s="82" t="n"/>
      <c r="H53" s="82" t="n"/>
      <c r="I53" s="82" t="n"/>
      <c r="J53" s="82" t="n"/>
      <c r="K53" s="82" t="n"/>
      <c r="L53" s="82" t="n"/>
      <c r="M53" s="82" t="n"/>
      <c r="N53" s="82" t="n"/>
      <c r="O53" s="82" t="n"/>
      <c r="P53" s="82" t="n"/>
      <c r="Q53" s="82" t="n"/>
    </row>
    <row r="54">
      <c r="A54" s="82" t="n"/>
      <c r="B54" s="82" t="n"/>
      <c r="C54" s="82" t="n"/>
      <c r="D54" s="82" t="n"/>
      <c r="E54" s="82" t="n"/>
      <c r="F54" s="82" t="n"/>
      <c r="G54" s="82" t="n"/>
      <c r="H54" s="82" t="n"/>
      <c r="I54" s="82" t="n"/>
      <c r="J54" s="82" t="n"/>
      <c r="K54" s="82" t="n"/>
      <c r="L54" s="82" t="n"/>
      <c r="M54" s="82" t="n"/>
      <c r="N54" s="82" t="n"/>
      <c r="O54" s="82" t="n"/>
      <c r="P54" s="82" t="n"/>
      <c r="Q54" s="82" t="n"/>
    </row>
    <row r="55">
      <c r="A55" s="82" t="n"/>
      <c r="B55" s="82" t="n"/>
      <c r="C55" s="82" t="n"/>
      <c r="D55" s="82" t="n"/>
      <c r="E55" s="82" t="n"/>
      <c r="F55" s="82" t="n"/>
      <c r="G55" s="82" t="n"/>
      <c r="H55" s="82" t="n"/>
      <c r="I55" s="82" t="n"/>
      <c r="J55" s="82" t="n"/>
      <c r="K55" s="82" t="n"/>
      <c r="L55" s="82" t="n"/>
      <c r="M55" s="82" t="n"/>
      <c r="N55" s="82" t="n"/>
      <c r="O55" s="82" t="n"/>
      <c r="P55" s="82" t="n"/>
      <c r="Q55" s="82" t="n"/>
    </row>
    <row r="56">
      <c r="A56" s="82" t="n"/>
      <c r="B56" s="82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2" t="n"/>
      <c r="L56" s="82" t="n"/>
      <c r="M56" s="82" t="n"/>
      <c r="N56" s="82" t="n"/>
      <c r="O56" s="82" t="n"/>
      <c r="P56" s="82" t="n"/>
      <c r="Q56" s="82" t="n"/>
    </row>
    <row r="57">
      <c r="A57" s="82" t="n"/>
      <c r="B57" s="82" t="n"/>
      <c r="C57" s="82" t="n"/>
      <c r="D57" s="82" t="n"/>
      <c r="E57" s="82" t="n"/>
      <c r="F57" s="82" t="n"/>
      <c r="G57" s="82" t="n"/>
      <c r="H57" s="82" t="n"/>
      <c r="I57" s="82" t="n"/>
      <c r="J57" s="82" t="n"/>
      <c r="K57" s="82" t="n"/>
      <c r="L57" s="82" t="n"/>
      <c r="M57" s="82" t="n"/>
      <c r="N57" s="82" t="n"/>
      <c r="O57" s="82" t="n"/>
      <c r="P57" s="82" t="n"/>
      <c r="Q57" s="82" t="n"/>
    </row>
    <row r="58">
      <c r="A58" s="82" t="n"/>
      <c r="B58" s="82" t="n"/>
      <c r="C58" s="82" t="n"/>
      <c r="D58" s="82" t="n"/>
      <c r="E58" s="82" t="n"/>
      <c r="F58" s="82" t="n"/>
      <c r="G58" s="82" t="n"/>
      <c r="H58" s="82" t="n"/>
      <c r="I58" s="82" t="n"/>
      <c r="J58" s="82" t="n"/>
      <c r="K58" s="82" t="n"/>
      <c r="L58" s="82" t="n"/>
      <c r="M58" s="82" t="n"/>
      <c r="N58" s="82" t="n"/>
      <c r="O58" s="82" t="n"/>
      <c r="P58" s="82" t="n"/>
      <c r="Q58" s="82" t="n"/>
    </row>
    <row r="59">
      <c r="A59" s="82" t="n"/>
      <c r="B59" s="82" t="n"/>
      <c r="C59" s="82" t="n"/>
      <c r="D59" s="82" t="n"/>
      <c r="E59" s="82" t="n"/>
      <c r="F59" s="82" t="n"/>
      <c r="G59" s="82" t="n"/>
      <c r="H59" s="82" t="n"/>
      <c r="I59" s="82" t="n"/>
      <c r="J59" s="82" t="n"/>
      <c r="K59" s="82" t="n"/>
      <c r="L59" s="82" t="n"/>
      <c r="M59" s="82" t="n"/>
      <c r="N59" s="82" t="n"/>
      <c r="O59" s="82" t="n"/>
      <c r="P59" s="82" t="n"/>
      <c r="Q59" s="82" t="n"/>
    </row>
    <row r="60">
      <c r="A60" s="82" t="n"/>
      <c r="B60" s="82" t="n"/>
      <c r="C60" s="82" t="n"/>
      <c r="D60" s="82" t="n"/>
      <c r="E60" s="82" t="n"/>
      <c r="F60" s="82" t="n"/>
      <c r="G60" s="82" t="n"/>
      <c r="H60" s="82" t="n"/>
      <c r="I60" s="82" t="n"/>
      <c r="J60" s="82" t="n"/>
      <c r="K60" s="82" t="n"/>
      <c r="L60" s="82" t="n"/>
      <c r="M60" s="82" t="n"/>
      <c r="N60" s="82" t="n"/>
      <c r="O60" s="82" t="n"/>
      <c r="P60" s="82" t="n"/>
      <c r="Q60" s="82" t="n"/>
    </row>
    <row r="61">
      <c r="A61" s="82" t="n"/>
      <c r="B61" s="82" t="n"/>
      <c r="C61" s="82" t="n"/>
      <c r="D61" s="82" t="n"/>
      <c r="E61" s="82" t="n"/>
      <c r="F61" s="82" t="n"/>
      <c r="G61" s="82" t="n"/>
      <c r="H61" s="82" t="n"/>
      <c r="I61" s="82" t="n"/>
      <c r="J61" s="82" t="n"/>
      <c r="K61" s="82" t="n"/>
      <c r="L61" s="82" t="n"/>
      <c r="M61" s="82" t="n"/>
      <c r="N61" s="82" t="n"/>
      <c r="O61" s="82" t="n"/>
      <c r="P61" s="82" t="n"/>
      <c r="Q61" s="82" t="n"/>
    </row>
    <row r="62">
      <c r="A62" s="82" t="n"/>
      <c r="B62" s="82" t="n"/>
      <c r="C62" s="82" t="n"/>
      <c r="D62" s="82" t="n"/>
      <c r="E62" s="82" t="n"/>
      <c r="F62" s="82" t="n"/>
      <c r="G62" s="82" t="n"/>
      <c r="H62" s="82" t="n"/>
      <c r="I62" s="82" t="n"/>
      <c r="J62" s="82" t="n"/>
      <c r="K62" s="82" t="n"/>
      <c r="L62" s="82" t="n"/>
      <c r="M62" s="82" t="n"/>
      <c r="N62" s="82" t="n"/>
      <c r="O62" s="82" t="n"/>
      <c r="P62" s="82" t="n"/>
      <c r="Q62" s="82" t="n"/>
    </row>
    <row r="63">
      <c r="A63" s="82" t="n"/>
      <c r="B63" s="82" t="n"/>
      <c r="C63" s="82" t="n"/>
      <c r="D63" s="82" t="n"/>
      <c r="E63" s="82" t="n"/>
      <c r="F63" s="82" t="n"/>
      <c r="G63" s="82" t="n"/>
      <c r="H63" s="82" t="n"/>
      <c r="I63" s="82" t="n"/>
      <c r="J63" s="82" t="n"/>
      <c r="K63" s="82" t="n"/>
      <c r="L63" s="82" t="n"/>
      <c r="M63" s="82" t="n"/>
      <c r="N63" s="82" t="n"/>
      <c r="O63" s="82" t="n"/>
      <c r="P63" s="82" t="n"/>
      <c r="Q63" s="82" t="n"/>
    </row>
    <row r="64">
      <c r="A64" s="82" t="n"/>
      <c r="B64" s="82" t="n"/>
      <c r="C64" s="82" t="n"/>
      <c r="D64" s="82" t="n"/>
      <c r="E64" s="82" t="n"/>
      <c r="F64" s="82" t="n"/>
      <c r="G64" s="82" t="n"/>
      <c r="H64" s="82" t="n"/>
      <c r="I64" s="82" t="n"/>
      <c r="J64" s="82" t="n"/>
      <c r="K64" s="82" t="n"/>
      <c r="L64" s="82" t="n"/>
      <c r="M64" s="82" t="n"/>
      <c r="N64" s="82" t="n"/>
      <c r="O64" s="82" t="n"/>
      <c r="P64" s="82" t="n"/>
      <c r="Q64" s="82" t="n"/>
    </row>
    <row r="65">
      <c r="A65" s="82" t="n"/>
      <c r="B65" s="82" t="n"/>
      <c r="C65" s="82" t="n"/>
      <c r="D65" s="82" t="n"/>
      <c r="E65" s="82" t="n"/>
      <c r="F65" s="82" t="n"/>
      <c r="G65" s="82" t="n"/>
      <c r="H65" s="82" t="n"/>
      <c r="I65" s="82" t="n"/>
      <c r="J65" s="82" t="n"/>
      <c r="K65" s="82" t="n"/>
      <c r="L65" s="82" t="n"/>
      <c r="M65" s="82" t="n"/>
      <c r="N65" s="82" t="n"/>
      <c r="O65" s="82" t="n"/>
      <c r="P65" s="82" t="n"/>
      <c r="Q65" s="82" t="n"/>
    </row>
    <row r="66">
      <c r="A66" s="82" t="n"/>
      <c r="B66" s="82" t="n"/>
      <c r="C66" s="82" t="n"/>
      <c r="D66" s="82" t="n"/>
      <c r="E66" s="82" t="n"/>
      <c r="F66" s="82" t="n"/>
      <c r="G66" s="82" t="n"/>
      <c r="H66" s="82" t="n"/>
      <c r="I66" s="82" t="n"/>
      <c r="J66" s="82" t="n"/>
      <c r="K66" s="82" t="n"/>
      <c r="L66" s="82" t="n"/>
      <c r="M66" s="82" t="n"/>
      <c r="N66" s="82" t="n"/>
      <c r="O66" s="82" t="n"/>
      <c r="P66" s="82" t="n"/>
      <c r="Q66" s="82" t="n"/>
    </row>
    <row r="67">
      <c r="A67" s="82" t="n"/>
      <c r="B67" s="82" t="n"/>
      <c r="C67" s="82" t="n"/>
      <c r="D67" s="82" t="n"/>
      <c r="E67" s="82" t="n"/>
      <c r="F67" s="82" t="n"/>
      <c r="G67" s="82" t="n"/>
      <c r="H67" s="82" t="n"/>
      <c r="I67" s="82" t="n"/>
      <c r="J67" s="82" t="n"/>
      <c r="K67" s="82" t="n"/>
      <c r="L67" s="82" t="n"/>
      <c r="M67" s="82" t="n"/>
      <c r="N67" s="82" t="n"/>
      <c r="O67" s="82" t="n"/>
      <c r="P67" s="82" t="n"/>
      <c r="Q67" s="82" t="n"/>
    </row>
    <row r="68">
      <c r="A68" s="82" t="n"/>
      <c r="B68" s="82" t="n"/>
      <c r="C68" s="82" t="n"/>
      <c r="D68" s="82" t="n"/>
      <c r="E68" s="82" t="n"/>
      <c r="F68" s="82" t="n"/>
      <c r="G68" s="82" t="n"/>
      <c r="H68" s="82" t="n"/>
      <c r="I68" s="82" t="n"/>
      <c r="J68" s="82" t="n"/>
      <c r="K68" s="82" t="n"/>
      <c r="L68" s="82" t="n"/>
      <c r="M68" s="82" t="n"/>
      <c r="N68" s="82" t="n"/>
      <c r="O68" s="82" t="n"/>
      <c r="P68" s="82" t="n"/>
      <c r="Q68" s="82" t="n"/>
    </row>
    <row r="69">
      <c r="A69" s="82" t="n"/>
      <c r="B69" s="82" t="n"/>
      <c r="C69" s="82" t="n"/>
      <c r="D69" s="82" t="n"/>
      <c r="E69" s="82" t="n"/>
      <c r="F69" s="82" t="n"/>
      <c r="G69" s="82" t="n"/>
      <c r="H69" s="82" t="n"/>
      <c r="I69" s="82" t="n"/>
      <c r="J69" s="82" t="n"/>
      <c r="K69" s="82" t="n"/>
      <c r="L69" s="82" t="n"/>
      <c r="M69" s="82" t="n"/>
      <c r="N69" s="82" t="n"/>
      <c r="O69" s="82" t="n"/>
      <c r="P69" s="82" t="n"/>
      <c r="Q69" s="82" t="n"/>
    </row>
    <row r="70">
      <c r="A70" s="82" t="n"/>
      <c r="B70" s="82" t="n"/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  <c r="N70" s="82" t="n"/>
      <c r="O70" s="82" t="n"/>
      <c r="P70" s="82" t="n"/>
      <c r="Q70" s="82" t="n"/>
    </row>
    <row r="71">
      <c r="A71" s="82" t="n"/>
      <c r="B71" s="82" t="n"/>
      <c r="C71" s="82" t="n"/>
      <c r="D71" s="82" t="n"/>
      <c r="E71" s="82" t="n"/>
      <c r="F71" s="82" t="n"/>
      <c r="G71" s="82" t="n"/>
      <c r="H71" s="82" t="n"/>
      <c r="I71" s="82" t="n"/>
      <c r="J71" s="82" t="n"/>
      <c r="K71" s="82" t="n"/>
      <c r="L71" s="82" t="n"/>
      <c r="M71" s="82" t="n"/>
      <c r="N71" s="82" t="n"/>
      <c r="O71" s="82" t="n"/>
      <c r="P71" s="82" t="n"/>
      <c r="Q71" s="82" t="n"/>
    </row>
    <row r="72">
      <c r="A72" s="82" t="n"/>
      <c r="B72" s="82" t="n"/>
      <c r="C72" s="82" t="n"/>
      <c r="D72" s="82" t="n"/>
      <c r="E72" s="82" t="n"/>
      <c r="F72" s="82" t="n"/>
      <c r="G72" s="82" t="n"/>
      <c r="H72" s="82" t="n"/>
      <c r="I72" s="82" t="n"/>
      <c r="J72" s="82" t="n"/>
      <c r="K72" s="82" t="n"/>
      <c r="L72" s="82" t="n"/>
      <c r="M72" s="82" t="n"/>
      <c r="N72" s="82" t="n"/>
      <c r="O72" s="82" t="n"/>
      <c r="P72" s="82" t="n"/>
      <c r="Q72" s="82" t="n"/>
    </row>
    <row r="73">
      <c r="A73" s="82" t="n"/>
      <c r="B73" s="82" t="n"/>
      <c r="C73" s="82" t="n"/>
      <c r="D73" s="82" t="n"/>
      <c r="E73" s="82" t="n"/>
      <c r="F73" s="82" t="n"/>
      <c r="G73" s="82" t="n"/>
      <c r="H73" s="82" t="n"/>
      <c r="I73" s="82" t="n"/>
      <c r="J73" s="82" t="n"/>
      <c r="K73" s="82" t="n"/>
      <c r="L73" s="82" t="n"/>
      <c r="M73" s="82" t="n"/>
      <c r="N73" s="82" t="n"/>
      <c r="O73" s="82" t="n"/>
      <c r="P73" s="82" t="n"/>
      <c r="Q73" s="82" t="n"/>
    </row>
    <row r="74">
      <c r="A74" s="82" t="n"/>
      <c r="B74" s="82" t="n"/>
      <c r="C74" s="82" t="n"/>
      <c r="D74" s="82" t="n"/>
      <c r="E74" s="82" t="n"/>
      <c r="F74" s="82" t="n"/>
      <c r="G74" s="82" t="n"/>
      <c r="H74" s="82" t="n"/>
      <c r="I74" s="82" t="n"/>
      <c r="J74" s="82" t="n"/>
      <c r="K74" s="82" t="n"/>
      <c r="L74" s="82" t="n"/>
      <c r="M74" s="82" t="n"/>
      <c r="N74" s="82" t="n"/>
      <c r="O74" s="82" t="n"/>
      <c r="P74" s="82" t="n"/>
      <c r="Q74" s="82" t="n"/>
    </row>
    <row r="75">
      <c r="A75" s="82" t="n"/>
      <c r="B75" s="82" t="n"/>
      <c r="C75" s="82" t="n"/>
      <c r="D75" s="82" t="n"/>
      <c r="E75" s="82" t="n"/>
      <c r="F75" s="82" t="n"/>
      <c r="G75" s="82" t="n"/>
      <c r="H75" s="82" t="n"/>
      <c r="I75" s="82" t="n"/>
      <c r="J75" s="82" t="n"/>
      <c r="K75" s="82" t="n"/>
      <c r="L75" s="82" t="n"/>
      <c r="M75" s="82" t="n"/>
      <c r="N75" s="82" t="n"/>
      <c r="O75" s="82" t="n"/>
      <c r="P75" s="82" t="n"/>
      <c r="Q75" s="82" t="n"/>
    </row>
    <row r="76">
      <c r="A76" s="82" t="n"/>
      <c r="B76" s="82" t="n"/>
      <c r="C76" s="82" t="n"/>
      <c r="D76" s="82" t="n"/>
      <c r="E76" s="82" t="n"/>
      <c r="F76" s="82" t="n"/>
      <c r="G76" s="82" t="n"/>
      <c r="H76" s="82" t="n"/>
      <c r="I76" s="82" t="n"/>
      <c r="J76" s="82" t="n"/>
      <c r="K76" s="82" t="n"/>
      <c r="L76" s="82" t="n"/>
      <c r="M76" s="82" t="n"/>
      <c r="N76" s="82" t="n"/>
      <c r="O76" s="82" t="n"/>
      <c r="P76" s="82" t="n"/>
      <c r="Q76" s="82" t="n"/>
    </row>
    <row r="77">
      <c r="A77" s="82" t="n"/>
      <c r="B77" s="82" t="n"/>
      <c r="C77" s="82" t="n"/>
      <c r="D77" s="82" t="n"/>
      <c r="E77" s="82" t="n"/>
      <c r="F77" s="82" t="n"/>
      <c r="G77" s="82" t="n"/>
      <c r="H77" s="82" t="n"/>
      <c r="I77" s="82" t="n"/>
      <c r="J77" s="82" t="n"/>
      <c r="K77" s="82" t="n"/>
      <c r="L77" s="82" t="n"/>
      <c r="M77" s="82" t="n"/>
      <c r="N77" s="82" t="n"/>
      <c r="O77" s="82" t="n"/>
      <c r="P77" s="82" t="n"/>
      <c r="Q77" s="82" t="n"/>
    </row>
    <row r="78">
      <c r="A78" s="82" t="n"/>
      <c r="B78" s="82" t="n"/>
      <c r="C78" s="82" t="n"/>
      <c r="D78" s="82" t="n"/>
      <c r="E78" s="82" t="n"/>
      <c r="F78" s="82" t="n"/>
      <c r="G78" s="82" t="n"/>
      <c r="H78" s="82" t="n"/>
      <c r="I78" s="82" t="n"/>
      <c r="J78" s="82" t="n"/>
      <c r="K78" s="82" t="n"/>
      <c r="L78" s="82" t="n"/>
      <c r="M78" s="82" t="n"/>
      <c r="N78" s="82" t="n"/>
      <c r="O78" s="82" t="n"/>
      <c r="P78" s="82" t="n"/>
      <c r="Q78" s="82" t="n"/>
    </row>
    <row r="79">
      <c r="A79" s="82" t="n"/>
      <c r="B79" s="82" t="n"/>
      <c r="C79" s="82" t="n"/>
      <c r="D79" s="82" t="n"/>
      <c r="E79" s="82" t="n"/>
      <c r="F79" s="82" t="n"/>
      <c r="G79" s="82" t="n"/>
      <c r="H79" s="82" t="n"/>
      <c r="I79" s="82" t="n"/>
      <c r="J79" s="82" t="n"/>
      <c r="K79" s="82" t="n"/>
      <c r="L79" s="82" t="n"/>
      <c r="M79" s="82" t="n"/>
      <c r="N79" s="82" t="n"/>
      <c r="O79" s="82" t="n"/>
      <c r="P79" s="82" t="n"/>
      <c r="Q79" s="82" t="n"/>
    </row>
    <row r="80">
      <c r="A80" s="82" t="n"/>
      <c r="B80" s="82" t="n"/>
      <c r="C80" s="82" t="n"/>
      <c r="D80" s="82" t="n"/>
      <c r="E80" s="82" t="n"/>
      <c r="F80" s="82" t="n"/>
      <c r="G80" s="82" t="n"/>
      <c r="H80" s="82" t="n"/>
      <c r="I80" s="82" t="n"/>
      <c r="J80" s="82" t="n"/>
      <c r="K80" s="82" t="n"/>
      <c r="L80" s="82" t="n"/>
      <c r="M80" s="82" t="n"/>
      <c r="N80" s="82" t="n"/>
      <c r="O80" s="82" t="n"/>
      <c r="P80" s="82" t="n"/>
      <c r="Q80" s="82" t="n"/>
    </row>
    <row r="81">
      <c r="A81" s="82" t="n"/>
      <c r="B81" s="82" t="n"/>
      <c r="C81" s="82" t="n"/>
      <c r="D81" s="82" t="n"/>
      <c r="E81" s="82" t="n"/>
      <c r="F81" s="82" t="n"/>
      <c r="G81" s="82" t="n"/>
      <c r="H81" s="82" t="n"/>
      <c r="I81" s="82" t="n"/>
      <c r="J81" s="82" t="n"/>
      <c r="K81" s="82" t="n"/>
      <c r="L81" s="82" t="n"/>
      <c r="M81" s="82" t="n"/>
      <c r="N81" s="82" t="n"/>
      <c r="O81" s="82" t="n"/>
      <c r="P81" s="82" t="n"/>
      <c r="Q81" s="82" t="n"/>
    </row>
    <row r="82">
      <c r="A82" s="82" t="n"/>
      <c r="B82" s="82" t="n"/>
      <c r="C82" s="82" t="n"/>
      <c r="D82" s="82" t="n"/>
      <c r="E82" s="82" t="n"/>
      <c r="F82" s="82" t="n"/>
      <c r="G82" s="82" t="n"/>
      <c r="H82" s="82" t="n"/>
      <c r="I82" s="82" t="n"/>
      <c r="J82" s="82" t="n"/>
      <c r="K82" s="82" t="n"/>
      <c r="L82" s="82" t="n"/>
      <c r="M82" s="82" t="n"/>
      <c r="N82" s="82" t="n"/>
      <c r="O82" s="82" t="n"/>
      <c r="P82" s="82" t="n"/>
      <c r="Q82" s="82" t="n"/>
    </row>
    <row r="83">
      <c r="A83" s="82" t="n"/>
      <c r="B83" s="82" t="n"/>
      <c r="C83" s="82" t="n"/>
      <c r="D83" s="82" t="n"/>
      <c r="E83" s="82" t="n"/>
      <c r="F83" s="82" t="n"/>
      <c r="G83" s="82" t="n"/>
      <c r="H83" s="82" t="n"/>
      <c r="I83" s="82" t="n"/>
      <c r="J83" s="82" t="n"/>
      <c r="K83" s="82" t="n"/>
      <c r="L83" s="82" t="n"/>
      <c r="M83" s="82" t="n"/>
      <c r="N83" s="82" t="n"/>
      <c r="O83" s="82" t="n"/>
      <c r="P83" s="82" t="n"/>
      <c r="Q83" s="82" t="n"/>
    </row>
    <row r="84">
      <c r="A84" s="82" t="n"/>
      <c r="B84" s="82" t="n"/>
      <c r="C84" s="82" t="n"/>
      <c r="D84" s="82" t="n"/>
      <c r="E84" s="82" t="n"/>
      <c r="F84" s="82" t="n"/>
      <c r="G84" s="82" t="n"/>
      <c r="H84" s="82" t="n"/>
      <c r="I84" s="82" t="n"/>
      <c r="J84" s="82" t="n"/>
      <c r="K84" s="82" t="n"/>
      <c r="L84" s="82" t="n"/>
      <c r="M84" s="82" t="n"/>
      <c r="N84" s="82" t="n"/>
      <c r="O84" s="82" t="n"/>
      <c r="P84" s="82" t="n"/>
      <c r="Q84" s="82" t="n"/>
    </row>
    <row r="85">
      <c r="A85" s="82" t="n"/>
      <c r="B85" s="82" t="n"/>
      <c r="C85" s="82" t="n"/>
      <c r="D85" s="82" t="n"/>
      <c r="E85" s="82" t="n"/>
      <c r="F85" s="82" t="n"/>
      <c r="G85" s="82" t="n"/>
      <c r="H85" s="82" t="n"/>
      <c r="I85" s="82" t="n"/>
      <c r="J85" s="82" t="n"/>
      <c r="K85" s="82" t="n"/>
      <c r="L85" s="82" t="n"/>
      <c r="M85" s="82" t="n"/>
      <c r="N85" s="82" t="n"/>
      <c r="O85" s="82" t="n"/>
      <c r="P85" s="82" t="n"/>
      <c r="Q85" s="82" t="n"/>
    </row>
    <row r="86">
      <c r="A86" s="82" t="n"/>
      <c r="B86" s="82" t="n"/>
      <c r="C86" s="82" t="n"/>
      <c r="D86" s="82" t="n"/>
      <c r="E86" s="82" t="n"/>
      <c r="F86" s="82" t="n"/>
      <c r="G86" s="82" t="n"/>
      <c r="H86" s="82" t="n"/>
      <c r="I86" s="82" t="n"/>
      <c r="J86" s="82" t="n"/>
      <c r="K86" s="82" t="n"/>
      <c r="L86" s="82" t="n"/>
      <c r="M86" s="82" t="n"/>
      <c r="N86" s="82" t="n"/>
      <c r="O86" s="82" t="n"/>
      <c r="P86" s="82" t="n"/>
      <c r="Q86" s="82" t="n"/>
    </row>
    <row r="87">
      <c r="A87" s="82" t="n"/>
      <c r="B87" s="82" t="n"/>
      <c r="C87" s="82" t="n"/>
      <c r="D87" s="82" t="n"/>
      <c r="E87" s="82" t="n"/>
      <c r="F87" s="82" t="n"/>
      <c r="G87" s="82" t="n"/>
      <c r="H87" s="82" t="n"/>
      <c r="I87" s="82" t="n"/>
      <c r="J87" s="82" t="n"/>
      <c r="K87" s="82" t="n"/>
      <c r="L87" s="82" t="n"/>
      <c r="M87" s="82" t="n"/>
      <c r="N87" s="82" t="n"/>
      <c r="O87" s="82" t="n"/>
      <c r="P87" s="82" t="n"/>
      <c r="Q87" s="82" t="n"/>
    </row>
    <row r="88">
      <c r="A88" s="82" t="n"/>
      <c r="B88" s="82" t="n"/>
      <c r="C88" s="82" t="n"/>
      <c r="D88" s="82" t="n"/>
      <c r="E88" s="82" t="n"/>
      <c r="F88" s="82" t="n"/>
      <c r="G88" s="82" t="n"/>
      <c r="H88" s="82" t="n"/>
      <c r="I88" s="82" t="n"/>
      <c r="J88" s="82" t="n"/>
      <c r="K88" s="82" t="n"/>
      <c r="L88" s="82" t="n"/>
      <c r="M88" s="82" t="n"/>
      <c r="N88" s="82" t="n"/>
      <c r="O88" s="82" t="n"/>
      <c r="P88" s="82" t="n"/>
      <c r="Q88" s="82" t="n"/>
    </row>
    <row r="89">
      <c r="A89" s="82" t="n"/>
      <c r="B89" s="82" t="n"/>
      <c r="C89" s="82" t="n"/>
      <c r="D89" s="82" t="n"/>
      <c r="E89" s="82" t="n"/>
      <c r="F89" s="82" t="n"/>
      <c r="G89" s="82" t="n"/>
      <c r="H89" s="82" t="n"/>
      <c r="I89" s="82" t="n"/>
      <c r="J89" s="82" t="n"/>
      <c r="K89" s="82" t="n"/>
      <c r="L89" s="82" t="n"/>
      <c r="M89" s="82" t="n"/>
      <c r="N89" s="82" t="n"/>
      <c r="O89" s="82" t="n"/>
      <c r="P89" s="82" t="n"/>
      <c r="Q89" s="82" t="n"/>
    </row>
    <row r="90">
      <c r="A90" s="82" t="n"/>
      <c r="B90" s="82" t="n"/>
      <c r="C90" s="82" t="n"/>
      <c r="D90" s="82" t="n"/>
      <c r="E90" s="82" t="n"/>
      <c r="F90" s="82" t="n"/>
      <c r="G90" s="82" t="n"/>
      <c r="H90" s="82" t="n"/>
      <c r="I90" s="82" t="n"/>
      <c r="J90" s="82" t="n"/>
      <c r="K90" s="82" t="n"/>
      <c r="L90" s="82" t="n"/>
      <c r="M90" s="82" t="n"/>
      <c r="N90" s="82" t="n"/>
      <c r="O90" s="82" t="n"/>
      <c r="P90" s="82" t="n"/>
      <c r="Q90" s="82" t="n"/>
    </row>
    <row r="91">
      <c r="A91" s="82" t="n"/>
      <c r="B91" s="82" t="n"/>
      <c r="C91" s="82" t="n"/>
      <c r="D91" s="82" t="n"/>
      <c r="E91" s="82" t="n"/>
      <c r="F91" s="82" t="n"/>
      <c r="G91" s="82" t="n"/>
      <c r="H91" s="82" t="n"/>
      <c r="I91" s="82" t="n"/>
      <c r="J91" s="82" t="n"/>
      <c r="K91" s="82" t="n"/>
      <c r="L91" s="82" t="n"/>
      <c r="M91" s="82" t="n"/>
      <c r="N91" s="82" t="n"/>
      <c r="O91" s="82" t="n"/>
      <c r="P91" s="82" t="n"/>
      <c r="Q91" s="82" t="n"/>
    </row>
    <row r="92">
      <c r="A92" s="82" t="n"/>
      <c r="B92" s="82" t="n"/>
      <c r="C92" s="82" t="n"/>
      <c r="D92" s="82" t="n"/>
      <c r="E92" s="82" t="n"/>
      <c r="F92" s="82" t="n"/>
      <c r="G92" s="82" t="n"/>
      <c r="H92" s="82" t="n"/>
      <c r="I92" s="82" t="n"/>
      <c r="J92" s="82" t="n"/>
      <c r="K92" s="82" t="n"/>
      <c r="L92" s="82" t="n"/>
      <c r="M92" s="82" t="n"/>
      <c r="N92" s="82" t="n"/>
      <c r="O92" s="82" t="n"/>
      <c r="P92" s="82" t="n"/>
      <c r="Q92" s="82" t="n"/>
    </row>
    <row r="93">
      <c r="A93" s="82" t="n"/>
      <c r="B93" s="82" t="n"/>
      <c r="C93" s="82" t="n"/>
      <c r="D93" s="82" t="n"/>
      <c r="E93" s="82" t="n"/>
      <c r="F93" s="82" t="n"/>
      <c r="G93" s="82" t="n"/>
      <c r="H93" s="82" t="n"/>
      <c r="I93" s="82" t="n"/>
      <c r="J93" s="82" t="n"/>
      <c r="K93" s="82" t="n"/>
      <c r="L93" s="82" t="n"/>
      <c r="M93" s="82" t="n"/>
      <c r="N93" s="82" t="n"/>
      <c r="O93" s="82" t="n"/>
      <c r="P93" s="82" t="n"/>
      <c r="Q93" s="82" t="n"/>
    </row>
    <row r="94">
      <c r="A94" s="82" t="n"/>
      <c r="B94" s="82" t="n"/>
      <c r="C94" s="82" t="n"/>
      <c r="D94" s="82" t="n"/>
      <c r="E94" s="82" t="n"/>
      <c r="F94" s="82" t="n"/>
      <c r="G94" s="82" t="n"/>
      <c r="H94" s="82" t="n"/>
      <c r="I94" s="82" t="n"/>
      <c r="J94" s="82" t="n"/>
      <c r="K94" s="82" t="n"/>
      <c r="L94" s="82" t="n"/>
      <c r="M94" s="82" t="n"/>
      <c r="N94" s="82" t="n"/>
      <c r="O94" s="82" t="n"/>
      <c r="P94" s="82" t="n"/>
      <c r="Q94" s="82" t="n"/>
    </row>
    <row r="95">
      <c r="A95" s="82" t="n"/>
      <c r="B95" s="82" t="n"/>
      <c r="C95" s="82" t="n"/>
      <c r="D95" s="82" t="n"/>
      <c r="E95" s="82" t="n"/>
      <c r="F95" s="82" t="n"/>
      <c r="G95" s="82" t="n"/>
      <c r="H95" s="82" t="n"/>
      <c r="I95" s="82" t="n"/>
      <c r="J95" s="82" t="n"/>
      <c r="K95" s="82" t="n"/>
      <c r="L95" s="82" t="n"/>
      <c r="M95" s="82" t="n"/>
      <c r="N95" s="82" t="n"/>
      <c r="O95" s="82" t="n"/>
      <c r="P95" s="82" t="n"/>
      <c r="Q95" s="82" t="n"/>
    </row>
    <row r="96">
      <c r="A96" s="82" t="n"/>
      <c r="B96" s="82" t="n"/>
      <c r="C96" s="82" t="n"/>
      <c r="D96" s="82" t="n"/>
      <c r="E96" s="82" t="n"/>
      <c r="F96" s="82" t="n"/>
      <c r="G96" s="82" t="n"/>
      <c r="H96" s="82" t="n"/>
      <c r="I96" s="82" t="n"/>
      <c r="J96" s="82" t="n"/>
      <c r="K96" s="82" t="n"/>
      <c r="L96" s="82" t="n"/>
      <c r="M96" s="82" t="n"/>
      <c r="N96" s="82" t="n"/>
      <c r="O96" s="82" t="n"/>
      <c r="P96" s="82" t="n"/>
      <c r="Q96" s="82" t="n"/>
    </row>
    <row r="97">
      <c r="A97" s="82" t="n"/>
      <c r="B97" s="82" t="n"/>
      <c r="C97" s="82" t="n"/>
      <c r="D97" s="82" t="n"/>
      <c r="E97" s="82" t="n"/>
      <c r="F97" s="82" t="n"/>
      <c r="G97" s="82" t="n"/>
      <c r="H97" s="82" t="n"/>
      <c r="I97" s="82" t="n"/>
      <c r="J97" s="82" t="n"/>
      <c r="K97" s="82" t="n"/>
      <c r="L97" s="82" t="n"/>
      <c r="M97" s="82" t="n"/>
      <c r="N97" s="82" t="n"/>
      <c r="O97" s="82" t="n"/>
      <c r="P97" s="82" t="n"/>
      <c r="Q97" s="82" t="n"/>
    </row>
    <row r="98">
      <c r="A98" s="82" t="n"/>
      <c r="B98" s="82" t="n"/>
      <c r="C98" s="82" t="n"/>
      <c r="D98" s="82" t="n"/>
      <c r="E98" s="82" t="n"/>
      <c r="F98" s="82" t="n"/>
      <c r="G98" s="82" t="n"/>
      <c r="H98" s="82" t="n"/>
      <c r="I98" s="82" t="n"/>
      <c r="J98" s="82" t="n"/>
      <c r="K98" s="82" t="n"/>
      <c r="L98" s="82" t="n"/>
      <c r="M98" s="82" t="n"/>
      <c r="N98" s="82" t="n"/>
      <c r="O98" s="82" t="n"/>
      <c r="P98" s="82" t="n"/>
      <c r="Q98" s="82" t="n"/>
    </row>
    <row r="99">
      <c r="A99" s="82" t="n"/>
      <c r="B99" s="82" t="n"/>
      <c r="C99" s="82" t="n"/>
      <c r="D99" s="82" t="n"/>
      <c r="E99" s="82" t="n"/>
      <c r="F99" s="82" t="n"/>
      <c r="G99" s="82" t="n"/>
      <c r="H99" s="82" t="n"/>
      <c r="I99" s="82" t="n"/>
      <c r="J99" s="82" t="n"/>
      <c r="K99" s="82" t="n"/>
      <c r="L99" s="82" t="n"/>
      <c r="M99" s="82" t="n"/>
      <c r="N99" s="82" t="n"/>
      <c r="O99" s="82" t="n"/>
      <c r="P99" s="82" t="n"/>
      <c r="Q99" s="82" t="n"/>
    </row>
    <row r="100">
      <c r="A100" s="82" t="n"/>
      <c r="B100" s="82" t="n"/>
      <c r="C100" s="82" t="n"/>
      <c r="D100" s="82" t="n"/>
      <c r="E100" s="82" t="n"/>
      <c r="F100" s="82" t="n"/>
      <c r="G100" s="82" t="n"/>
      <c r="H100" s="82" t="n"/>
      <c r="I100" s="82" t="n"/>
      <c r="J100" s="82" t="n"/>
      <c r="K100" s="82" t="n"/>
      <c r="L100" s="82" t="n"/>
      <c r="M100" s="82" t="n"/>
      <c r="N100" s="82" t="n"/>
      <c r="O100" s="82" t="n"/>
      <c r="P100" s="82" t="n"/>
      <c r="Q100" s="82" t="n"/>
    </row>
    <row r="101">
      <c r="A101" s="82" t="n"/>
      <c r="B101" s="82" t="n"/>
      <c r="C101" s="82" t="n"/>
      <c r="D101" s="82" t="n"/>
      <c r="E101" s="82" t="n"/>
      <c r="F101" s="82" t="n"/>
      <c r="G101" s="82" t="n"/>
      <c r="H101" s="82" t="n"/>
      <c r="I101" s="82" t="n"/>
      <c r="J101" s="82" t="n"/>
      <c r="K101" s="82" t="n"/>
      <c r="L101" s="82" t="n"/>
      <c r="M101" s="82" t="n"/>
      <c r="N101" s="82" t="n"/>
      <c r="O101" s="82" t="n"/>
      <c r="P101" s="82" t="n"/>
      <c r="Q101" s="82" t="n"/>
    </row>
    <row r="102">
      <c r="A102" s="82" t="n"/>
      <c r="B102" s="82" t="n"/>
      <c r="C102" s="82" t="n"/>
      <c r="D102" s="82" t="n"/>
      <c r="E102" s="82" t="n"/>
      <c r="F102" s="82" t="n"/>
      <c r="G102" s="82" t="n"/>
      <c r="H102" s="82" t="n"/>
      <c r="I102" s="82" t="n"/>
      <c r="J102" s="82" t="n"/>
      <c r="K102" s="82" t="n"/>
      <c r="L102" s="82" t="n"/>
      <c r="M102" s="82" t="n"/>
      <c r="N102" s="82" t="n"/>
      <c r="O102" s="82" t="n"/>
      <c r="P102" s="82" t="n"/>
      <c r="Q102" s="82" t="n"/>
    </row>
    <row r="103">
      <c r="A103" s="82" t="n"/>
      <c r="B103" s="82" t="n"/>
      <c r="C103" s="82" t="n"/>
      <c r="D103" s="82" t="n"/>
      <c r="E103" s="82" t="n"/>
      <c r="F103" s="82" t="n"/>
      <c r="G103" s="82" t="n"/>
      <c r="H103" s="82" t="n"/>
      <c r="I103" s="82" t="n"/>
      <c r="J103" s="82" t="n"/>
      <c r="K103" s="82" t="n"/>
      <c r="L103" s="82" t="n"/>
      <c r="M103" s="82" t="n"/>
      <c r="N103" s="82" t="n"/>
      <c r="O103" s="82" t="n"/>
      <c r="P103" s="82" t="n"/>
      <c r="Q103" s="82" t="n"/>
    </row>
    <row r="104">
      <c r="A104" s="82" t="n"/>
      <c r="B104" s="82" t="n"/>
      <c r="C104" s="82" t="n"/>
      <c r="D104" s="82" t="n"/>
      <c r="E104" s="82" t="n"/>
      <c r="F104" s="82" t="n"/>
      <c r="G104" s="82" t="n"/>
      <c r="H104" s="82" t="n"/>
      <c r="I104" s="82" t="n"/>
      <c r="J104" s="82" t="n"/>
      <c r="K104" s="82" t="n"/>
      <c r="L104" s="82" t="n"/>
      <c r="M104" s="82" t="n"/>
      <c r="N104" s="82" t="n"/>
      <c r="O104" s="82" t="n"/>
      <c r="P104" s="82" t="n"/>
      <c r="Q104" s="82" t="n"/>
    </row>
    <row r="105">
      <c r="A105" s="82" t="n"/>
      <c r="B105" s="82" t="n"/>
      <c r="C105" s="82" t="n"/>
      <c r="D105" s="82" t="n"/>
      <c r="E105" s="82" t="n"/>
      <c r="F105" s="82" t="n"/>
      <c r="G105" s="82" t="n"/>
      <c r="H105" s="82" t="n"/>
      <c r="I105" s="82" t="n"/>
      <c r="J105" s="82" t="n"/>
      <c r="K105" s="82" t="n"/>
      <c r="L105" s="82" t="n"/>
      <c r="M105" s="82" t="n"/>
      <c r="N105" s="82" t="n"/>
      <c r="O105" s="82" t="n"/>
      <c r="P105" s="82" t="n"/>
      <c r="Q105" s="82" t="n"/>
    </row>
    <row r="106">
      <c r="A106" s="82" t="n"/>
      <c r="B106" s="82" t="n"/>
      <c r="C106" s="82" t="n"/>
      <c r="D106" s="82" t="n"/>
      <c r="E106" s="82" t="n"/>
      <c r="F106" s="82" t="n"/>
      <c r="G106" s="82" t="n"/>
      <c r="H106" s="82" t="n"/>
      <c r="I106" s="82" t="n"/>
      <c r="J106" s="82" t="n"/>
      <c r="K106" s="82" t="n"/>
      <c r="L106" s="82" t="n"/>
      <c r="M106" s="82" t="n"/>
      <c r="N106" s="82" t="n"/>
      <c r="O106" s="82" t="n"/>
      <c r="P106" s="82" t="n"/>
      <c r="Q106" s="82" t="n"/>
    </row>
    <row r="107">
      <c r="A107" s="82" t="n"/>
      <c r="B107" s="82" t="n"/>
      <c r="C107" s="82" t="n"/>
      <c r="D107" s="82" t="n"/>
      <c r="E107" s="82" t="n"/>
      <c r="F107" s="82" t="n"/>
      <c r="G107" s="82" t="n"/>
      <c r="H107" s="82" t="n"/>
      <c r="I107" s="82" t="n"/>
      <c r="J107" s="82" t="n"/>
      <c r="K107" s="82" t="n"/>
      <c r="L107" s="82" t="n"/>
      <c r="M107" s="82" t="n"/>
      <c r="N107" s="82" t="n"/>
      <c r="O107" s="82" t="n"/>
      <c r="P107" s="82" t="n"/>
      <c r="Q107" s="82" t="n"/>
    </row>
    <row r="108">
      <c r="A108" s="82" t="n"/>
      <c r="B108" s="82" t="n"/>
      <c r="C108" s="82" t="n"/>
      <c r="D108" s="82" t="n"/>
      <c r="E108" s="82" t="n"/>
      <c r="F108" s="82" t="n"/>
      <c r="G108" s="82" t="n"/>
      <c r="H108" s="82" t="n"/>
      <c r="I108" s="82" t="n"/>
      <c r="J108" s="82" t="n"/>
      <c r="K108" s="82" t="n"/>
      <c r="L108" s="82" t="n"/>
      <c r="M108" s="82" t="n"/>
      <c r="N108" s="82" t="n"/>
      <c r="O108" s="82" t="n"/>
      <c r="P108" s="82" t="n"/>
      <c r="Q108" s="82" t="n"/>
    </row>
    <row r="109">
      <c r="A109" s="82" t="n"/>
      <c r="B109" s="82" t="n"/>
      <c r="C109" s="82" t="n"/>
      <c r="D109" s="82" t="n"/>
      <c r="E109" s="82" t="n"/>
      <c r="F109" s="82" t="n"/>
      <c r="G109" s="82" t="n"/>
      <c r="H109" s="82" t="n"/>
      <c r="I109" s="82" t="n"/>
      <c r="J109" s="82" t="n"/>
      <c r="K109" s="82" t="n"/>
      <c r="L109" s="82" t="n"/>
      <c r="M109" s="82" t="n"/>
      <c r="N109" s="82" t="n"/>
      <c r="O109" s="82" t="n"/>
      <c r="P109" s="82" t="n"/>
      <c r="Q109" s="82" t="n"/>
    </row>
    <row r="110">
      <c r="A110" s="82" t="n"/>
      <c r="B110" s="82" t="n"/>
      <c r="C110" s="82" t="n"/>
      <c r="D110" s="82" t="n"/>
      <c r="E110" s="82" t="n"/>
      <c r="F110" s="82" t="n"/>
      <c r="G110" s="82" t="n"/>
      <c r="H110" s="82" t="n"/>
      <c r="I110" s="82" t="n"/>
      <c r="J110" s="82" t="n"/>
      <c r="K110" s="82" t="n"/>
      <c r="L110" s="82" t="n"/>
      <c r="M110" s="82" t="n"/>
      <c r="N110" s="82" t="n"/>
      <c r="O110" s="82" t="n"/>
      <c r="P110" s="82" t="n"/>
      <c r="Q110" s="82" t="n"/>
    </row>
    <row r="111">
      <c r="A111" s="82" t="n"/>
      <c r="B111" s="82" t="n"/>
      <c r="C111" s="82" t="n"/>
      <c r="D111" s="82" t="n"/>
      <c r="E111" s="82" t="n"/>
      <c r="F111" s="82" t="n"/>
      <c r="G111" s="82" t="n"/>
      <c r="H111" s="82" t="n"/>
      <c r="I111" s="82" t="n"/>
      <c r="J111" s="82" t="n"/>
      <c r="K111" s="82" t="n"/>
      <c r="L111" s="82" t="n"/>
      <c r="M111" s="82" t="n"/>
      <c r="N111" s="82" t="n"/>
      <c r="O111" s="82" t="n"/>
      <c r="P111" s="82" t="n"/>
      <c r="Q111" s="82" t="n"/>
    </row>
    <row r="112">
      <c r="A112" s="82" t="n"/>
      <c r="B112" s="82" t="n"/>
      <c r="C112" s="82" t="n"/>
      <c r="D112" s="82" t="n"/>
      <c r="E112" s="82" t="n"/>
      <c r="F112" s="82" t="n"/>
      <c r="G112" s="82" t="n"/>
      <c r="H112" s="82" t="n"/>
      <c r="I112" s="82" t="n"/>
      <c r="J112" s="82" t="n"/>
      <c r="K112" s="82" t="n"/>
      <c r="L112" s="82" t="n"/>
      <c r="M112" s="82" t="n"/>
      <c r="N112" s="82" t="n"/>
      <c r="O112" s="82" t="n"/>
      <c r="P112" s="82" t="n"/>
      <c r="Q112" s="82" t="n"/>
    </row>
    <row r="113">
      <c r="A113" s="82" t="n"/>
      <c r="B113" s="82" t="n"/>
      <c r="C113" s="82" t="n"/>
      <c r="D113" s="82" t="n"/>
      <c r="E113" s="82" t="n"/>
      <c r="F113" s="82" t="n"/>
      <c r="G113" s="82" t="n"/>
      <c r="H113" s="82" t="n"/>
      <c r="I113" s="82" t="n"/>
      <c r="J113" s="82" t="n"/>
      <c r="K113" s="82" t="n"/>
      <c r="L113" s="82" t="n"/>
      <c r="M113" s="82" t="n"/>
      <c r="N113" s="82" t="n"/>
      <c r="O113" s="82" t="n"/>
      <c r="P113" s="82" t="n"/>
      <c r="Q113" s="82" t="n"/>
    </row>
    <row r="114">
      <c r="A114" s="82" t="n"/>
      <c r="B114" s="82" t="n"/>
      <c r="C114" s="82" t="n"/>
      <c r="D114" s="82" t="n"/>
      <c r="E114" s="82" t="n"/>
      <c r="F114" s="82" t="n"/>
      <c r="G114" s="82" t="n"/>
      <c r="H114" s="82" t="n"/>
      <c r="I114" s="82" t="n"/>
      <c r="J114" s="82" t="n"/>
      <c r="K114" s="82" t="n"/>
      <c r="L114" s="82" t="n"/>
      <c r="M114" s="82" t="n"/>
      <c r="N114" s="82" t="n"/>
      <c r="O114" s="82" t="n"/>
      <c r="P114" s="82" t="n"/>
      <c r="Q114" s="82" t="n"/>
    </row>
    <row r="115">
      <c r="A115" s="82" t="n"/>
      <c r="B115" s="82" t="n"/>
      <c r="C115" s="82" t="n"/>
      <c r="D115" s="82" t="n"/>
      <c r="E115" s="82" t="n"/>
      <c r="F115" s="82" t="n"/>
      <c r="G115" s="82" t="n"/>
      <c r="H115" s="82" t="n"/>
      <c r="I115" s="82" t="n"/>
      <c r="J115" s="82" t="n"/>
      <c r="K115" s="82" t="n"/>
      <c r="L115" s="82" t="n"/>
      <c r="M115" s="82" t="n"/>
      <c r="N115" s="82" t="n"/>
      <c r="O115" s="82" t="n"/>
      <c r="P115" s="82" t="n"/>
      <c r="Q115" s="82" t="n"/>
    </row>
    <row r="116">
      <c r="A116" s="82" t="n"/>
      <c r="B116" s="82" t="n"/>
      <c r="C116" s="82" t="n"/>
      <c r="D116" s="82" t="n"/>
      <c r="E116" s="82" t="n"/>
      <c r="F116" s="82" t="n"/>
      <c r="G116" s="82" t="n"/>
      <c r="H116" s="82" t="n"/>
      <c r="I116" s="82" t="n"/>
      <c r="J116" s="82" t="n"/>
      <c r="K116" s="82" t="n"/>
      <c r="L116" s="82" t="n"/>
      <c r="M116" s="82" t="n"/>
      <c r="N116" s="82" t="n"/>
      <c r="O116" s="82" t="n"/>
      <c r="P116" s="82" t="n"/>
      <c r="Q116" s="82" t="n"/>
    </row>
    <row r="117">
      <c r="A117" s="82" t="n"/>
      <c r="B117" s="82" t="n"/>
      <c r="C117" s="82" t="n"/>
      <c r="D117" s="82" t="n"/>
      <c r="E117" s="82" t="n"/>
      <c r="F117" s="82" t="n"/>
      <c r="G117" s="82" t="n"/>
      <c r="H117" s="82" t="n"/>
      <c r="I117" s="82" t="n"/>
      <c r="J117" s="82" t="n"/>
      <c r="K117" s="82" t="n"/>
      <c r="L117" s="82" t="n"/>
      <c r="M117" s="82" t="n"/>
      <c r="N117" s="82" t="n"/>
      <c r="O117" s="82" t="n"/>
      <c r="P117" s="82" t="n"/>
      <c r="Q117" s="82" t="n"/>
    </row>
    <row r="118">
      <c r="A118" s="82" t="n"/>
      <c r="B118" s="82" t="n"/>
      <c r="C118" s="82" t="n"/>
      <c r="D118" s="82" t="n"/>
      <c r="E118" s="82" t="n"/>
      <c r="F118" s="82" t="n"/>
      <c r="G118" s="82" t="n"/>
      <c r="H118" s="82" t="n"/>
      <c r="I118" s="82" t="n"/>
      <c r="J118" s="82" t="n"/>
      <c r="K118" s="82" t="n"/>
      <c r="L118" s="82" t="n"/>
      <c r="M118" s="82" t="n"/>
      <c r="N118" s="82" t="n"/>
      <c r="O118" s="82" t="n"/>
      <c r="P118" s="82" t="n"/>
      <c r="Q118" s="82" t="n"/>
    </row>
    <row r="119">
      <c r="A119" s="82" t="n"/>
      <c r="B119" s="82" t="n"/>
      <c r="C119" s="82" t="n"/>
      <c r="D119" s="82" t="n"/>
      <c r="E119" s="82" t="n"/>
      <c r="F119" s="82" t="n"/>
      <c r="G119" s="82" t="n"/>
      <c r="H119" s="82" t="n"/>
      <c r="I119" s="82" t="n"/>
      <c r="J119" s="82" t="n"/>
      <c r="K119" s="82" t="n"/>
      <c r="L119" s="82" t="n"/>
      <c r="M119" s="82" t="n"/>
      <c r="N119" s="82" t="n"/>
      <c r="O119" s="82" t="n"/>
      <c r="P119" s="82" t="n"/>
      <c r="Q119" s="82" t="n"/>
    </row>
    <row r="120">
      <c r="A120" s="82" t="n"/>
      <c r="B120" s="82" t="n"/>
      <c r="C120" s="82" t="n"/>
      <c r="D120" s="82" t="n"/>
      <c r="E120" s="82" t="n"/>
      <c r="F120" s="82" t="n"/>
      <c r="G120" s="82" t="n"/>
      <c r="H120" s="82" t="n"/>
      <c r="I120" s="82" t="n"/>
      <c r="J120" s="82" t="n"/>
      <c r="K120" s="82" t="n"/>
      <c r="L120" s="82" t="n"/>
      <c r="M120" s="82" t="n"/>
      <c r="N120" s="82" t="n"/>
      <c r="O120" s="82" t="n"/>
      <c r="P120" s="82" t="n"/>
      <c r="Q120" s="82" t="n"/>
    </row>
    <row r="121">
      <c r="A121" s="82" t="n"/>
      <c r="B121" s="82" t="n"/>
      <c r="C121" s="82" t="n"/>
      <c r="D121" s="82" t="n"/>
      <c r="E121" s="82" t="n"/>
      <c r="F121" s="82" t="n"/>
      <c r="G121" s="82" t="n"/>
      <c r="H121" s="82" t="n"/>
      <c r="I121" s="82" t="n"/>
      <c r="J121" s="82" t="n"/>
      <c r="K121" s="82" t="n"/>
      <c r="L121" s="82" t="n"/>
      <c r="M121" s="82" t="n"/>
      <c r="N121" s="82" t="n"/>
      <c r="O121" s="82" t="n"/>
      <c r="P121" s="82" t="n"/>
      <c r="Q121" s="82" t="n"/>
    </row>
    <row r="122">
      <c r="A122" s="82" t="n"/>
      <c r="B122" s="82" t="n"/>
      <c r="C122" s="82" t="n"/>
      <c r="D122" s="82" t="n"/>
      <c r="E122" s="82" t="n"/>
      <c r="F122" s="82" t="n"/>
      <c r="G122" s="82" t="n"/>
      <c r="H122" s="82" t="n"/>
      <c r="I122" s="82" t="n"/>
      <c r="J122" s="82" t="n"/>
      <c r="K122" s="82" t="n"/>
      <c r="L122" s="82" t="n"/>
      <c r="M122" s="82" t="n"/>
      <c r="N122" s="82" t="n"/>
      <c r="O122" s="82" t="n"/>
      <c r="P122" s="82" t="n"/>
      <c r="Q122" s="82" t="n"/>
    </row>
    <row r="123">
      <c r="A123" s="82" t="n"/>
      <c r="B123" s="82" t="n"/>
      <c r="C123" s="82" t="n"/>
      <c r="D123" s="82" t="n"/>
      <c r="E123" s="82" t="n"/>
      <c r="F123" s="82" t="n"/>
      <c r="G123" s="82" t="n"/>
      <c r="H123" s="82" t="n"/>
      <c r="I123" s="82" t="n"/>
      <c r="J123" s="82" t="n"/>
      <c r="K123" s="82" t="n"/>
      <c r="L123" s="82" t="n"/>
      <c r="M123" s="82" t="n"/>
      <c r="N123" s="82" t="n"/>
      <c r="O123" s="82" t="n"/>
      <c r="P123" s="82" t="n"/>
      <c r="Q123" s="82" t="n"/>
    </row>
    <row r="124">
      <c r="A124" s="82" t="n"/>
      <c r="B124" s="82" t="n"/>
      <c r="C124" s="82" t="n"/>
      <c r="D124" s="82" t="n"/>
      <c r="E124" s="82" t="n"/>
      <c r="F124" s="82" t="n"/>
      <c r="G124" s="82" t="n"/>
      <c r="H124" s="82" t="n"/>
      <c r="I124" s="82" t="n"/>
      <c r="J124" s="82" t="n"/>
      <c r="K124" s="82" t="n"/>
      <c r="L124" s="82" t="n"/>
      <c r="M124" s="82" t="n"/>
      <c r="N124" s="82" t="n"/>
      <c r="O124" s="82" t="n"/>
      <c r="P124" s="82" t="n"/>
      <c r="Q124" s="82" t="n"/>
    </row>
    <row r="125">
      <c r="A125" s="82" t="n"/>
      <c r="B125" s="82" t="n"/>
      <c r="C125" s="82" t="n"/>
      <c r="D125" s="82" t="n"/>
      <c r="E125" s="82" t="n"/>
      <c r="F125" s="82" t="n"/>
      <c r="G125" s="82" t="n"/>
      <c r="H125" s="82" t="n"/>
      <c r="I125" s="82" t="n"/>
      <c r="J125" s="82" t="n"/>
      <c r="K125" s="82" t="n"/>
      <c r="L125" s="82" t="n"/>
      <c r="M125" s="82" t="n"/>
      <c r="N125" s="82" t="n"/>
      <c r="O125" s="82" t="n"/>
      <c r="P125" s="82" t="n"/>
      <c r="Q125" s="82" t="n"/>
    </row>
    <row r="126">
      <c r="A126" s="82" t="n"/>
      <c r="B126" s="82" t="n"/>
      <c r="C126" s="82" t="n"/>
      <c r="D126" s="82" t="n"/>
      <c r="E126" s="82" t="n"/>
      <c r="F126" s="82" t="n"/>
      <c r="G126" s="82" t="n"/>
      <c r="H126" s="82" t="n"/>
      <c r="I126" s="82" t="n"/>
      <c r="J126" s="82" t="n"/>
      <c r="K126" s="82" t="n"/>
      <c r="L126" s="82" t="n"/>
      <c r="M126" s="82" t="n"/>
      <c r="N126" s="82" t="n"/>
      <c r="O126" s="82" t="n"/>
      <c r="P126" s="82" t="n"/>
      <c r="Q126" s="82" t="n"/>
    </row>
    <row r="127">
      <c r="A127" s="82" t="n"/>
      <c r="B127" s="82" t="n"/>
      <c r="C127" s="82" t="n"/>
      <c r="D127" s="82" t="n"/>
      <c r="E127" s="82" t="n"/>
      <c r="F127" s="82" t="n"/>
      <c r="G127" s="82" t="n"/>
      <c r="H127" s="82" t="n"/>
      <c r="I127" s="82" t="n"/>
      <c r="J127" s="82" t="n"/>
      <c r="K127" s="82" t="n"/>
      <c r="L127" s="82" t="n"/>
      <c r="M127" s="82" t="n"/>
      <c r="N127" s="82" t="n"/>
      <c r="O127" s="82" t="n"/>
      <c r="P127" s="82" t="n"/>
      <c r="Q127" s="82" t="n"/>
    </row>
    <row r="128">
      <c r="A128" s="82" t="n"/>
      <c r="B128" s="82" t="n"/>
      <c r="C128" s="82" t="n"/>
      <c r="D128" s="82" t="n"/>
      <c r="E128" s="82" t="n"/>
      <c r="F128" s="82" t="n"/>
      <c r="G128" s="82" t="n"/>
      <c r="H128" s="82" t="n"/>
      <c r="I128" s="82" t="n"/>
      <c r="J128" s="82" t="n"/>
      <c r="K128" s="82" t="n"/>
      <c r="L128" s="82" t="n"/>
      <c r="M128" s="82" t="n"/>
      <c r="N128" s="82" t="n"/>
      <c r="O128" s="82" t="n"/>
      <c r="P128" s="82" t="n"/>
      <c r="Q128" s="82" t="n"/>
    </row>
    <row r="129">
      <c r="A129" s="82" t="n"/>
      <c r="B129" s="82" t="n"/>
      <c r="C129" s="82" t="n"/>
      <c r="D129" s="82" t="n"/>
      <c r="E129" s="82" t="n"/>
      <c r="F129" s="82" t="n"/>
      <c r="G129" s="82" t="n"/>
      <c r="H129" s="82" t="n"/>
      <c r="I129" s="82" t="n"/>
      <c r="J129" s="82" t="n"/>
      <c r="K129" s="82" t="n"/>
      <c r="L129" s="82" t="n"/>
      <c r="M129" s="82" t="n"/>
      <c r="N129" s="82" t="n"/>
      <c r="O129" s="82" t="n"/>
      <c r="P129" s="82" t="n"/>
      <c r="Q129" s="82" t="n"/>
    </row>
    <row r="130">
      <c r="A130" s="82" t="n"/>
      <c r="B130" s="82" t="n"/>
      <c r="C130" s="82" t="n"/>
      <c r="D130" s="82" t="n"/>
      <c r="E130" s="82" t="n"/>
      <c r="F130" s="82" t="n"/>
      <c r="G130" s="82" t="n"/>
      <c r="H130" s="82" t="n"/>
      <c r="I130" s="82" t="n"/>
      <c r="J130" s="82" t="n"/>
      <c r="K130" s="82" t="n"/>
      <c r="L130" s="82" t="n"/>
      <c r="M130" s="82" t="n"/>
      <c r="N130" s="82" t="n"/>
      <c r="O130" s="82" t="n"/>
      <c r="P130" s="82" t="n"/>
      <c r="Q130" s="82" t="n"/>
    </row>
    <row r="131">
      <c r="A131" s="82" t="n"/>
      <c r="B131" s="82" t="n"/>
      <c r="C131" s="82" t="n"/>
      <c r="D131" s="82" t="n"/>
      <c r="E131" s="82" t="n"/>
      <c r="F131" s="82" t="n"/>
      <c r="G131" s="82" t="n"/>
      <c r="H131" s="82" t="n"/>
      <c r="I131" s="82" t="n"/>
      <c r="J131" s="82" t="n"/>
      <c r="K131" s="82" t="n"/>
      <c r="L131" s="82" t="n"/>
      <c r="M131" s="82" t="n"/>
      <c r="N131" s="82" t="n"/>
      <c r="O131" s="82" t="n"/>
      <c r="P131" s="82" t="n"/>
      <c r="Q131" s="82" t="n"/>
    </row>
    <row r="132">
      <c r="A132" s="82" t="n"/>
      <c r="B132" s="82" t="n"/>
      <c r="C132" s="82" t="n"/>
      <c r="D132" s="82" t="n"/>
      <c r="E132" s="82" t="n"/>
      <c r="F132" s="82" t="n"/>
      <c r="G132" s="82" t="n"/>
      <c r="H132" s="82" t="n"/>
      <c r="I132" s="82" t="n"/>
      <c r="J132" s="82" t="n"/>
      <c r="K132" s="82" t="n"/>
      <c r="L132" s="82" t="n"/>
      <c r="M132" s="82" t="n"/>
      <c r="N132" s="82" t="n"/>
      <c r="O132" s="82" t="n"/>
      <c r="P132" s="82" t="n"/>
      <c r="Q132" s="82" t="n"/>
    </row>
    <row r="133">
      <c r="A133" s="82" t="n"/>
      <c r="B133" s="82" t="n"/>
      <c r="C133" s="82" t="n"/>
      <c r="D133" s="82" t="n"/>
      <c r="E133" s="82" t="n"/>
      <c r="F133" s="82" t="n"/>
      <c r="G133" s="82" t="n"/>
      <c r="H133" s="82" t="n"/>
      <c r="I133" s="82" t="n"/>
      <c r="J133" s="82" t="n"/>
      <c r="K133" s="82" t="n"/>
      <c r="L133" s="82" t="n"/>
      <c r="M133" s="82" t="n"/>
      <c r="N133" s="82" t="n"/>
      <c r="O133" s="82" t="n"/>
      <c r="P133" s="82" t="n"/>
      <c r="Q133" s="82" t="n"/>
    </row>
    <row r="134">
      <c r="A134" s="82" t="n"/>
      <c r="B134" s="82" t="n"/>
      <c r="C134" s="82" t="n"/>
      <c r="D134" s="82" t="n"/>
      <c r="E134" s="82" t="n"/>
      <c r="F134" s="82" t="n"/>
      <c r="G134" s="82" t="n"/>
      <c r="H134" s="82" t="n"/>
      <c r="I134" s="82" t="n"/>
      <c r="J134" s="82" t="n"/>
      <c r="K134" s="82" t="n"/>
      <c r="L134" s="82" t="n"/>
      <c r="M134" s="82" t="n"/>
      <c r="N134" s="82" t="n"/>
      <c r="O134" s="82" t="n"/>
      <c r="P134" s="82" t="n"/>
      <c r="Q134" s="82" t="n"/>
    </row>
    <row r="135">
      <c r="A135" s="82" t="n"/>
      <c r="B135" s="82" t="n"/>
      <c r="C135" s="82" t="n"/>
      <c r="D135" s="82" t="n"/>
      <c r="E135" s="82" t="n"/>
      <c r="F135" s="82" t="n"/>
      <c r="G135" s="82" t="n"/>
      <c r="H135" s="82" t="n"/>
      <c r="I135" s="82" t="n"/>
      <c r="J135" s="82" t="n"/>
      <c r="K135" s="82" t="n"/>
      <c r="L135" s="82" t="n"/>
      <c r="M135" s="82" t="n"/>
      <c r="N135" s="82" t="n"/>
      <c r="O135" s="82" t="n"/>
      <c r="P135" s="82" t="n"/>
      <c r="Q135" s="82" t="n"/>
    </row>
    <row r="136">
      <c r="A136" s="82" t="n"/>
      <c r="B136" s="82" t="n"/>
      <c r="C136" s="82" t="n"/>
      <c r="D136" s="82" t="n"/>
      <c r="E136" s="82" t="n"/>
      <c r="F136" s="82" t="n"/>
      <c r="G136" s="82" t="n"/>
      <c r="H136" s="82" t="n"/>
      <c r="I136" s="82" t="n"/>
      <c r="J136" s="82" t="n"/>
      <c r="K136" s="82" t="n"/>
      <c r="L136" s="82" t="n"/>
      <c r="M136" s="82" t="n"/>
      <c r="N136" s="82" t="n"/>
      <c r="O136" s="82" t="n"/>
      <c r="P136" s="82" t="n"/>
      <c r="Q136" s="82" t="n"/>
    </row>
    <row r="137">
      <c r="A137" s="82" t="n"/>
      <c r="B137" s="82" t="n"/>
      <c r="C137" s="82" t="n"/>
      <c r="D137" s="82" t="n"/>
      <c r="E137" s="82" t="n"/>
      <c r="F137" s="82" t="n"/>
      <c r="G137" s="82" t="n"/>
      <c r="H137" s="82" t="n"/>
      <c r="I137" s="82" t="n"/>
      <c r="J137" s="82" t="n"/>
      <c r="K137" s="82" t="n"/>
      <c r="L137" s="82" t="n"/>
      <c r="M137" s="82" t="n"/>
      <c r="N137" s="82" t="n"/>
      <c r="O137" s="82" t="n"/>
      <c r="P137" s="82" t="n"/>
      <c r="Q137" s="82" t="n"/>
    </row>
    <row r="138">
      <c r="A138" s="82" t="n"/>
      <c r="B138" s="82" t="n"/>
      <c r="C138" s="82" t="n"/>
      <c r="D138" s="82" t="n"/>
      <c r="E138" s="82" t="n"/>
      <c r="F138" s="82" t="n"/>
      <c r="G138" s="82" t="n"/>
      <c r="H138" s="82" t="n"/>
      <c r="I138" s="82" t="n"/>
      <c r="J138" s="82" t="n"/>
      <c r="K138" s="82" t="n"/>
      <c r="L138" s="82" t="n"/>
      <c r="M138" s="82" t="n"/>
      <c r="N138" s="82" t="n"/>
      <c r="O138" s="82" t="n"/>
      <c r="P138" s="82" t="n"/>
      <c r="Q138" s="82" t="n"/>
    </row>
    <row r="139">
      <c r="A139" s="82" t="n"/>
      <c r="B139" s="82" t="n"/>
      <c r="C139" s="82" t="n"/>
      <c r="D139" s="82" t="n"/>
      <c r="E139" s="82" t="n"/>
      <c r="F139" s="82" t="n"/>
      <c r="G139" s="82" t="n"/>
      <c r="H139" s="82" t="n"/>
      <c r="I139" s="82" t="n"/>
      <c r="J139" s="82" t="n"/>
      <c r="K139" s="82" t="n"/>
      <c r="L139" s="82" t="n"/>
      <c r="M139" s="82" t="n"/>
      <c r="N139" s="82" t="n"/>
      <c r="O139" s="82" t="n"/>
      <c r="P139" s="82" t="n"/>
      <c r="Q139" s="82" t="n"/>
    </row>
    <row r="140">
      <c r="A140" s="82" t="n"/>
      <c r="B140" s="82" t="n"/>
      <c r="C140" s="82" t="n"/>
      <c r="D140" s="82" t="n"/>
      <c r="E140" s="82" t="n"/>
      <c r="F140" s="82" t="n"/>
      <c r="G140" s="82" t="n"/>
      <c r="H140" s="82" t="n"/>
      <c r="I140" s="82" t="n"/>
      <c r="J140" s="82" t="n"/>
      <c r="K140" s="82" t="n"/>
      <c r="L140" s="82" t="n"/>
      <c r="M140" s="82" t="n"/>
      <c r="N140" s="82" t="n"/>
      <c r="O140" s="82" t="n"/>
      <c r="P140" s="82" t="n"/>
      <c r="Q140" s="82" t="n"/>
    </row>
    <row r="141">
      <c r="A141" s="82" t="n"/>
      <c r="B141" s="82" t="n"/>
      <c r="C141" s="82" t="n"/>
      <c r="D141" s="82" t="n"/>
      <c r="E141" s="82" t="n"/>
      <c r="F141" s="82" t="n"/>
      <c r="G141" s="82" t="n"/>
      <c r="H141" s="82" t="n"/>
      <c r="I141" s="82" t="n"/>
      <c r="J141" s="82" t="n"/>
      <c r="K141" s="82" t="n"/>
      <c r="L141" s="82" t="n"/>
      <c r="M141" s="82" t="n"/>
      <c r="N141" s="82" t="n"/>
      <c r="O141" s="82" t="n"/>
      <c r="P141" s="82" t="n"/>
      <c r="Q141" s="82" t="n"/>
    </row>
    <row r="142">
      <c r="A142" s="82" t="n"/>
      <c r="B142" s="82" t="n"/>
      <c r="C142" s="82" t="n"/>
      <c r="D142" s="82" t="n"/>
      <c r="E142" s="82" t="n"/>
      <c r="F142" s="82" t="n"/>
      <c r="G142" s="82" t="n"/>
      <c r="H142" s="82" t="n"/>
      <c r="I142" s="82" t="n"/>
      <c r="J142" s="82" t="n"/>
      <c r="K142" s="82" t="n"/>
      <c r="L142" s="82" t="n"/>
      <c r="M142" s="82" t="n"/>
      <c r="N142" s="82" t="n"/>
      <c r="O142" s="82" t="n"/>
      <c r="P142" s="82" t="n"/>
      <c r="Q142" s="82" t="n"/>
    </row>
    <row r="143">
      <c r="A143" s="82" t="n"/>
      <c r="B143" s="82" t="n"/>
      <c r="C143" s="82" t="n"/>
      <c r="D143" s="82" t="n"/>
      <c r="E143" s="82" t="n"/>
      <c r="F143" s="82" t="n"/>
      <c r="G143" s="82" t="n"/>
      <c r="H143" s="82" t="n"/>
      <c r="I143" s="82" t="n"/>
      <c r="J143" s="82" t="n"/>
      <c r="K143" s="82" t="n"/>
      <c r="L143" s="82" t="n"/>
      <c r="M143" s="82" t="n"/>
      <c r="N143" s="82" t="n"/>
      <c r="O143" s="82" t="n"/>
      <c r="P143" s="82" t="n"/>
      <c r="Q143" s="82" t="n"/>
    </row>
    <row r="144">
      <c r="A144" s="82" t="n"/>
      <c r="B144" s="82" t="n"/>
      <c r="C144" s="82" t="n"/>
      <c r="D144" s="82" t="n"/>
      <c r="E144" s="82" t="n"/>
      <c r="F144" s="82" t="n"/>
      <c r="G144" s="82" t="n"/>
      <c r="H144" s="82" t="n"/>
      <c r="I144" s="82" t="n"/>
      <c r="J144" s="82" t="n"/>
      <c r="K144" s="82" t="n"/>
      <c r="L144" s="82" t="n"/>
      <c r="M144" s="82" t="n"/>
      <c r="N144" s="82" t="n"/>
      <c r="O144" s="82" t="n"/>
      <c r="P144" s="82" t="n"/>
      <c r="Q144" s="82" t="n"/>
    </row>
    <row r="145">
      <c r="A145" s="82" t="n"/>
      <c r="B145" s="82" t="n"/>
      <c r="C145" s="82" t="n"/>
      <c r="D145" s="82" t="n"/>
      <c r="E145" s="82" t="n"/>
      <c r="F145" s="82" t="n"/>
      <c r="G145" s="82" t="n"/>
      <c r="H145" s="82" t="n"/>
      <c r="I145" s="82" t="n"/>
      <c r="J145" s="82" t="n"/>
      <c r="K145" s="82" t="n"/>
      <c r="L145" s="82" t="n"/>
      <c r="M145" s="82" t="n"/>
      <c r="N145" s="82" t="n"/>
      <c r="O145" s="82" t="n"/>
      <c r="P145" s="82" t="n"/>
      <c r="Q145" s="82" t="n"/>
    </row>
    <row r="146">
      <c r="A146" s="82" t="n"/>
      <c r="B146" s="82" t="n"/>
      <c r="C146" s="82" t="n"/>
      <c r="D146" s="82" t="n"/>
      <c r="E146" s="82" t="n"/>
      <c r="F146" s="82" t="n"/>
      <c r="G146" s="82" t="n"/>
      <c r="H146" s="82" t="n"/>
      <c r="I146" s="82" t="n"/>
      <c r="J146" s="82" t="n"/>
      <c r="K146" s="82" t="n"/>
      <c r="L146" s="82" t="n"/>
      <c r="M146" s="82" t="n"/>
      <c r="N146" s="82" t="n"/>
      <c r="O146" s="82" t="n"/>
      <c r="P146" s="82" t="n"/>
      <c r="Q146" s="82" t="n"/>
    </row>
    <row r="147">
      <c r="A147" s="82" t="n"/>
      <c r="B147" s="82" t="n"/>
      <c r="C147" s="82" t="n"/>
      <c r="D147" s="82" t="n"/>
      <c r="E147" s="82" t="n"/>
      <c r="F147" s="82" t="n"/>
      <c r="G147" s="82" t="n"/>
      <c r="H147" s="82" t="n"/>
      <c r="I147" s="82" t="n"/>
      <c r="J147" s="82" t="n"/>
      <c r="K147" s="82" t="n"/>
      <c r="L147" s="82" t="n"/>
      <c r="M147" s="82" t="n"/>
      <c r="N147" s="82" t="n"/>
      <c r="O147" s="82" t="n"/>
      <c r="P147" s="82" t="n"/>
      <c r="Q147" s="82" t="n"/>
    </row>
    <row r="148">
      <c r="A148" s="82" t="n"/>
      <c r="B148" s="82" t="n"/>
      <c r="C148" s="82" t="n"/>
      <c r="D148" s="82" t="n"/>
      <c r="E148" s="82" t="n"/>
      <c r="F148" s="82" t="n"/>
      <c r="G148" s="82" t="n"/>
      <c r="H148" s="82" t="n"/>
      <c r="I148" s="82" t="n"/>
      <c r="J148" s="82" t="n"/>
      <c r="K148" s="82" t="n"/>
      <c r="L148" s="82" t="n"/>
      <c r="M148" s="82" t="n"/>
      <c r="N148" s="82" t="n"/>
      <c r="O148" s="82" t="n"/>
      <c r="P148" s="82" t="n"/>
      <c r="Q148" s="82" t="n"/>
    </row>
    <row r="149">
      <c r="A149" s="82" t="n"/>
      <c r="B149" s="82" t="n"/>
      <c r="C149" s="82" t="n"/>
      <c r="D149" s="82" t="n"/>
      <c r="E149" s="82" t="n"/>
      <c r="F149" s="82" t="n"/>
      <c r="G149" s="82" t="n"/>
      <c r="H149" s="82" t="n"/>
      <c r="I149" s="82" t="n"/>
      <c r="J149" s="82" t="n"/>
      <c r="K149" s="82" t="n"/>
      <c r="L149" s="82" t="n"/>
      <c r="M149" s="82" t="n"/>
      <c r="N149" s="82" t="n"/>
      <c r="O149" s="82" t="n"/>
      <c r="P149" s="82" t="n"/>
      <c r="Q149" s="82" t="n"/>
    </row>
    <row r="150">
      <c r="A150" s="82" t="n"/>
      <c r="B150" s="82" t="n"/>
      <c r="C150" s="82" t="n"/>
      <c r="D150" s="82" t="n"/>
      <c r="E150" s="82" t="n"/>
      <c r="F150" s="82" t="n"/>
      <c r="G150" s="82" t="n"/>
      <c r="H150" s="82" t="n"/>
      <c r="I150" s="82" t="n"/>
      <c r="J150" s="82" t="n"/>
      <c r="K150" s="82" t="n"/>
      <c r="L150" s="82" t="n"/>
      <c r="M150" s="82" t="n"/>
      <c r="N150" s="82" t="n"/>
      <c r="O150" s="82" t="n"/>
      <c r="P150" s="82" t="n"/>
      <c r="Q150" s="82" t="n"/>
    </row>
    <row r="151">
      <c r="A151" s="82" t="n"/>
      <c r="B151" s="82" t="n"/>
      <c r="C151" s="82" t="n"/>
      <c r="D151" s="82" t="n"/>
      <c r="E151" s="82" t="n"/>
      <c r="F151" s="82" t="n"/>
      <c r="G151" s="82" t="n"/>
      <c r="H151" s="82" t="n"/>
      <c r="I151" s="82" t="n"/>
      <c r="J151" s="82" t="n"/>
      <c r="K151" s="82" t="n"/>
      <c r="L151" s="82" t="n"/>
      <c r="M151" s="82" t="n"/>
      <c r="N151" s="82" t="n"/>
      <c r="O151" s="82" t="n"/>
      <c r="P151" s="82" t="n"/>
      <c r="Q151" s="82" t="n"/>
    </row>
    <row r="152">
      <c r="A152" s="82" t="n"/>
      <c r="B152" s="82" t="n"/>
      <c r="C152" s="82" t="n"/>
      <c r="D152" s="82" t="n"/>
      <c r="E152" s="82" t="n"/>
      <c r="F152" s="82" t="n"/>
      <c r="G152" s="82" t="n"/>
      <c r="H152" s="82" t="n"/>
      <c r="I152" s="82" t="n"/>
      <c r="J152" s="82" t="n"/>
      <c r="K152" s="82" t="n"/>
      <c r="L152" s="82" t="n"/>
      <c r="M152" s="82" t="n"/>
      <c r="N152" s="82" t="n"/>
      <c r="O152" s="82" t="n"/>
      <c r="P152" s="82" t="n"/>
      <c r="Q152" s="82" t="n"/>
    </row>
    <row r="153">
      <c r="A153" s="82" t="n"/>
      <c r="B153" s="82" t="n"/>
      <c r="C153" s="82" t="n"/>
      <c r="D153" s="82" t="n"/>
      <c r="E153" s="82" t="n"/>
      <c r="F153" s="82" t="n"/>
      <c r="G153" s="82" t="n"/>
      <c r="H153" s="82" t="n"/>
      <c r="I153" s="82" t="n"/>
      <c r="J153" s="82" t="n"/>
      <c r="K153" s="82" t="n"/>
      <c r="L153" s="82" t="n"/>
      <c r="M153" s="82" t="n"/>
      <c r="N153" s="82" t="n"/>
      <c r="O153" s="82" t="n"/>
      <c r="P153" s="82" t="n"/>
      <c r="Q153" s="82" t="n"/>
    </row>
    <row r="154">
      <c r="A154" s="82" t="n"/>
      <c r="B154" s="82" t="n"/>
      <c r="C154" s="82" t="n"/>
      <c r="D154" s="82" t="n"/>
      <c r="E154" s="82" t="n"/>
      <c r="F154" s="82" t="n"/>
      <c r="G154" s="82" t="n"/>
      <c r="H154" s="82" t="n"/>
      <c r="I154" s="82" t="n"/>
      <c r="J154" s="82" t="n"/>
      <c r="K154" s="82" t="n"/>
      <c r="L154" s="82" t="n"/>
      <c r="M154" s="82" t="n"/>
      <c r="N154" s="82" t="n"/>
      <c r="O154" s="82" t="n"/>
      <c r="P154" s="82" t="n"/>
      <c r="Q154" s="82" t="n"/>
    </row>
    <row r="155">
      <c r="A155" s="82" t="n"/>
      <c r="B155" s="82" t="n"/>
      <c r="C155" s="82" t="n"/>
      <c r="D155" s="82" t="n"/>
      <c r="E155" s="82" t="n"/>
      <c r="F155" s="82" t="n"/>
      <c r="G155" s="82" t="n"/>
      <c r="H155" s="82" t="n"/>
      <c r="I155" s="82" t="n"/>
      <c r="J155" s="82" t="n"/>
      <c r="K155" s="82" t="n"/>
      <c r="L155" s="82" t="n"/>
      <c r="M155" s="82" t="n"/>
      <c r="N155" s="82" t="n"/>
      <c r="O155" s="82" t="n"/>
      <c r="P155" s="82" t="n"/>
      <c r="Q155" s="82" t="n"/>
    </row>
    <row r="156">
      <c r="A156" s="82" t="n"/>
      <c r="B156" s="82" t="n"/>
      <c r="C156" s="82" t="n"/>
      <c r="D156" s="82" t="n"/>
      <c r="E156" s="82" t="n"/>
      <c r="F156" s="82" t="n"/>
      <c r="G156" s="82" t="n"/>
      <c r="H156" s="82" t="n"/>
      <c r="I156" s="82" t="n"/>
      <c r="J156" s="82" t="n"/>
      <c r="K156" s="82" t="n"/>
      <c r="L156" s="82" t="n"/>
      <c r="M156" s="82" t="n"/>
      <c r="N156" s="82" t="n"/>
      <c r="O156" s="82" t="n"/>
      <c r="P156" s="82" t="n"/>
      <c r="Q156" s="82" t="n"/>
    </row>
    <row r="157">
      <c r="A157" s="82" t="n"/>
      <c r="B157" s="82" t="n"/>
      <c r="C157" s="82" t="n"/>
      <c r="D157" s="82" t="n"/>
      <c r="E157" s="82" t="n"/>
      <c r="F157" s="82" t="n"/>
      <c r="G157" s="82" t="n"/>
      <c r="H157" s="82" t="n"/>
      <c r="I157" s="82" t="n"/>
      <c r="J157" s="82" t="n"/>
      <c r="K157" s="82" t="n"/>
      <c r="L157" s="82" t="n"/>
      <c r="M157" s="82" t="n"/>
      <c r="N157" s="82" t="n"/>
      <c r="O157" s="82" t="n"/>
      <c r="P157" s="82" t="n"/>
      <c r="Q157" s="82" t="n"/>
    </row>
    <row r="158">
      <c r="A158" s="82" t="n"/>
      <c r="B158" s="82" t="n"/>
      <c r="C158" s="82" t="n"/>
      <c r="D158" s="82" t="n"/>
      <c r="E158" s="82" t="n"/>
      <c r="F158" s="82" t="n"/>
      <c r="G158" s="82" t="n"/>
      <c r="H158" s="82" t="n"/>
      <c r="I158" s="82" t="n"/>
      <c r="J158" s="82" t="n"/>
      <c r="K158" s="82" t="n"/>
      <c r="L158" s="82" t="n"/>
      <c r="M158" s="82" t="n"/>
      <c r="N158" s="82" t="n"/>
      <c r="O158" s="82" t="n"/>
      <c r="P158" s="82" t="n"/>
      <c r="Q158" s="82" t="n"/>
    </row>
    <row r="159">
      <c r="A159" s="82" t="n"/>
      <c r="B159" s="82" t="n"/>
      <c r="C159" s="82" t="n"/>
      <c r="D159" s="82" t="n"/>
      <c r="E159" s="82" t="n"/>
      <c r="F159" s="82" t="n"/>
      <c r="G159" s="82" t="n"/>
      <c r="H159" s="82" t="n"/>
      <c r="I159" s="82" t="n"/>
      <c r="J159" s="82" t="n"/>
      <c r="K159" s="82" t="n"/>
      <c r="L159" s="82" t="n"/>
      <c r="M159" s="82" t="n"/>
      <c r="N159" s="82" t="n"/>
      <c r="O159" s="82" t="n"/>
      <c r="P159" s="82" t="n"/>
      <c r="Q159" s="82" t="n"/>
    </row>
    <row r="160">
      <c r="A160" s="82" t="n"/>
      <c r="B160" s="82" t="n"/>
      <c r="C160" s="82" t="n"/>
      <c r="D160" s="82" t="n"/>
      <c r="E160" s="82" t="n"/>
      <c r="F160" s="82" t="n"/>
      <c r="G160" s="82" t="n"/>
      <c r="H160" s="82" t="n"/>
      <c r="I160" s="82" t="n"/>
      <c r="J160" s="82" t="n"/>
      <c r="K160" s="82" t="n"/>
      <c r="L160" s="82" t="n"/>
      <c r="M160" s="82" t="n"/>
      <c r="N160" s="82" t="n"/>
      <c r="O160" s="82" t="n"/>
      <c r="P160" s="82" t="n"/>
      <c r="Q160" s="82" t="n"/>
    </row>
    <row r="161">
      <c r="A161" s="82" t="n"/>
      <c r="B161" s="82" t="n"/>
      <c r="C161" s="82" t="n"/>
      <c r="D161" s="82" t="n"/>
      <c r="E161" s="82" t="n"/>
      <c r="F161" s="82" t="n"/>
      <c r="G161" s="82" t="n"/>
      <c r="H161" s="82" t="n"/>
      <c r="I161" s="82" t="n"/>
      <c r="J161" s="82" t="n"/>
      <c r="K161" s="82" t="n"/>
      <c r="L161" s="82" t="n"/>
      <c r="M161" s="82" t="n"/>
      <c r="N161" s="82" t="n"/>
      <c r="O161" s="82" t="n"/>
      <c r="P161" s="82" t="n"/>
      <c r="Q161" s="82" t="n"/>
    </row>
    <row r="162">
      <c r="A162" s="82" t="n"/>
      <c r="B162" s="82" t="n"/>
      <c r="C162" s="82" t="n"/>
      <c r="D162" s="82" t="n"/>
      <c r="E162" s="82" t="n"/>
      <c r="F162" s="82" t="n"/>
      <c r="G162" s="82" t="n"/>
      <c r="H162" s="82" t="n"/>
      <c r="I162" s="82" t="n"/>
      <c r="J162" s="82" t="n"/>
      <c r="K162" s="82" t="n"/>
      <c r="L162" s="82" t="n"/>
      <c r="M162" s="82" t="n"/>
      <c r="N162" s="82" t="n"/>
      <c r="O162" s="82" t="n"/>
      <c r="P162" s="82" t="n"/>
      <c r="Q162" s="82" t="n"/>
    </row>
    <row r="163">
      <c r="A163" s="82" t="n"/>
      <c r="B163" s="82" t="n"/>
      <c r="C163" s="82" t="n"/>
      <c r="D163" s="82" t="n"/>
      <c r="E163" s="82" t="n"/>
      <c r="F163" s="82" t="n"/>
      <c r="G163" s="82" t="n"/>
      <c r="H163" s="82" t="n"/>
      <c r="I163" s="82" t="n"/>
      <c r="J163" s="82" t="n"/>
      <c r="K163" s="82" t="n"/>
      <c r="L163" s="82" t="n"/>
      <c r="M163" s="82" t="n"/>
      <c r="N163" s="82" t="n"/>
      <c r="O163" s="82" t="n"/>
      <c r="P163" s="82" t="n"/>
      <c r="Q163" s="82" t="n"/>
    </row>
    <row r="164">
      <c r="A164" s="82" t="n"/>
      <c r="B164" s="82" t="n"/>
      <c r="C164" s="82" t="n"/>
      <c r="D164" s="82" t="n"/>
      <c r="E164" s="82" t="n"/>
      <c r="F164" s="82" t="n"/>
      <c r="G164" s="82" t="n"/>
      <c r="H164" s="82" t="n"/>
      <c r="I164" s="82" t="n"/>
      <c r="J164" s="82" t="n"/>
      <c r="K164" s="82" t="n"/>
      <c r="L164" s="82" t="n"/>
      <c r="M164" s="82" t="n"/>
      <c r="N164" s="82" t="n"/>
      <c r="O164" s="82" t="n"/>
      <c r="P164" s="82" t="n"/>
      <c r="Q164" s="82" t="n"/>
    </row>
    <row r="165">
      <c r="A165" s="82" t="n"/>
      <c r="B165" s="82" t="n"/>
      <c r="C165" s="82" t="n"/>
      <c r="D165" s="82" t="n"/>
      <c r="E165" s="82" t="n"/>
      <c r="F165" s="82" t="n"/>
      <c r="G165" s="82" t="n"/>
      <c r="H165" s="82" t="n"/>
      <c r="I165" s="82" t="n"/>
      <c r="J165" s="82" t="n"/>
      <c r="K165" s="82" t="n"/>
      <c r="L165" s="82" t="n"/>
      <c r="M165" s="82" t="n"/>
      <c r="N165" s="82" t="n"/>
      <c r="O165" s="82" t="n"/>
      <c r="P165" s="82" t="n"/>
      <c r="Q165" s="82" t="n"/>
    </row>
    <row r="166">
      <c r="A166" s="82" t="n"/>
      <c r="B166" s="82" t="n"/>
      <c r="C166" s="82" t="n"/>
      <c r="D166" s="82" t="n"/>
      <c r="E166" s="82" t="n"/>
      <c r="F166" s="82" t="n"/>
      <c r="G166" s="82" t="n"/>
      <c r="H166" s="82" t="n"/>
      <c r="I166" s="82" t="n"/>
      <c r="J166" s="82" t="n"/>
      <c r="K166" s="82" t="n"/>
      <c r="L166" s="82" t="n"/>
      <c r="M166" s="82" t="n"/>
      <c r="N166" s="82" t="n"/>
      <c r="O166" s="82" t="n"/>
      <c r="P166" s="82" t="n"/>
      <c r="Q166" s="82" t="n"/>
    </row>
    <row r="167">
      <c r="A167" s="82" t="n"/>
      <c r="B167" s="82" t="n"/>
      <c r="C167" s="82" t="n"/>
      <c r="D167" s="82" t="n"/>
      <c r="E167" s="82" t="n"/>
      <c r="F167" s="82" t="n"/>
      <c r="G167" s="82" t="n"/>
      <c r="H167" s="82" t="n"/>
      <c r="I167" s="82" t="n"/>
      <c r="J167" s="82" t="n"/>
      <c r="K167" s="82" t="n"/>
      <c r="L167" s="82" t="n"/>
      <c r="M167" s="82" t="n"/>
      <c r="N167" s="82" t="n"/>
      <c r="O167" s="82" t="n"/>
      <c r="P167" s="82" t="n"/>
      <c r="Q167" s="82" t="n"/>
    </row>
    <row r="168">
      <c r="A168" s="82" t="n"/>
      <c r="B168" s="82" t="n"/>
      <c r="C168" s="82" t="n"/>
      <c r="D168" s="82" t="n"/>
      <c r="E168" s="82" t="n"/>
      <c r="F168" s="82" t="n"/>
      <c r="G168" s="82" t="n"/>
      <c r="H168" s="82" t="n"/>
      <c r="I168" s="82" t="n"/>
      <c r="J168" s="82" t="n"/>
      <c r="K168" s="82" t="n"/>
      <c r="L168" s="82" t="n"/>
      <c r="M168" s="82" t="n"/>
      <c r="N168" s="82" t="n"/>
      <c r="O168" s="82" t="n"/>
      <c r="P168" s="82" t="n"/>
      <c r="Q168" s="82" t="n"/>
    </row>
    <row r="169">
      <c r="A169" s="82" t="n"/>
      <c r="B169" s="82" t="n"/>
      <c r="C169" s="82" t="n"/>
      <c r="D169" s="82" t="n"/>
      <c r="E169" s="82" t="n"/>
      <c r="F169" s="82" t="n"/>
      <c r="G169" s="82" t="n"/>
      <c r="H169" s="82" t="n"/>
      <c r="I169" s="82" t="n"/>
      <c r="J169" s="82" t="n"/>
      <c r="K169" s="82" t="n"/>
      <c r="L169" s="82" t="n"/>
      <c r="M169" s="82" t="n"/>
      <c r="N169" s="82" t="n"/>
      <c r="O169" s="82" t="n"/>
      <c r="P169" s="82" t="n"/>
      <c r="Q169" s="82" t="n"/>
    </row>
    <row r="170">
      <c r="A170" s="82" t="n"/>
      <c r="B170" s="82" t="n"/>
      <c r="C170" s="82" t="n"/>
      <c r="D170" s="82" t="n"/>
      <c r="E170" s="82" t="n"/>
      <c r="F170" s="82" t="n"/>
      <c r="G170" s="82" t="n"/>
      <c r="H170" s="82" t="n"/>
      <c r="I170" s="82" t="n"/>
      <c r="J170" s="82" t="n"/>
      <c r="K170" s="82" t="n"/>
      <c r="L170" s="82" t="n"/>
      <c r="M170" s="82" t="n"/>
      <c r="N170" s="82" t="n"/>
      <c r="O170" s="82" t="n"/>
      <c r="P170" s="82" t="n"/>
      <c r="Q170" s="82" t="n"/>
    </row>
    <row r="171">
      <c r="A171" s="82" t="n"/>
      <c r="B171" s="82" t="n"/>
      <c r="C171" s="82" t="n"/>
      <c r="D171" s="82" t="n"/>
      <c r="E171" s="82" t="n"/>
      <c r="F171" s="82" t="n"/>
      <c r="G171" s="82" t="n"/>
      <c r="H171" s="82" t="n"/>
      <c r="I171" s="82" t="n"/>
      <c r="J171" s="82" t="n"/>
      <c r="K171" s="82" t="n"/>
      <c r="L171" s="82" t="n"/>
      <c r="M171" s="82" t="n"/>
      <c r="N171" s="82" t="n"/>
      <c r="O171" s="82" t="n"/>
      <c r="P171" s="82" t="n"/>
      <c r="Q171" s="82" t="n"/>
    </row>
    <row r="172">
      <c r="A172" s="82" t="n"/>
      <c r="B172" s="82" t="n"/>
      <c r="C172" s="82" t="n"/>
      <c r="D172" s="82" t="n"/>
      <c r="E172" s="82" t="n"/>
      <c r="F172" s="82" t="n"/>
      <c r="G172" s="82" t="n"/>
      <c r="H172" s="82" t="n"/>
      <c r="I172" s="82" t="n"/>
      <c r="J172" s="82" t="n"/>
      <c r="K172" s="82" t="n"/>
      <c r="L172" s="82" t="n"/>
      <c r="M172" s="82" t="n"/>
      <c r="N172" s="82" t="n"/>
      <c r="O172" s="82" t="n"/>
      <c r="P172" s="82" t="n"/>
      <c r="Q172" s="82" t="n"/>
    </row>
    <row r="173">
      <c r="A173" s="82" t="n"/>
      <c r="B173" s="82" t="n"/>
      <c r="C173" s="82" t="n"/>
      <c r="D173" s="82" t="n"/>
      <c r="E173" s="82" t="n"/>
      <c r="F173" s="82" t="n"/>
      <c r="G173" s="82" t="n"/>
      <c r="H173" s="82" t="n"/>
      <c r="I173" s="82" t="n"/>
      <c r="J173" s="82" t="n"/>
      <c r="K173" s="82" t="n"/>
      <c r="L173" s="82" t="n"/>
      <c r="M173" s="82" t="n"/>
      <c r="N173" s="82" t="n"/>
      <c r="O173" s="82" t="n"/>
      <c r="P173" s="82" t="n"/>
      <c r="Q173" s="82" t="n"/>
    </row>
    <row r="174">
      <c r="A174" s="82" t="n"/>
      <c r="B174" s="82" t="n"/>
      <c r="C174" s="82" t="n"/>
      <c r="D174" s="82" t="n"/>
      <c r="E174" s="82" t="n"/>
      <c r="F174" s="82" t="n"/>
      <c r="G174" s="82" t="n"/>
      <c r="H174" s="82" t="n"/>
      <c r="I174" s="82" t="n"/>
      <c r="J174" s="82" t="n"/>
      <c r="K174" s="82" t="n"/>
      <c r="L174" s="82" t="n"/>
      <c r="M174" s="82" t="n"/>
      <c r="N174" s="82" t="n"/>
      <c r="O174" s="82" t="n"/>
      <c r="P174" s="82" t="n"/>
      <c r="Q174" s="82" t="n"/>
    </row>
    <row r="175">
      <c r="A175" s="82" t="n"/>
      <c r="B175" s="82" t="n"/>
      <c r="C175" s="82" t="n"/>
      <c r="D175" s="82" t="n"/>
      <c r="E175" s="82" t="n"/>
      <c r="F175" s="82" t="n"/>
      <c r="G175" s="82" t="n"/>
      <c r="H175" s="82" t="n"/>
      <c r="I175" s="82" t="n"/>
      <c r="J175" s="82" t="n"/>
      <c r="K175" s="82" t="n"/>
      <c r="L175" s="82" t="n"/>
      <c r="M175" s="82" t="n"/>
      <c r="N175" s="82" t="n"/>
      <c r="O175" s="82" t="n"/>
      <c r="P175" s="82" t="n"/>
      <c r="Q175" s="82" t="n"/>
    </row>
    <row r="176">
      <c r="A176" s="82" t="n"/>
      <c r="B176" s="82" t="n"/>
      <c r="C176" s="82" t="n"/>
      <c r="D176" s="82" t="n"/>
      <c r="E176" s="82" t="n"/>
      <c r="F176" s="82" t="n"/>
      <c r="G176" s="82" t="n"/>
      <c r="H176" s="82" t="n"/>
      <c r="I176" s="82" t="n"/>
      <c r="J176" s="82" t="n"/>
      <c r="K176" s="82" t="n"/>
      <c r="L176" s="82" t="n"/>
      <c r="M176" s="82" t="n"/>
      <c r="N176" s="82" t="n"/>
      <c r="O176" s="82" t="n"/>
      <c r="P176" s="82" t="n"/>
      <c r="Q176" s="82" t="n"/>
    </row>
    <row r="177">
      <c r="A177" s="82" t="n"/>
      <c r="B177" s="82" t="n"/>
      <c r="C177" s="82" t="n"/>
      <c r="D177" s="82" t="n"/>
      <c r="E177" s="82" t="n"/>
      <c r="F177" s="82" t="n"/>
      <c r="G177" s="82" t="n"/>
      <c r="H177" s="82" t="n"/>
      <c r="I177" s="82" t="n"/>
      <c r="J177" s="82" t="n"/>
      <c r="K177" s="82" t="n"/>
      <c r="L177" s="82" t="n"/>
      <c r="M177" s="82" t="n"/>
      <c r="N177" s="82" t="n"/>
      <c r="O177" s="82" t="n"/>
      <c r="P177" s="82" t="n"/>
      <c r="Q177" s="82" t="n"/>
    </row>
    <row r="178">
      <c r="A178" s="82" t="n"/>
      <c r="B178" s="82" t="n"/>
      <c r="C178" s="82" t="n"/>
      <c r="D178" s="82" t="n"/>
      <c r="E178" s="82" t="n"/>
      <c r="F178" s="82" t="n"/>
      <c r="G178" s="82" t="n"/>
      <c r="H178" s="82" t="n"/>
      <c r="I178" s="82" t="n"/>
      <c r="J178" s="82" t="n"/>
      <c r="K178" s="82" t="n"/>
      <c r="L178" s="82" t="n"/>
      <c r="M178" s="82" t="n"/>
      <c r="N178" s="82" t="n"/>
      <c r="O178" s="82" t="n"/>
      <c r="P178" s="82" t="n"/>
      <c r="Q178" s="82" t="n"/>
    </row>
    <row r="179">
      <c r="A179" s="82" t="n"/>
      <c r="B179" s="82" t="n"/>
      <c r="C179" s="82" t="n"/>
      <c r="D179" s="82" t="n"/>
      <c r="E179" s="82" t="n"/>
      <c r="F179" s="82" t="n"/>
      <c r="G179" s="82" t="n"/>
      <c r="H179" s="82" t="n"/>
      <c r="I179" s="82" t="n"/>
      <c r="J179" s="82" t="n"/>
      <c r="K179" s="82" t="n"/>
      <c r="L179" s="82" t="n"/>
      <c r="M179" s="82" t="n"/>
      <c r="N179" s="82" t="n"/>
      <c r="O179" s="82" t="n"/>
      <c r="P179" s="82" t="n"/>
      <c r="Q179" s="82" t="n"/>
    </row>
    <row r="180">
      <c r="A180" s="82" t="n"/>
      <c r="B180" s="82" t="n"/>
      <c r="C180" s="82" t="n"/>
      <c r="D180" s="82" t="n"/>
      <c r="E180" s="82" t="n"/>
      <c r="F180" s="82" t="n"/>
      <c r="G180" s="82" t="n"/>
      <c r="H180" s="82" t="n"/>
      <c r="I180" s="82" t="n"/>
      <c r="J180" s="82" t="n"/>
      <c r="K180" s="82" t="n"/>
      <c r="L180" s="82" t="n"/>
      <c r="M180" s="82" t="n"/>
      <c r="N180" s="82" t="n"/>
      <c r="O180" s="82" t="n"/>
      <c r="P180" s="82" t="n"/>
      <c r="Q180" s="82" t="n"/>
    </row>
    <row r="181">
      <c r="A181" s="82" t="n"/>
      <c r="B181" s="82" t="n"/>
      <c r="C181" s="82" t="n"/>
      <c r="D181" s="82" t="n"/>
      <c r="E181" s="82" t="n"/>
      <c r="F181" s="82" t="n"/>
      <c r="G181" s="82" t="n"/>
      <c r="H181" s="82" t="n"/>
      <c r="I181" s="82" t="n"/>
      <c r="J181" s="82" t="n"/>
      <c r="K181" s="82" t="n"/>
      <c r="L181" s="82" t="n"/>
      <c r="M181" s="82" t="n"/>
      <c r="N181" s="82" t="n"/>
      <c r="O181" s="82" t="n"/>
      <c r="P181" s="82" t="n"/>
      <c r="Q181" s="82" t="n"/>
    </row>
    <row r="182">
      <c r="A182" s="82" t="n"/>
      <c r="B182" s="82" t="n"/>
      <c r="C182" s="82" t="n"/>
      <c r="D182" s="82" t="n"/>
      <c r="E182" s="82" t="n"/>
      <c r="F182" s="82" t="n"/>
      <c r="G182" s="82" t="n"/>
      <c r="H182" s="82" t="n"/>
      <c r="I182" s="82" t="n"/>
      <c r="J182" s="82" t="n"/>
      <c r="K182" s="82" t="n"/>
      <c r="L182" s="82" t="n"/>
      <c r="M182" s="82" t="n"/>
      <c r="N182" s="82" t="n"/>
      <c r="O182" s="82" t="n"/>
      <c r="P182" s="82" t="n"/>
      <c r="Q182" s="82" t="n"/>
    </row>
    <row r="183">
      <c r="A183" s="82" t="n"/>
      <c r="B183" s="82" t="n"/>
      <c r="C183" s="82" t="n"/>
      <c r="D183" s="82" t="n"/>
      <c r="E183" s="82" t="n"/>
      <c r="F183" s="82" t="n"/>
      <c r="G183" s="82" t="n"/>
      <c r="H183" s="82" t="n"/>
      <c r="I183" s="82" t="n"/>
      <c r="J183" s="82" t="n"/>
      <c r="K183" s="82" t="n"/>
      <c r="L183" s="82" t="n"/>
      <c r="M183" s="82" t="n"/>
      <c r="N183" s="82" t="n"/>
      <c r="O183" s="82" t="n"/>
      <c r="P183" s="82" t="n"/>
      <c r="Q183" s="82" t="n"/>
    </row>
    <row r="184">
      <c r="A184" s="82" t="n"/>
      <c r="B184" s="82" t="n"/>
      <c r="C184" s="82" t="n"/>
      <c r="D184" s="82" t="n"/>
      <c r="E184" s="82" t="n"/>
      <c r="F184" s="82" t="n"/>
      <c r="G184" s="82" t="n"/>
      <c r="H184" s="82" t="n"/>
      <c r="I184" s="82" t="n"/>
      <c r="J184" s="82" t="n"/>
      <c r="K184" s="82" t="n"/>
      <c r="L184" s="82" t="n"/>
      <c r="M184" s="82" t="n"/>
      <c r="N184" s="82" t="n"/>
      <c r="O184" s="82" t="n"/>
      <c r="P184" s="82" t="n"/>
      <c r="Q184" s="82" t="n"/>
    </row>
    <row r="185">
      <c r="A185" s="82" t="n"/>
      <c r="B185" s="82" t="n"/>
      <c r="C185" s="82" t="n"/>
      <c r="D185" s="82" t="n"/>
      <c r="E185" s="82" t="n"/>
      <c r="F185" s="82" t="n"/>
      <c r="G185" s="82" t="n"/>
      <c r="H185" s="82" t="n"/>
      <c r="I185" s="82" t="n"/>
      <c r="J185" s="82" t="n"/>
      <c r="K185" s="82" t="n"/>
      <c r="L185" s="82" t="n"/>
      <c r="M185" s="82" t="n"/>
      <c r="N185" s="82" t="n"/>
      <c r="O185" s="82" t="n"/>
      <c r="P185" s="82" t="n"/>
      <c r="Q185" s="82" t="n"/>
    </row>
    <row r="186">
      <c r="A186" s="82" t="n"/>
      <c r="B186" s="82" t="n"/>
      <c r="C186" s="82" t="n"/>
      <c r="D186" s="82" t="n"/>
      <c r="E186" s="82" t="n"/>
      <c r="F186" s="82" t="n"/>
      <c r="G186" s="82" t="n"/>
      <c r="H186" s="82" t="n"/>
      <c r="I186" s="82" t="n"/>
      <c r="J186" s="82" t="n"/>
      <c r="K186" s="82" t="n"/>
      <c r="L186" s="82" t="n"/>
      <c r="M186" s="82" t="n"/>
      <c r="N186" s="82" t="n"/>
      <c r="O186" s="82" t="n"/>
      <c r="P186" s="82" t="n"/>
      <c r="Q186" s="82" t="n"/>
    </row>
    <row r="187">
      <c r="A187" s="82" t="n"/>
      <c r="B187" s="82" t="n"/>
      <c r="C187" s="82" t="n"/>
      <c r="D187" s="82" t="n"/>
      <c r="E187" s="82" t="n"/>
      <c r="F187" s="82" t="n"/>
      <c r="G187" s="82" t="n"/>
      <c r="H187" s="82" t="n"/>
      <c r="I187" s="82" t="n"/>
      <c r="J187" s="82" t="n"/>
      <c r="K187" s="82" t="n"/>
      <c r="L187" s="82" t="n"/>
      <c r="M187" s="82" t="n"/>
      <c r="N187" s="82" t="n"/>
      <c r="O187" s="82" t="n"/>
      <c r="P187" s="82" t="n"/>
      <c r="Q187" s="82" t="n"/>
    </row>
    <row r="188">
      <c r="A188" s="82" t="n"/>
      <c r="B188" s="82" t="n"/>
      <c r="C188" s="82" t="n"/>
      <c r="D188" s="82" t="n"/>
      <c r="E188" s="82" t="n"/>
      <c r="F188" s="82" t="n"/>
      <c r="G188" s="82" t="n"/>
      <c r="H188" s="82" t="n"/>
      <c r="I188" s="82" t="n"/>
      <c r="J188" s="82" t="n"/>
      <c r="K188" s="82" t="n"/>
      <c r="L188" s="82" t="n"/>
      <c r="M188" s="82" t="n"/>
      <c r="N188" s="82" t="n"/>
      <c r="O188" s="82" t="n"/>
      <c r="P188" s="82" t="n"/>
      <c r="Q188" s="82" t="n"/>
    </row>
    <row r="189">
      <c r="A189" s="82" t="n"/>
      <c r="B189" s="82" t="n"/>
      <c r="C189" s="82" t="n"/>
      <c r="D189" s="82" t="n"/>
      <c r="E189" s="82" t="n"/>
      <c r="F189" s="82" t="n"/>
      <c r="G189" s="82" t="n"/>
      <c r="H189" s="82" t="n"/>
      <c r="I189" s="82" t="n"/>
      <c r="J189" s="82" t="n"/>
      <c r="K189" s="82" t="n"/>
      <c r="L189" s="82" t="n"/>
      <c r="M189" s="82" t="n"/>
      <c r="N189" s="82" t="n"/>
      <c r="O189" s="82" t="n"/>
      <c r="P189" s="82" t="n"/>
      <c r="Q189" s="82" t="n"/>
    </row>
    <row r="190">
      <c r="A190" s="82" t="n"/>
      <c r="B190" s="82" t="n"/>
      <c r="C190" s="82" t="n"/>
      <c r="D190" s="82" t="n"/>
      <c r="E190" s="82" t="n"/>
      <c r="F190" s="82" t="n"/>
      <c r="G190" s="82" t="n"/>
      <c r="H190" s="82" t="n"/>
      <c r="I190" s="82" t="n"/>
      <c r="J190" s="82" t="n"/>
      <c r="K190" s="82" t="n"/>
      <c r="L190" s="82" t="n"/>
      <c r="M190" s="82" t="n"/>
      <c r="N190" s="82" t="n"/>
      <c r="O190" s="82" t="n"/>
      <c r="P190" s="82" t="n"/>
      <c r="Q190" s="82" t="n"/>
    </row>
    <row r="191">
      <c r="A191" s="82" t="n"/>
      <c r="B191" s="82" t="n"/>
      <c r="C191" s="82" t="n"/>
      <c r="D191" s="82" t="n"/>
      <c r="E191" s="82" t="n"/>
      <c r="F191" s="82" t="n"/>
      <c r="G191" s="82" t="n"/>
      <c r="H191" s="82" t="n"/>
      <c r="I191" s="82" t="n"/>
      <c r="J191" s="82" t="n"/>
      <c r="K191" s="82" t="n"/>
      <c r="L191" s="82" t="n"/>
      <c r="M191" s="82" t="n"/>
      <c r="N191" s="82" t="n"/>
      <c r="O191" s="82" t="n"/>
      <c r="P191" s="82" t="n"/>
      <c r="Q191" s="82" t="n"/>
    </row>
    <row r="192">
      <c r="A192" s="82" t="n"/>
      <c r="B192" s="82" t="n"/>
      <c r="C192" s="82" t="n"/>
      <c r="D192" s="82" t="n"/>
      <c r="E192" s="82" t="n"/>
      <c r="F192" s="82" t="n"/>
      <c r="G192" s="82" t="n"/>
      <c r="H192" s="82" t="n"/>
      <c r="I192" s="82" t="n"/>
      <c r="J192" s="82" t="n"/>
      <c r="K192" s="82" t="n"/>
      <c r="L192" s="82" t="n"/>
      <c r="M192" s="82" t="n"/>
      <c r="N192" s="82" t="n"/>
      <c r="O192" s="82" t="n"/>
      <c r="P192" s="82" t="n"/>
      <c r="Q192" s="82" t="n"/>
    </row>
    <row r="193">
      <c r="A193" s="82" t="n"/>
      <c r="B193" s="82" t="n"/>
      <c r="C193" s="82" t="n"/>
      <c r="D193" s="82" t="n"/>
      <c r="E193" s="82" t="n"/>
      <c r="F193" s="82" t="n"/>
      <c r="G193" s="82" t="n"/>
      <c r="H193" s="82" t="n"/>
      <c r="I193" s="82" t="n"/>
      <c r="J193" s="82" t="n"/>
      <c r="K193" s="82" t="n"/>
      <c r="L193" s="82" t="n"/>
      <c r="M193" s="82" t="n"/>
      <c r="N193" s="82" t="n"/>
      <c r="O193" s="82" t="n"/>
      <c r="P193" s="82" t="n"/>
      <c r="Q193" s="82" t="n"/>
    </row>
    <row r="194">
      <c r="A194" s="82" t="n"/>
      <c r="B194" s="82" t="n"/>
      <c r="C194" s="82" t="n"/>
      <c r="D194" s="82" t="n"/>
      <c r="E194" s="82" t="n"/>
      <c r="F194" s="82" t="n"/>
      <c r="G194" s="82" t="n"/>
      <c r="H194" s="82" t="n"/>
      <c r="I194" s="82" t="n"/>
      <c r="J194" s="82" t="n"/>
      <c r="K194" s="82" t="n"/>
      <c r="L194" s="82" t="n"/>
      <c r="M194" s="82" t="n"/>
      <c r="N194" s="82" t="n"/>
      <c r="O194" s="82" t="n"/>
      <c r="P194" s="82" t="n"/>
      <c r="Q194" s="82" t="n"/>
    </row>
    <row r="195">
      <c r="A195" s="82" t="n"/>
      <c r="B195" s="82" t="n"/>
      <c r="C195" s="82" t="n"/>
      <c r="D195" s="82" t="n"/>
      <c r="E195" s="82" t="n"/>
      <c r="F195" s="82" t="n"/>
      <c r="G195" s="82" t="n"/>
      <c r="H195" s="82" t="n"/>
      <c r="I195" s="82" t="n"/>
      <c r="J195" s="82" t="n"/>
      <c r="K195" s="82" t="n"/>
      <c r="L195" s="82" t="n"/>
      <c r="M195" s="82" t="n"/>
      <c r="N195" s="82" t="n"/>
      <c r="O195" s="82" t="n"/>
      <c r="P195" s="82" t="n"/>
      <c r="Q195" s="82" t="n"/>
    </row>
    <row r="196">
      <c r="A196" s="82" t="n"/>
      <c r="B196" s="82" t="n"/>
      <c r="C196" s="82" t="n"/>
      <c r="D196" s="82" t="n"/>
      <c r="E196" s="82" t="n"/>
      <c r="F196" s="82" t="n"/>
      <c r="G196" s="82" t="n"/>
      <c r="H196" s="82" t="n"/>
      <c r="I196" s="82" t="n"/>
      <c r="J196" s="82" t="n"/>
      <c r="K196" s="82" t="n"/>
      <c r="L196" s="82" t="n"/>
      <c r="M196" s="82" t="n"/>
      <c r="N196" s="82" t="n"/>
      <c r="O196" s="82" t="n"/>
      <c r="P196" s="82" t="n"/>
      <c r="Q196" s="82" t="n"/>
    </row>
    <row r="197">
      <c r="A197" s="82" t="n"/>
      <c r="B197" s="82" t="n"/>
      <c r="C197" s="82" t="n"/>
      <c r="D197" s="82" t="n"/>
      <c r="E197" s="82" t="n"/>
      <c r="F197" s="82" t="n"/>
      <c r="G197" s="82" t="n"/>
      <c r="H197" s="82" t="n"/>
      <c r="I197" s="82" t="n"/>
      <c r="J197" s="82" t="n"/>
      <c r="K197" s="82" t="n"/>
      <c r="L197" s="82" t="n"/>
      <c r="M197" s="82" t="n"/>
      <c r="N197" s="82" t="n"/>
      <c r="O197" s="82" t="n"/>
      <c r="P197" s="82" t="n"/>
      <c r="Q197" s="82" t="n"/>
    </row>
    <row r="198">
      <c r="A198" s="82" t="n"/>
      <c r="B198" s="82" t="n"/>
      <c r="C198" s="82" t="n"/>
      <c r="D198" s="82" t="n"/>
      <c r="E198" s="82" t="n"/>
      <c r="F198" s="82" t="n"/>
      <c r="G198" s="82" t="n"/>
      <c r="H198" s="82" t="n"/>
      <c r="I198" s="82" t="n"/>
      <c r="J198" s="82" t="n"/>
      <c r="K198" s="82" t="n"/>
      <c r="L198" s="82" t="n"/>
      <c r="M198" s="82" t="n"/>
      <c r="N198" s="82" t="n"/>
      <c r="O198" s="82" t="n"/>
      <c r="P198" s="82" t="n"/>
      <c r="Q198" s="82" t="n"/>
    </row>
    <row r="199">
      <c r="A199" s="82" t="n"/>
      <c r="B199" s="82" t="n"/>
      <c r="C199" s="82" t="n"/>
      <c r="D199" s="82" t="n"/>
      <c r="E199" s="82" t="n"/>
      <c r="F199" s="82" t="n"/>
      <c r="G199" s="82" t="n"/>
      <c r="H199" s="82" t="n"/>
      <c r="I199" s="82" t="n"/>
      <c r="J199" s="82" t="n"/>
      <c r="K199" s="82" t="n"/>
      <c r="L199" s="82" t="n"/>
      <c r="M199" s="82" t="n"/>
      <c r="N199" s="82" t="n"/>
      <c r="O199" s="82" t="n"/>
      <c r="P199" s="82" t="n"/>
      <c r="Q199" s="82" t="n"/>
    </row>
    <row r="200">
      <c r="A200" s="82" t="n"/>
      <c r="B200" s="82" t="n"/>
      <c r="C200" s="82" t="n"/>
      <c r="D200" s="82" t="n"/>
      <c r="E200" s="82" t="n"/>
      <c r="F200" s="82" t="n"/>
      <c r="G200" s="82" t="n"/>
      <c r="H200" s="82" t="n"/>
      <c r="I200" s="82" t="n"/>
      <c r="J200" s="82" t="n"/>
      <c r="K200" s="82" t="n"/>
      <c r="L200" s="82" t="n"/>
      <c r="M200" s="82" t="n"/>
      <c r="N200" s="82" t="n"/>
      <c r="O200" s="82" t="n"/>
      <c r="P200" s="82" t="n"/>
      <c r="Q200" s="82" t="n"/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autoFilter ref="A4:U6"/>
  <mergeCells count="2">
    <mergeCell ref="A1:U1"/>
    <mergeCell ref="A2:U2"/>
  </mergeCells>
  <conditionalFormatting sqref="E5:E80">
    <cfRule type="expression" priority="1" dxfId="0">
      <formula>E5="Active"</formula>
    </cfRule>
    <cfRule type="expression" priority="2" dxfId="1">
      <formula>E5="Planning"</formula>
    </cfRule>
    <cfRule type="expression" priority="3" dxfId="2">
      <formula>E5="On Hold"</formula>
    </cfRule>
    <cfRule type="expression" priority="4" dxfId="3">
      <formula>E5="Completed"</formula>
    </cfRule>
    <cfRule type="expression" priority="5" dxfId="4">
      <formula>E5="Cancelled"</formula>
    </cfRule>
  </conditionalFormatting>
  <conditionalFormatting sqref="U5:U80">
    <cfRule type="expression" priority="6" dxfId="5">
      <formula>U5="On Track"</formula>
    </cfRule>
    <cfRule type="expression" priority="7" dxfId="6">
      <formula>U5="Watch"</formula>
    </cfRule>
    <cfRule type="expression" priority="8" dxfId="7">
      <formula>U5="Over"</formula>
    </cfRule>
  </conditionalFormatting>
  <conditionalFormatting sqref="P5:P80">
    <cfRule type="colorScale" priority="9">
      <colorScale>
        <cfvo type="num" val="0"/>
        <cfvo type="num" val="0.5"/>
        <cfvo type="num" val="1"/>
        <color rgb="00E8DDCB"/>
        <color rgb="00D99A3D"/>
        <color rgb="00719B7A"/>
      </colorScale>
    </cfRule>
  </conditionalFormatting>
  <dataValidations count="2">
    <dataValidation sqref="E5:E80" showDropDown="0" showInputMessage="0" showErrorMessage="1" allowBlank="1" errorTitle="Invalid value" error="Pick a value from the list." type="list">
      <formula1>=Project_Status</formula1>
    </dataValidation>
    <dataValidation sqref="F5:F80" showDropDown="0" showInputMessage="0" showErrorMessage="1" allowBlank="1" errorTitle="Invalid value" error="Pick a value from the list." type="list">
      <formula1>=Project_Phase</formula1>
    </dataValidation>
  </dataValidations>
  <pageMargins left="0.4" right="0.4" top="0.6" bottom="0.5" header="0.25" footer="0.25"/>
  <pageSetup orientation="landscape" paperSize="3" fitToHeight="0" fitToWidth="1"/>
  <headerFooter>
    <oddHeader>&amp;LNovality Store  ·  Home Renovation System&amp;RProjects</oddHeader>
    <oddFooter>&amp;LConfidential  ·  Digital twin of the home&amp;RPage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F4A42"/>
    <outlinePr summaryBelow="1" summaryRight="1"/>
    <pageSetUpPr fitToPage="1"/>
  </sheetPr>
  <dimension ref="A1:U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8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4" customWidth="1" min="13" max="13"/>
    <col width="26" customWidth="1" min="14" max="14"/>
    <col width="26" customWidth="1" min="15" max="15"/>
    <col width="40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 ht="28" customHeight="1">
      <c r="A1" s="1" t="inlineStr">
        <is>
          <t>ROOMS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18" customHeight="1">
      <c r="A2" s="3" t="inlineStr">
        <is>
          <t>Every space is a node in the digital twin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</row>
    <row r="4" ht="22" customHeight="1">
      <c r="A4" s="66" t="inlineStr">
        <is>
          <t>Room ID</t>
        </is>
      </c>
      <c r="B4" s="66" t="inlineStr">
        <is>
          <t>Project ID</t>
        </is>
      </c>
      <c r="C4" s="66" t="inlineStr">
        <is>
          <t>Room Name</t>
        </is>
      </c>
      <c r="D4" s="66" t="inlineStr">
        <is>
          <t>Type</t>
        </is>
      </c>
      <c r="E4" s="66" t="inlineStr">
        <is>
          <t>Floor</t>
        </is>
      </c>
      <c r="F4" s="66" t="inlineStr">
        <is>
          <t>Length (ft)</t>
        </is>
      </c>
      <c r="G4" s="66" t="inlineStr">
        <is>
          <t>Width (ft)</t>
        </is>
      </c>
      <c r="H4" s="66" t="inlineStr">
        <is>
          <t>Height (ft)</t>
        </is>
      </c>
      <c r="I4" s="66" t="inlineStr">
        <is>
          <t>Condition</t>
        </is>
      </c>
      <c r="J4" s="66" t="inlineStr">
        <is>
          <t>Status</t>
        </is>
      </c>
      <c r="K4" s="66" t="inlineStr">
        <is>
          <t>Budget</t>
        </is>
      </c>
      <c r="L4" s="66" t="inlineStr">
        <is>
          <t>Contractor ID</t>
        </is>
      </c>
      <c r="M4" s="66" t="inlineStr">
        <is>
          <t>Design Style</t>
        </is>
      </c>
      <c r="N4" s="66" t="inlineStr">
        <is>
          <t>Before Photos</t>
        </is>
      </c>
      <c r="O4" s="66" t="inlineStr">
        <is>
          <t>After Photos</t>
        </is>
      </c>
      <c r="P4" s="66" t="inlineStr">
        <is>
          <t>Notes</t>
        </is>
      </c>
      <c r="Q4" s="66" t="inlineStr">
        <is>
          <t>Area (sf)</t>
        </is>
      </c>
      <c r="R4" s="66" t="inlineStr">
        <is>
          <t>Spent</t>
        </is>
      </c>
      <c r="S4" s="66" t="inlineStr">
        <is>
          <t>Committed</t>
        </is>
      </c>
      <c r="T4" s="66" t="inlineStr">
        <is>
          <t>Remaining</t>
        </is>
      </c>
      <c r="U4" s="66" t="inlineStr">
        <is>
          <t>Budget used</t>
        </is>
      </c>
    </row>
    <row r="5" ht="18" customHeight="1">
      <c r="A5" s="67" t="inlineStr">
        <is>
          <t>RM-01</t>
        </is>
      </c>
      <c r="B5" s="67" t="inlineStr">
        <is>
          <t>PRJ-001</t>
        </is>
      </c>
      <c r="C5" s="67" t="inlineStr">
        <is>
          <t>Kitchen</t>
        </is>
      </c>
      <c r="D5" s="67" t="inlineStr">
        <is>
          <t>Kitchen</t>
        </is>
      </c>
      <c r="E5" s="68" t="n">
        <v>1</v>
      </c>
      <c r="F5" s="68" t="n">
        <v>16</v>
      </c>
      <c r="G5" s="68" t="n">
        <v>12.5</v>
      </c>
      <c r="H5" s="67" t="n">
        <v>9</v>
      </c>
      <c r="I5" s="67" t="inlineStr">
        <is>
          <t>Fair</t>
        </is>
      </c>
      <c r="J5" s="67" t="inlineStr">
        <is>
          <t>In Progress</t>
        </is>
      </c>
      <c r="K5" s="83" t="n">
        <v>32000</v>
      </c>
      <c r="L5" s="68" t="inlineStr">
        <is>
          <t>CTR-001</t>
        </is>
      </c>
      <c r="M5" s="67" t="inlineStr">
        <is>
          <t>Modern</t>
        </is>
      </c>
      <c r="N5" s="67" t="inlineStr">
        <is>
          <t>drive/photos/kitchen-before</t>
        </is>
      </c>
      <c r="O5" s="67" t="inlineStr">
        <is>
          <t>drive/photos/kitchen-wip</t>
        </is>
      </c>
      <c r="P5" s="68" t="inlineStr">
        <is>
          <t>Load-bearing wall stays. Island added.</t>
        </is>
      </c>
      <c r="Q5" s="84">
        <f>IF($A5="","",ROUND($F5*$G5,1))</f>
        <v/>
      </c>
      <c r="R5" s="85">
        <f>IF($A5="","",SUMIFS(Expenses!$H:$H,Expenses!$D:$D,$A5,Expenses!$J:$J,"Paid"))</f>
        <v/>
      </c>
      <c r="S5" s="85">
        <f>IF($A5="","",SUMIFS(Expenses!$H:$H,Expenses!$D:$D,$A5,Expenses!$J:$J,"Committed"))</f>
        <v/>
      </c>
      <c r="T5" s="85">
        <f>IF($A5="","",$K5-$R5-$S5)</f>
        <v/>
      </c>
      <c r="U5" s="86">
        <f>IF(OR($A5="",$K5=0),"",($R5+$S5)/$K5)</f>
        <v/>
      </c>
    </row>
    <row r="6" ht="18" customHeight="1">
      <c r="A6" s="75" t="inlineStr">
        <is>
          <t>RM-02</t>
        </is>
      </c>
      <c r="B6" s="75" t="inlineStr">
        <is>
          <t>PRJ-001</t>
        </is>
      </c>
      <c r="C6" s="75" t="inlineStr">
        <is>
          <t>Living Room</t>
        </is>
      </c>
      <c r="D6" s="75" t="inlineStr">
        <is>
          <t>Living Room</t>
        </is>
      </c>
      <c r="E6" s="76" t="n">
        <v>1</v>
      </c>
      <c r="F6" s="76" t="n">
        <v>20</v>
      </c>
      <c r="G6" s="76" t="n">
        <v>15</v>
      </c>
      <c r="H6" s="75" t="n">
        <v>9.5</v>
      </c>
      <c r="I6" s="75" t="inlineStr">
        <is>
          <t>Good</t>
        </is>
      </c>
      <c r="J6" s="75" t="inlineStr">
        <is>
          <t>In Progress</t>
        </is>
      </c>
      <c r="K6" s="87" t="n">
        <v>12500</v>
      </c>
      <c r="L6" s="76" t="inlineStr">
        <is>
          <t>CTR-006</t>
        </is>
      </c>
      <c r="M6" s="75" t="inlineStr">
        <is>
          <t>Scandinavian</t>
        </is>
      </c>
      <c r="N6" s="75" t="inlineStr">
        <is>
          <t>drive/photos/living-before</t>
        </is>
      </c>
      <c r="O6" s="75" t="inlineStr"/>
      <c r="P6" s="76" t="inlineStr">
        <is>
          <t>White oak floors continue from kitchen.</t>
        </is>
      </c>
      <c r="Q6" s="84">
        <f>IF($A6="","",ROUND($F6*$G6,1))</f>
        <v/>
      </c>
      <c r="R6" s="85">
        <f>IF($A6="","",SUMIFS(Expenses!$H:$H,Expenses!$D:$D,$A6,Expenses!$J:$J,"Paid"))</f>
        <v/>
      </c>
      <c r="S6" s="85">
        <f>IF($A6="","",SUMIFS(Expenses!$H:$H,Expenses!$D:$D,$A6,Expenses!$J:$J,"Committed"))</f>
        <v/>
      </c>
      <c r="T6" s="85">
        <f>IF($A6="","",$K6-$R6-$S6)</f>
        <v/>
      </c>
      <c r="U6" s="86">
        <f>IF(OR($A6="",$K6=0),"",($R6+$S6)/$K6)</f>
        <v/>
      </c>
    </row>
    <row r="7" ht="18" customHeight="1">
      <c r="A7" s="67" t="inlineStr">
        <is>
          <t>RM-03</t>
        </is>
      </c>
      <c r="B7" s="67" t="inlineStr">
        <is>
          <t>PRJ-001</t>
        </is>
      </c>
      <c r="C7" s="67" t="inlineStr">
        <is>
          <t>Primary Bathroom</t>
        </is>
      </c>
      <c r="D7" s="67" t="inlineStr">
        <is>
          <t>Primary Bathroom</t>
        </is>
      </c>
      <c r="E7" s="68" t="n">
        <v>2</v>
      </c>
      <c r="F7" s="68" t="n">
        <v>10</v>
      </c>
      <c r="G7" s="68" t="n">
        <v>8</v>
      </c>
      <c r="H7" s="67" t="n">
        <v>8.5</v>
      </c>
      <c r="I7" s="67" t="inlineStr">
        <is>
          <t>Poor</t>
        </is>
      </c>
      <c r="J7" s="67" t="inlineStr">
        <is>
          <t>Punch List</t>
        </is>
      </c>
      <c r="K7" s="83" t="n">
        <v>18500</v>
      </c>
      <c r="L7" s="68" t="inlineStr">
        <is>
          <t>CTR-004</t>
        </is>
      </c>
      <c r="M7" s="67" t="inlineStr">
        <is>
          <t>Luxury</t>
        </is>
      </c>
      <c r="N7" s="67" t="inlineStr">
        <is>
          <t>drive/photos/bath-before</t>
        </is>
      </c>
      <c r="O7" s="67" t="inlineStr">
        <is>
          <t>drive/photos/bath-after-draft</t>
        </is>
      </c>
      <c r="P7" s="68" t="inlineStr">
        <is>
          <t>Heated floor. Porcelain in lieu of marble.</t>
        </is>
      </c>
      <c r="Q7" s="84">
        <f>IF($A7="","",ROUND($F7*$G7,1))</f>
        <v/>
      </c>
      <c r="R7" s="85">
        <f>IF($A7="","",SUMIFS(Expenses!$H:$H,Expenses!$D:$D,$A7,Expenses!$J:$J,"Paid"))</f>
        <v/>
      </c>
      <c r="S7" s="85">
        <f>IF($A7="","",SUMIFS(Expenses!$H:$H,Expenses!$D:$D,$A7,Expenses!$J:$J,"Committed"))</f>
        <v/>
      </c>
      <c r="T7" s="85">
        <f>IF($A7="","",$K7-$R7-$S7)</f>
        <v/>
      </c>
      <c r="U7" s="86">
        <f>IF(OR($A7="",$K7=0),"",($R7+$S7)/$K7)</f>
        <v/>
      </c>
    </row>
    <row r="8" ht="18" customHeight="1">
      <c r="A8" s="75" t="inlineStr">
        <is>
          <t>RM-04</t>
        </is>
      </c>
      <c r="B8" s="75" t="inlineStr">
        <is>
          <t>PRJ-001</t>
        </is>
      </c>
      <c r="C8" s="75" t="inlineStr">
        <is>
          <t>Guest Bedroom</t>
        </is>
      </c>
      <c r="D8" s="75" t="inlineStr">
        <is>
          <t>Bedroom</t>
        </is>
      </c>
      <c r="E8" s="76" t="n">
        <v>2</v>
      </c>
      <c r="F8" s="76" t="n">
        <v>12</v>
      </c>
      <c r="G8" s="76" t="n">
        <v>11</v>
      </c>
      <c r="H8" s="75" t="n">
        <v>8.5</v>
      </c>
      <c r="I8" s="75" t="inlineStr">
        <is>
          <t>Fair</t>
        </is>
      </c>
      <c r="J8" s="75" t="inlineStr">
        <is>
          <t>Design</t>
        </is>
      </c>
      <c r="K8" s="87" t="n">
        <v>6200</v>
      </c>
      <c r="L8" s="76" t="inlineStr">
        <is>
          <t>CTR-005</t>
        </is>
      </c>
      <c r="M8" s="75" t="inlineStr">
        <is>
          <t>Minimal</t>
        </is>
      </c>
      <c r="N8" s="75" t="inlineStr">
        <is>
          <t>drive/photos/guest-before</t>
        </is>
      </c>
      <c r="O8" s="75" t="inlineStr"/>
      <c r="P8" s="76" t="inlineStr">
        <is>
          <t>Paint, lighting, built-in wardrobe.</t>
        </is>
      </c>
      <c r="Q8" s="84">
        <f>IF($A8="","",ROUND($F8*$G8,1))</f>
        <v/>
      </c>
      <c r="R8" s="85">
        <f>IF($A8="","",SUMIFS(Expenses!$H:$H,Expenses!$D:$D,$A8,Expenses!$J:$J,"Paid"))</f>
        <v/>
      </c>
      <c r="S8" s="85">
        <f>IF($A8="","",SUMIFS(Expenses!$H:$H,Expenses!$D:$D,$A8,Expenses!$J:$J,"Committed"))</f>
        <v/>
      </c>
      <c r="T8" s="85">
        <f>IF($A8="","",$K8-$R8-$S8)</f>
        <v/>
      </c>
      <c r="U8" s="86">
        <f>IF(OR($A8="",$K8=0),"",($R8+$S8)/$K8)</f>
        <v/>
      </c>
    </row>
    <row r="9" ht="18" customHeight="1">
      <c r="A9" s="67" t="inlineStr">
        <is>
          <t>RM-05</t>
        </is>
      </c>
      <c r="B9" s="67" t="inlineStr">
        <is>
          <t>PRJ-001</t>
        </is>
      </c>
      <c r="C9" s="67" t="inlineStr">
        <is>
          <t>Dining Room</t>
        </is>
      </c>
      <c r="D9" s="67" t="inlineStr">
        <is>
          <t>Dining Room</t>
        </is>
      </c>
      <c r="E9" s="68" t="n">
        <v>1</v>
      </c>
      <c r="F9" s="68" t="n">
        <v>13</v>
      </c>
      <c r="G9" s="68" t="n">
        <v>11</v>
      </c>
      <c r="H9" s="67" t="n">
        <v>9.5</v>
      </c>
      <c r="I9" s="67" t="inlineStr">
        <is>
          <t>Good</t>
        </is>
      </c>
      <c r="J9" s="67" t="inlineStr">
        <is>
          <t>In Progress</t>
        </is>
      </c>
      <c r="K9" s="83" t="n">
        <v>4800</v>
      </c>
      <c r="L9" s="68" t="inlineStr">
        <is>
          <t>CTR-005</t>
        </is>
      </c>
      <c r="M9" s="67" t="inlineStr">
        <is>
          <t>Transitional</t>
        </is>
      </c>
      <c r="N9" s="67" t="inlineStr">
        <is>
          <t>drive/photos/dining-before</t>
        </is>
      </c>
      <c r="O9" s="67" t="inlineStr"/>
      <c r="P9" s="68" t="inlineStr">
        <is>
          <t>Sconce pair + plaster repair.</t>
        </is>
      </c>
      <c r="Q9" s="84">
        <f>IF($A9="","",ROUND($F9*$G9,1))</f>
        <v/>
      </c>
      <c r="R9" s="85">
        <f>IF($A9="","",SUMIFS(Expenses!$H:$H,Expenses!$D:$D,$A9,Expenses!$J:$J,"Paid"))</f>
        <v/>
      </c>
      <c r="S9" s="85">
        <f>IF($A9="","",SUMIFS(Expenses!$H:$H,Expenses!$D:$D,$A9,Expenses!$J:$J,"Committed"))</f>
        <v/>
      </c>
      <c r="T9" s="85">
        <f>IF($A9="","",$K9-$R9-$S9)</f>
        <v/>
      </c>
      <c r="U9" s="86">
        <f>IF(OR($A9="",$K9=0),"",($R9+$S9)/$K9)</f>
        <v/>
      </c>
    </row>
    <row r="10" ht="18" customHeight="1">
      <c r="A10" s="75" t="inlineStr">
        <is>
          <t>RM-06</t>
        </is>
      </c>
      <c r="B10" s="75" t="inlineStr">
        <is>
          <t>PRJ-001</t>
        </is>
      </c>
      <c r="C10" s="75" t="inlineStr">
        <is>
          <t>Exterior / Garden</t>
        </is>
      </c>
      <c r="D10" s="75" t="inlineStr">
        <is>
          <t>Exterior</t>
        </is>
      </c>
      <c r="E10" s="76" t="n">
        <v>0</v>
      </c>
      <c r="F10" s="76" t="n">
        <v>40</v>
      </c>
      <c r="G10" s="76" t="n">
        <v>22</v>
      </c>
      <c r="H10" s="75" t="n">
        <v>0</v>
      </c>
      <c r="I10" s="75" t="inlineStr">
        <is>
          <t>Fair</t>
        </is>
      </c>
      <c r="J10" s="75" t="inlineStr">
        <is>
          <t>Not Started</t>
        </is>
      </c>
      <c r="K10" s="87" t="n">
        <v>7400</v>
      </c>
      <c r="L10" s="76" t="inlineStr">
        <is>
          <t>CTR-010</t>
        </is>
      </c>
      <c r="M10" s="75" t="inlineStr">
        <is>
          <t>Traditional</t>
        </is>
      </c>
      <c r="N10" s="75" t="inlineStr">
        <is>
          <t>drive/photos/exterior-before</t>
        </is>
      </c>
      <c r="O10" s="75" t="inlineStr"/>
      <c r="P10" s="76" t="inlineStr">
        <is>
          <t>Front path, porch stain, lighting.</t>
        </is>
      </c>
      <c r="Q10" s="84">
        <f>IF($A10="","",ROUND($F10*$G10,1))</f>
        <v/>
      </c>
      <c r="R10" s="85">
        <f>IF($A10="","",SUMIFS(Expenses!$H:$H,Expenses!$D:$D,$A10,Expenses!$J:$J,"Paid"))</f>
        <v/>
      </c>
      <c r="S10" s="85">
        <f>IF($A10="","",SUMIFS(Expenses!$H:$H,Expenses!$D:$D,$A10,Expenses!$J:$J,"Committed"))</f>
        <v/>
      </c>
      <c r="T10" s="85">
        <f>IF($A10="","",$K10-$R10-$S10)</f>
        <v/>
      </c>
      <c r="U10" s="86">
        <f>IF(OR($A10="",$K10=0),"",($R10+$S10)/$K10)</f>
        <v/>
      </c>
    </row>
    <row r="11" ht="18" customHeight="1">
      <c r="A11" s="67" t="inlineStr">
        <is>
          <t>RM-07</t>
        </is>
      </c>
      <c r="B11" s="67" t="inlineStr">
        <is>
          <t>PRJ-001</t>
        </is>
      </c>
      <c r="C11" s="67" t="inlineStr">
        <is>
          <t>Laundry</t>
        </is>
      </c>
      <c r="D11" s="67" t="inlineStr">
        <is>
          <t>Laundry</t>
        </is>
      </c>
      <c r="E11" s="68" t="n">
        <v>1</v>
      </c>
      <c r="F11" s="68" t="n">
        <v>8</v>
      </c>
      <c r="G11" s="68" t="n">
        <v>6</v>
      </c>
      <c r="H11" s="67" t="n">
        <v>8.5</v>
      </c>
      <c r="I11" s="67" t="inlineStr">
        <is>
          <t>Fair</t>
        </is>
      </c>
      <c r="J11" s="67" t="inlineStr">
        <is>
          <t>Complete</t>
        </is>
      </c>
      <c r="K11" s="83" t="n">
        <v>2100</v>
      </c>
      <c r="L11" s="68" t="inlineStr">
        <is>
          <t>CTR-003</t>
        </is>
      </c>
      <c r="M11" s="67" t="inlineStr">
        <is>
          <t>Minimal</t>
        </is>
      </c>
      <c r="N11" s="67" t="inlineStr">
        <is>
          <t>drive/photos/laundry-before</t>
        </is>
      </c>
      <c r="O11" s="67" t="inlineStr">
        <is>
          <t>drive/photos/laundry-after</t>
        </is>
      </c>
      <c r="P11" s="68" t="inlineStr">
        <is>
          <t>Utility sink and tile splash.</t>
        </is>
      </c>
      <c r="Q11" s="84">
        <f>IF($A11="","",ROUND($F11*$G11,1))</f>
        <v/>
      </c>
      <c r="R11" s="85">
        <f>IF($A11="","",SUMIFS(Expenses!$H:$H,Expenses!$D:$D,$A11,Expenses!$J:$J,"Paid"))</f>
        <v/>
      </c>
      <c r="S11" s="85">
        <f>IF($A11="","",SUMIFS(Expenses!$H:$H,Expenses!$D:$D,$A11,Expenses!$J:$J,"Committed"))</f>
        <v/>
      </c>
      <c r="T11" s="85">
        <f>IF($A11="","",$K11-$R11-$S11)</f>
        <v/>
      </c>
      <c r="U11" s="86">
        <f>IF(OR($A11="",$K11=0),"",($R11+$S11)/$K11)</f>
        <v/>
      </c>
    </row>
    <row r="12" ht="18" customHeight="1">
      <c r="A12" s="75" t="inlineStr">
        <is>
          <t>RM-08</t>
        </is>
      </c>
      <c r="B12" s="75" t="inlineStr">
        <is>
          <t>PRJ-001</t>
        </is>
      </c>
      <c r="C12" s="75" t="inlineStr">
        <is>
          <t>Entry / Foyer</t>
        </is>
      </c>
      <c r="D12" s="75" t="inlineStr">
        <is>
          <t>Entry / Foyer</t>
        </is>
      </c>
      <c r="E12" s="76" t="n">
        <v>1</v>
      </c>
      <c r="F12" s="76" t="n">
        <v>8</v>
      </c>
      <c r="G12" s="76" t="n">
        <v>7</v>
      </c>
      <c r="H12" s="75" t="n">
        <v>9.5</v>
      </c>
      <c r="I12" s="75" t="inlineStr">
        <is>
          <t>Good</t>
        </is>
      </c>
      <c r="J12" s="75" t="inlineStr">
        <is>
          <t>In Progress</t>
        </is>
      </c>
      <c r="K12" s="87" t="n">
        <v>1500</v>
      </c>
      <c r="L12" s="76" t="inlineStr">
        <is>
          <t>CTR-005</t>
        </is>
      </c>
      <c r="M12" s="75" t="inlineStr">
        <is>
          <t>Transitional</t>
        </is>
      </c>
      <c r="N12" s="75" t="inlineStr">
        <is>
          <t>drive/photos/entry-before</t>
        </is>
      </c>
      <c r="O12" s="75" t="inlineStr"/>
      <c r="P12" s="76" t="inlineStr">
        <is>
          <t>Bench, hook rail, paint.</t>
        </is>
      </c>
      <c r="Q12" s="84">
        <f>IF($A12="","",ROUND($F12*$G12,1))</f>
        <v/>
      </c>
      <c r="R12" s="85">
        <f>IF($A12="","",SUMIFS(Expenses!$H:$H,Expenses!$D:$D,$A12,Expenses!$J:$J,"Paid"))</f>
        <v/>
      </c>
      <c r="S12" s="85">
        <f>IF($A12="","",SUMIFS(Expenses!$H:$H,Expenses!$D:$D,$A12,Expenses!$J:$J,"Committed"))</f>
        <v/>
      </c>
      <c r="T12" s="85">
        <f>IF($A12="","",$K12-$R12-$S12)</f>
        <v/>
      </c>
      <c r="U12" s="86">
        <f>IF(OR($A12="",$K12=0),"",($R12+$S12)/$K12)</f>
        <v/>
      </c>
    </row>
    <row r="13" ht="18" customHeight="1">
      <c r="A13" s="67" t="inlineStr">
        <is>
          <t>RM-09</t>
        </is>
      </c>
      <c r="B13" s="67" t="inlineStr">
        <is>
          <t>PRJ-002</t>
        </is>
      </c>
      <c r="C13" s="67" t="inlineStr">
        <is>
          <t>Cabin Bathroom</t>
        </is>
      </c>
      <c r="D13" s="67" t="inlineStr">
        <is>
          <t>Bathroom</t>
        </is>
      </c>
      <c r="E13" s="68" t="n">
        <v>1</v>
      </c>
      <c r="F13" s="68" t="n">
        <v>8</v>
      </c>
      <c r="G13" s="68" t="n">
        <v>6.5</v>
      </c>
      <c r="H13" s="67" t="n">
        <v>8</v>
      </c>
      <c r="I13" s="67" t="inlineStr">
        <is>
          <t>Poor</t>
        </is>
      </c>
      <c r="J13" s="67" t="inlineStr">
        <is>
          <t>Design</t>
        </is>
      </c>
      <c r="K13" s="83" t="n">
        <v>18500</v>
      </c>
      <c r="L13" s="68" t="inlineStr">
        <is>
          <t>CTR-004</t>
        </is>
      </c>
      <c r="M13" s="67" t="inlineStr">
        <is>
          <t>Scandinavian</t>
        </is>
      </c>
      <c r="N13" s="67" t="inlineStr">
        <is>
          <t>drive/photos/cabin-bath-before</t>
        </is>
      </c>
      <c r="O13" s="67" t="inlineStr"/>
      <c r="P13" s="68" t="inlineStr">
        <is>
          <t>Full gut. Starts October.</t>
        </is>
      </c>
      <c r="Q13" s="84">
        <f>IF($A13="","",ROUND($F13*$G13,1))</f>
        <v/>
      </c>
      <c r="R13" s="85">
        <f>IF($A13="","",SUMIFS(Expenses!$H:$H,Expenses!$D:$D,$A13,Expenses!$J:$J,"Paid"))</f>
        <v/>
      </c>
      <c r="S13" s="85">
        <f>IF($A13="","",SUMIFS(Expenses!$H:$H,Expenses!$D:$D,$A13,Expenses!$J:$J,"Committed"))</f>
        <v/>
      </c>
      <c r="T13" s="85">
        <f>IF($A13="","",$K13-$R13-$S13)</f>
        <v/>
      </c>
      <c r="U13" s="86">
        <f>IF(OR($A13="",$K13=0),"",($R13+$S13)/$K13)</f>
        <v/>
      </c>
    </row>
    <row r="14">
      <c r="A14" s="82" t="n"/>
      <c r="B14" s="82" t="n"/>
      <c r="C14" s="82" t="n"/>
      <c r="D14" s="82" t="n"/>
      <c r="E14" s="82" t="n"/>
      <c r="F14" s="82" t="n"/>
      <c r="G14" s="82" t="n"/>
      <c r="H14" s="82" t="n"/>
      <c r="I14" s="82" t="n"/>
      <c r="J14" s="82" t="n"/>
      <c r="K14" s="82" t="n"/>
      <c r="L14" s="82" t="n"/>
      <c r="M14" s="82" t="n"/>
      <c r="N14" s="82" t="n"/>
      <c r="O14" s="82" t="n"/>
      <c r="P14" s="82" t="n"/>
    </row>
    <row r="15">
      <c r="A15" s="82" t="n"/>
      <c r="B15" s="82" t="n"/>
      <c r="C15" s="82" t="n"/>
      <c r="D15" s="82" t="n"/>
      <c r="E15" s="82" t="n"/>
      <c r="F15" s="82" t="n"/>
      <c r="G15" s="82" t="n"/>
      <c r="H15" s="82" t="n"/>
      <c r="I15" s="82" t="n"/>
      <c r="J15" s="82" t="n"/>
      <c r="K15" s="82" t="n"/>
      <c r="L15" s="82" t="n"/>
      <c r="M15" s="82" t="n"/>
      <c r="N15" s="82" t="n"/>
      <c r="O15" s="82" t="n"/>
      <c r="P15" s="82" t="n"/>
    </row>
    <row r="16">
      <c r="A16" s="82" t="n"/>
      <c r="B16" s="82" t="n"/>
      <c r="C16" s="82" t="n"/>
      <c r="D16" s="82" t="n"/>
      <c r="E16" s="82" t="n"/>
      <c r="F16" s="82" t="n"/>
      <c r="G16" s="82" t="n"/>
      <c r="H16" s="82" t="n"/>
      <c r="I16" s="82" t="n"/>
      <c r="J16" s="82" t="n"/>
      <c r="K16" s="82" t="n"/>
      <c r="L16" s="82" t="n"/>
      <c r="M16" s="82" t="n"/>
      <c r="N16" s="82" t="n"/>
      <c r="O16" s="82" t="n"/>
      <c r="P16" s="82" t="n"/>
    </row>
    <row r="17">
      <c r="A17" s="82" t="n"/>
      <c r="B17" s="82" t="n"/>
      <c r="C17" s="82" t="n"/>
      <c r="D17" s="82" t="n"/>
      <c r="E17" s="82" t="n"/>
      <c r="F17" s="82" t="n"/>
      <c r="G17" s="82" t="n"/>
      <c r="H17" s="82" t="n"/>
      <c r="I17" s="82" t="n"/>
      <c r="J17" s="82" t="n"/>
      <c r="K17" s="82" t="n"/>
      <c r="L17" s="82" t="n"/>
      <c r="M17" s="82" t="n"/>
      <c r="N17" s="82" t="n"/>
      <c r="O17" s="82" t="n"/>
      <c r="P17" s="82" t="n"/>
    </row>
    <row r="18">
      <c r="A18" s="82" t="n"/>
      <c r="B18" s="82" t="n"/>
      <c r="C18" s="82" t="n"/>
      <c r="D18" s="82" t="n"/>
      <c r="E18" s="82" t="n"/>
      <c r="F18" s="82" t="n"/>
      <c r="G18" s="82" t="n"/>
      <c r="H18" s="82" t="n"/>
      <c r="I18" s="82" t="n"/>
      <c r="J18" s="82" t="n"/>
      <c r="K18" s="82" t="n"/>
      <c r="L18" s="82" t="n"/>
      <c r="M18" s="82" t="n"/>
      <c r="N18" s="82" t="n"/>
      <c r="O18" s="82" t="n"/>
      <c r="P18" s="82" t="n"/>
    </row>
    <row r="19">
      <c r="A19" s="82" t="n"/>
      <c r="B19" s="82" t="n"/>
      <c r="C19" s="82" t="n"/>
      <c r="D19" s="82" t="n"/>
      <c r="E19" s="82" t="n"/>
      <c r="F19" s="82" t="n"/>
      <c r="G19" s="82" t="n"/>
      <c r="H19" s="82" t="n"/>
      <c r="I19" s="82" t="n"/>
      <c r="J19" s="82" t="n"/>
      <c r="K19" s="82" t="n"/>
      <c r="L19" s="82" t="n"/>
      <c r="M19" s="82" t="n"/>
      <c r="N19" s="82" t="n"/>
      <c r="O19" s="82" t="n"/>
      <c r="P19" s="82" t="n"/>
    </row>
    <row r="20">
      <c r="A20" s="82" t="n"/>
      <c r="B20" s="82" t="n"/>
      <c r="C20" s="82" t="n"/>
      <c r="D20" s="82" t="n"/>
      <c r="E20" s="82" t="n"/>
      <c r="F20" s="82" t="n"/>
      <c r="G20" s="82" t="n"/>
      <c r="H20" s="82" t="n"/>
      <c r="I20" s="82" t="n"/>
      <c r="J20" s="82" t="n"/>
      <c r="K20" s="82" t="n"/>
      <c r="L20" s="82" t="n"/>
      <c r="M20" s="82" t="n"/>
      <c r="N20" s="82" t="n"/>
      <c r="O20" s="82" t="n"/>
      <c r="P20" s="82" t="n"/>
    </row>
    <row r="21">
      <c r="A21" s="82" t="n"/>
      <c r="B21" s="82" t="n"/>
      <c r="C21" s="82" t="n"/>
      <c r="D21" s="82" t="n"/>
      <c r="E21" s="82" t="n"/>
      <c r="F21" s="82" t="n"/>
      <c r="G21" s="82" t="n"/>
      <c r="H21" s="82" t="n"/>
      <c r="I21" s="82" t="n"/>
      <c r="J21" s="82" t="n"/>
      <c r="K21" s="82" t="n"/>
      <c r="L21" s="82" t="n"/>
      <c r="M21" s="82" t="n"/>
      <c r="N21" s="82" t="n"/>
      <c r="O21" s="82" t="n"/>
      <c r="P21" s="82" t="n"/>
    </row>
    <row r="22">
      <c r="A22" s="82" t="n"/>
      <c r="B22" s="82" t="n"/>
      <c r="C22" s="82" t="n"/>
      <c r="D22" s="82" t="n"/>
      <c r="E22" s="82" t="n"/>
      <c r="F22" s="82" t="n"/>
      <c r="G22" s="82" t="n"/>
      <c r="H22" s="82" t="n"/>
      <c r="I22" s="82" t="n"/>
      <c r="J22" s="82" t="n"/>
      <c r="K22" s="82" t="n"/>
      <c r="L22" s="82" t="n"/>
      <c r="M22" s="82" t="n"/>
      <c r="N22" s="82" t="n"/>
      <c r="O22" s="82" t="n"/>
      <c r="P22" s="82" t="n"/>
    </row>
    <row r="23">
      <c r="A23" s="82" t="n"/>
      <c r="B23" s="82" t="n"/>
      <c r="C23" s="82" t="n"/>
      <c r="D23" s="82" t="n"/>
      <c r="E23" s="82" t="n"/>
      <c r="F23" s="82" t="n"/>
      <c r="G23" s="82" t="n"/>
      <c r="H23" s="82" t="n"/>
      <c r="I23" s="82" t="n"/>
      <c r="J23" s="82" t="n"/>
      <c r="K23" s="82" t="n"/>
      <c r="L23" s="82" t="n"/>
      <c r="M23" s="82" t="n"/>
      <c r="N23" s="82" t="n"/>
      <c r="O23" s="82" t="n"/>
      <c r="P23" s="82" t="n"/>
    </row>
    <row r="24">
      <c r="A24" s="82" t="n"/>
      <c r="B24" s="82" t="n"/>
      <c r="C24" s="82" t="n"/>
      <c r="D24" s="82" t="n"/>
      <c r="E24" s="82" t="n"/>
      <c r="F24" s="82" t="n"/>
      <c r="G24" s="82" t="n"/>
      <c r="H24" s="82" t="n"/>
      <c r="I24" s="82" t="n"/>
      <c r="J24" s="82" t="n"/>
      <c r="K24" s="82" t="n"/>
      <c r="L24" s="82" t="n"/>
      <c r="M24" s="82" t="n"/>
      <c r="N24" s="82" t="n"/>
      <c r="O24" s="82" t="n"/>
      <c r="P24" s="82" t="n"/>
    </row>
    <row r="25">
      <c r="A25" s="82" t="n"/>
      <c r="B25" s="82" t="n"/>
      <c r="C25" s="82" t="n"/>
      <c r="D25" s="82" t="n"/>
      <c r="E25" s="82" t="n"/>
      <c r="F25" s="82" t="n"/>
      <c r="G25" s="82" t="n"/>
      <c r="H25" s="82" t="n"/>
      <c r="I25" s="82" t="n"/>
      <c r="J25" s="82" t="n"/>
      <c r="K25" s="82" t="n"/>
      <c r="L25" s="82" t="n"/>
      <c r="M25" s="82" t="n"/>
      <c r="N25" s="82" t="n"/>
      <c r="O25" s="82" t="n"/>
      <c r="P25" s="82" t="n"/>
    </row>
    <row r="26">
      <c r="A26" s="82" t="n"/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  <c r="L26" s="82" t="n"/>
      <c r="M26" s="82" t="n"/>
      <c r="N26" s="82" t="n"/>
      <c r="O26" s="82" t="n"/>
      <c r="P26" s="82" t="n"/>
    </row>
    <row r="27">
      <c r="A27" s="82" t="n"/>
      <c r="B27" s="82" t="n"/>
      <c r="C27" s="82" t="n"/>
      <c r="D27" s="82" t="n"/>
      <c r="E27" s="82" t="n"/>
      <c r="F27" s="82" t="n"/>
      <c r="G27" s="82" t="n"/>
      <c r="H27" s="82" t="n"/>
      <c r="I27" s="82" t="n"/>
      <c r="J27" s="82" t="n"/>
      <c r="K27" s="82" t="n"/>
      <c r="L27" s="82" t="n"/>
      <c r="M27" s="82" t="n"/>
      <c r="N27" s="82" t="n"/>
      <c r="O27" s="82" t="n"/>
      <c r="P27" s="82" t="n"/>
    </row>
    <row r="28">
      <c r="A28" s="82" t="n"/>
      <c r="B28" s="82" t="n"/>
      <c r="C28" s="82" t="n"/>
      <c r="D28" s="82" t="n"/>
      <c r="E28" s="82" t="n"/>
      <c r="F28" s="82" t="n"/>
      <c r="G28" s="82" t="n"/>
      <c r="H28" s="82" t="n"/>
      <c r="I28" s="82" t="n"/>
      <c r="J28" s="82" t="n"/>
      <c r="K28" s="82" t="n"/>
      <c r="L28" s="82" t="n"/>
      <c r="M28" s="82" t="n"/>
      <c r="N28" s="82" t="n"/>
      <c r="O28" s="82" t="n"/>
      <c r="P28" s="82" t="n"/>
    </row>
    <row r="29">
      <c r="A29" s="82" t="n"/>
      <c r="B29" s="82" t="n"/>
      <c r="C29" s="82" t="n"/>
      <c r="D29" s="82" t="n"/>
      <c r="E29" s="82" t="n"/>
      <c r="F29" s="82" t="n"/>
      <c r="G29" s="82" t="n"/>
      <c r="H29" s="82" t="n"/>
      <c r="I29" s="82" t="n"/>
      <c r="J29" s="82" t="n"/>
      <c r="K29" s="82" t="n"/>
      <c r="L29" s="82" t="n"/>
      <c r="M29" s="82" t="n"/>
      <c r="N29" s="82" t="n"/>
      <c r="O29" s="82" t="n"/>
      <c r="P29" s="82" t="n"/>
    </row>
    <row r="30">
      <c r="A30" s="82" t="n"/>
      <c r="B30" s="82" t="n"/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  <c r="M30" s="82" t="n"/>
      <c r="N30" s="82" t="n"/>
      <c r="O30" s="82" t="n"/>
      <c r="P30" s="82" t="n"/>
    </row>
    <row r="31">
      <c r="A31" s="82" t="n"/>
      <c r="B31" s="82" t="n"/>
      <c r="C31" s="82" t="n"/>
      <c r="D31" s="82" t="n"/>
      <c r="E31" s="82" t="n"/>
      <c r="F31" s="82" t="n"/>
      <c r="G31" s="82" t="n"/>
      <c r="H31" s="82" t="n"/>
      <c r="I31" s="82" t="n"/>
      <c r="J31" s="82" t="n"/>
      <c r="K31" s="82" t="n"/>
      <c r="L31" s="82" t="n"/>
      <c r="M31" s="82" t="n"/>
      <c r="N31" s="82" t="n"/>
      <c r="O31" s="82" t="n"/>
      <c r="P31" s="82" t="n"/>
    </row>
    <row r="32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  <c r="L32" s="82" t="n"/>
      <c r="M32" s="82" t="n"/>
      <c r="N32" s="82" t="n"/>
      <c r="O32" s="82" t="n"/>
      <c r="P32" s="82" t="n"/>
    </row>
    <row r="33">
      <c r="A33" s="82" t="n"/>
      <c r="B33" s="82" t="n"/>
      <c r="C33" s="82" t="n"/>
      <c r="D33" s="82" t="n"/>
      <c r="E33" s="82" t="n"/>
      <c r="F33" s="82" t="n"/>
      <c r="G33" s="82" t="n"/>
      <c r="H33" s="82" t="n"/>
      <c r="I33" s="82" t="n"/>
      <c r="J33" s="82" t="n"/>
      <c r="K33" s="82" t="n"/>
      <c r="L33" s="82" t="n"/>
      <c r="M33" s="82" t="n"/>
      <c r="N33" s="82" t="n"/>
      <c r="O33" s="82" t="n"/>
      <c r="P33" s="82" t="n"/>
    </row>
    <row r="34">
      <c r="A34" s="82" t="n"/>
      <c r="B34" s="82" t="n"/>
      <c r="C34" s="82" t="n"/>
      <c r="D34" s="82" t="n"/>
      <c r="E34" s="82" t="n"/>
      <c r="F34" s="82" t="n"/>
      <c r="G34" s="82" t="n"/>
      <c r="H34" s="82" t="n"/>
      <c r="I34" s="82" t="n"/>
      <c r="J34" s="82" t="n"/>
      <c r="K34" s="82" t="n"/>
      <c r="L34" s="82" t="n"/>
      <c r="M34" s="82" t="n"/>
      <c r="N34" s="82" t="n"/>
      <c r="O34" s="82" t="n"/>
      <c r="P34" s="82" t="n"/>
    </row>
    <row r="35">
      <c r="A35" s="82" t="n"/>
      <c r="B35" s="82" t="n"/>
      <c r="C35" s="82" t="n"/>
      <c r="D35" s="82" t="n"/>
      <c r="E35" s="82" t="n"/>
      <c r="F35" s="82" t="n"/>
      <c r="G35" s="82" t="n"/>
      <c r="H35" s="82" t="n"/>
      <c r="I35" s="82" t="n"/>
      <c r="J35" s="82" t="n"/>
      <c r="K35" s="82" t="n"/>
      <c r="L35" s="82" t="n"/>
      <c r="M35" s="82" t="n"/>
      <c r="N35" s="82" t="n"/>
      <c r="O35" s="82" t="n"/>
      <c r="P35" s="82" t="n"/>
    </row>
    <row r="36">
      <c r="A36" s="82" t="n"/>
      <c r="B36" s="82" t="n"/>
      <c r="C36" s="82" t="n"/>
      <c r="D36" s="82" t="n"/>
      <c r="E36" s="82" t="n"/>
      <c r="F36" s="82" t="n"/>
      <c r="G36" s="82" t="n"/>
      <c r="H36" s="82" t="n"/>
      <c r="I36" s="82" t="n"/>
      <c r="J36" s="82" t="n"/>
      <c r="K36" s="82" t="n"/>
      <c r="L36" s="82" t="n"/>
      <c r="M36" s="82" t="n"/>
      <c r="N36" s="82" t="n"/>
      <c r="O36" s="82" t="n"/>
      <c r="P36" s="82" t="n"/>
    </row>
    <row r="37">
      <c r="A37" s="82" t="n"/>
      <c r="B37" s="82" t="n"/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  <c r="L37" s="82" t="n"/>
      <c r="M37" s="82" t="n"/>
      <c r="N37" s="82" t="n"/>
      <c r="O37" s="82" t="n"/>
      <c r="P37" s="82" t="n"/>
    </row>
    <row r="38">
      <c r="A38" s="82" t="n"/>
      <c r="B38" s="82" t="n"/>
      <c r="C38" s="82" t="n"/>
      <c r="D38" s="82" t="n"/>
      <c r="E38" s="82" t="n"/>
      <c r="F38" s="82" t="n"/>
      <c r="G38" s="82" t="n"/>
      <c r="H38" s="82" t="n"/>
      <c r="I38" s="82" t="n"/>
      <c r="J38" s="82" t="n"/>
      <c r="K38" s="82" t="n"/>
      <c r="L38" s="82" t="n"/>
      <c r="M38" s="82" t="n"/>
      <c r="N38" s="82" t="n"/>
      <c r="O38" s="82" t="n"/>
      <c r="P38" s="82" t="n"/>
    </row>
    <row r="39">
      <c r="A39" s="82" t="n"/>
      <c r="B39" s="82" t="n"/>
      <c r="C39" s="82" t="n"/>
      <c r="D39" s="82" t="n"/>
      <c r="E39" s="82" t="n"/>
      <c r="F39" s="82" t="n"/>
      <c r="G39" s="82" t="n"/>
      <c r="H39" s="82" t="n"/>
      <c r="I39" s="82" t="n"/>
      <c r="J39" s="82" t="n"/>
      <c r="K39" s="82" t="n"/>
      <c r="L39" s="82" t="n"/>
      <c r="M39" s="82" t="n"/>
      <c r="N39" s="82" t="n"/>
      <c r="O39" s="82" t="n"/>
      <c r="P39" s="82" t="n"/>
    </row>
    <row r="40">
      <c r="A40" s="82" t="n"/>
      <c r="B40" s="82" t="n"/>
      <c r="C40" s="82" t="n"/>
      <c r="D40" s="82" t="n"/>
      <c r="E40" s="82" t="n"/>
      <c r="F40" s="82" t="n"/>
      <c r="G40" s="82" t="n"/>
      <c r="H40" s="82" t="n"/>
      <c r="I40" s="82" t="n"/>
      <c r="J40" s="82" t="n"/>
      <c r="K40" s="82" t="n"/>
      <c r="L40" s="82" t="n"/>
      <c r="M40" s="82" t="n"/>
      <c r="N40" s="82" t="n"/>
      <c r="O40" s="82" t="n"/>
      <c r="P40" s="82" t="n"/>
    </row>
    <row r="41">
      <c r="A41" s="82" t="n"/>
      <c r="B41" s="82" t="n"/>
      <c r="C41" s="82" t="n"/>
      <c r="D41" s="82" t="n"/>
      <c r="E41" s="82" t="n"/>
      <c r="F41" s="82" t="n"/>
      <c r="G41" s="82" t="n"/>
      <c r="H41" s="82" t="n"/>
      <c r="I41" s="82" t="n"/>
      <c r="J41" s="82" t="n"/>
      <c r="K41" s="82" t="n"/>
      <c r="L41" s="82" t="n"/>
      <c r="M41" s="82" t="n"/>
      <c r="N41" s="82" t="n"/>
      <c r="O41" s="82" t="n"/>
      <c r="P41" s="82" t="n"/>
    </row>
    <row r="42">
      <c r="A42" s="82" t="n"/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  <c r="L42" s="82" t="n"/>
      <c r="M42" s="82" t="n"/>
      <c r="N42" s="82" t="n"/>
      <c r="O42" s="82" t="n"/>
      <c r="P42" s="82" t="n"/>
    </row>
    <row r="43">
      <c r="A43" s="82" t="n"/>
      <c r="B43" s="82" t="n"/>
      <c r="C43" s="82" t="n"/>
      <c r="D43" s="82" t="n"/>
      <c r="E43" s="82" t="n"/>
      <c r="F43" s="82" t="n"/>
      <c r="G43" s="82" t="n"/>
      <c r="H43" s="82" t="n"/>
      <c r="I43" s="82" t="n"/>
      <c r="J43" s="82" t="n"/>
      <c r="K43" s="82" t="n"/>
      <c r="L43" s="82" t="n"/>
      <c r="M43" s="82" t="n"/>
      <c r="N43" s="82" t="n"/>
      <c r="O43" s="82" t="n"/>
      <c r="P43" s="82" t="n"/>
    </row>
    <row r="44">
      <c r="A44" s="82" t="n"/>
      <c r="B44" s="82" t="n"/>
      <c r="C44" s="82" t="n"/>
      <c r="D44" s="82" t="n"/>
      <c r="E44" s="82" t="n"/>
      <c r="F44" s="82" t="n"/>
      <c r="G44" s="82" t="n"/>
      <c r="H44" s="82" t="n"/>
      <c r="I44" s="82" t="n"/>
      <c r="J44" s="82" t="n"/>
      <c r="K44" s="82" t="n"/>
      <c r="L44" s="82" t="n"/>
      <c r="M44" s="82" t="n"/>
      <c r="N44" s="82" t="n"/>
      <c r="O44" s="82" t="n"/>
      <c r="P44" s="82" t="n"/>
    </row>
    <row r="45">
      <c r="A45" s="82" t="n"/>
      <c r="B45" s="82" t="n"/>
      <c r="C45" s="82" t="n"/>
      <c r="D45" s="82" t="n"/>
      <c r="E45" s="82" t="n"/>
      <c r="F45" s="82" t="n"/>
      <c r="G45" s="82" t="n"/>
      <c r="H45" s="82" t="n"/>
      <c r="I45" s="82" t="n"/>
      <c r="J45" s="82" t="n"/>
      <c r="K45" s="82" t="n"/>
      <c r="L45" s="82" t="n"/>
      <c r="M45" s="82" t="n"/>
      <c r="N45" s="82" t="n"/>
      <c r="O45" s="82" t="n"/>
      <c r="P45" s="82" t="n"/>
    </row>
    <row r="46">
      <c r="A46" s="82" t="n"/>
      <c r="B46" s="82" t="n"/>
      <c r="C46" s="82" t="n"/>
      <c r="D46" s="82" t="n"/>
      <c r="E46" s="82" t="n"/>
      <c r="F46" s="82" t="n"/>
      <c r="G46" s="82" t="n"/>
      <c r="H46" s="82" t="n"/>
      <c r="I46" s="82" t="n"/>
      <c r="J46" s="82" t="n"/>
      <c r="K46" s="82" t="n"/>
      <c r="L46" s="82" t="n"/>
      <c r="M46" s="82" t="n"/>
      <c r="N46" s="82" t="n"/>
      <c r="O46" s="82" t="n"/>
      <c r="P46" s="82" t="n"/>
    </row>
    <row r="47">
      <c r="A47" s="82" t="n"/>
      <c r="B47" s="82" t="n"/>
      <c r="C47" s="82" t="n"/>
      <c r="D47" s="82" t="n"/>
      <c r="E47" s="82" t="n"/>
      <c r="F47" s="82" t="n"/>
      <c r="G47" s="82" t="n"/>
      <c r="H47" s="82" t="n"/>
      <c r="I47" s="82" t="n"/>
      <c r="J47" s="82" t="n"/>
      <c r="K47" s="82" t="n"/>
      <c r="L47" s="82" t="n"/>
      <c r="M47" s="82" t="n"/>
      <c r="N47" s="82" t="n"/>
      <c r="O47" s="82" t="n"/>
      <c r="P47" s="82" t="n"/>
    </row>
    <row r="48">
      <c r="A48" s="82" t="n"/>
      <c r="B48" s="82" t="n"/>
      <c r="C48" s="82" t="n"/>
      <c r="D48" s="82" t="n"/>
      <c r="E48" s="82" t="n"/>
      <c r="F48" s="82" t="n"/>
      <c r="G48" s="82" t="n"/>
      <c r="H48" s="82" t="n"/>
      <c r="I48" s="82" t="n"/>
      <c r="J48" s="82" t="n"/>
      <c r="K48" s="82" t="n"/>
      <c r="L48" s="82" t="n"/>
      <c r="M48" s="82" t="n"/>
      <c r="N48" s="82" t="n"/>
      <c r="O48" s="82" t="n"/>
      <c r="P48" s="82" t="n"/>
    </row>
    <row r="49">
      <c r="A49" s="82" t="n"/>
      <c r="B49" s="82" t="n"/>
      <c r="C49" s="82" t="n"/>
      <c r="D49" s="82" t="n"/>
      <c r="E49" s="82" t="n"/>
      <c r="F49" s="82" t="n"/>
      <c r="G49" s="82" t="n"/>
      <c r="H49" s="82" t="n"/>
      <c r="I49" s="82" t="n"/>
      <c r="J49" s="82" t="n"/>
      <c r="K49" s="82" t="n"/>
      <c r="L49" s="82" t="n"/>
      <c r="M49" s="82" t="n"/>
      <c r="N49" s="82" t="n"/>
      <c r="O49" s="82" t="n"/>
      <c r="P49" s="82" t="n"/>
    </row>
    <row r="50">
      <c r="A50" s="82" t="n"/>
      <c r="B50" s="82" t="n"/>
      <c r="C50" s="82" t="n"/>
      <c r="D50" s="82" t="n"/>
      <c r="E50" s="82" t="n"/>
      <c r="F50" s="82" t="n"/>
      <c r="G50" s="82" t="n"/>
      <c r="H50" s="82" t="n"/>
      <c r="I50" s="82" t="n"/>
      <c r="J50" s="82" t="n"/>
      <c r="K50" s="82" t="n"/>
      <c r="L50" s="82" t="n"/>
      <c r="M50" s="82" t="n"/>
      <c r="N50" s="82" t="n"/>
      <c r="O50" s="82" t="n"/>
      <c r="P50" s="82" t="n"/>
    </row>
    <row r="51">
      <c r="A51" s="82" t="n"/>
      <c r="B51" s="82" t="n"/>
      <c r="C51" s="82" t="n"/>
      <c r="D51" s="82" t="n"/>
      <c r="E51" s="82" t="n"/>
      <c r="F51" s="82" t="n"/>
      <c r="G51" s="82" t="n"/>
      <c r="H51" s="82" t="n"/>
      <c r="I51" s="82" t="n"/>
      <c r="J51" s="82" t="n"/>
      <c r="K51" s="82" t="n"/>
      <c r="L51" s="82" t="n"/>
      <c r="M51" s="82" t="n"/>
      <c r="N51" s="82" t="n"/>
      <c r="O51" s="82" t="n"/>
      <c r="P51" s="82" t="n"/>
    </row>
    <row r="52">
      <c r="A52" s="82" t="n"/>
      <c r="B52" s="82" t="n"/>
      <c r="C52" s="82" t="n"/>
      <c r="D52" s="82" t="n"/>
      <c r="E52" s="82" t="n"/>
      <c r="F52" s="82" t="n"/>
      <c r="G52" s="82" t="n"/>
      <c r="H52" s="82" t="n"/>
      <c r="I52" s="82" t="n"/>
      <c r="J52" s="82" t="n"/>
      <c r="K52" s="82" t="n"/>
      <c r="L52" s="82" t="n"/>
      <c r="M52" s="82" t="n"/>
      <c r="N52" s="82" t="n"/>
      <c r="O52" s="82" t="n"/>
      <c r="P52" s="82" t="n"/>
    </row>
    <row r="53">
      <c r="A53" s="82" t="n"/>
      <c r="B53" s="82" t="n"/>
      <c r="C53" s="82" t="n"/>
      <c r="D53" s="82" t="n"/>
      <c r="E53" s="82" t="n"/>
      <c r="F53" s="82" t="n"/>
      <c r="G53" s="82" t="n"/>
      <c r="H53" s="82" t="n"/>
      <c r="I53" s="82" t="n"/>
      <c r="J53" s="82" t="n"/>
      <c r="K53" s="82" t="n"/>
      <c r="L53" s="82" t="n"/>
      <c r="M53" s="82" t="n"/>
      <c r="N53" s="82" t="n"/>
      <c r="O53" s="82" t="n"/>
      <c r="P53" s="82" t="n"/>
    </row>
    <row r="54">
      <c r="A54" s="82" t="n"/>
      <c r="B54" s="82" t="n"/>
      <c r="C54" s="82" t="n"/>
      <c r="D54" s="82" t="n"/>
      <c r="E54" s="82" t="n"/>
      <c r="F54" s="82" t="n"/>
      <c r="G54" s="82" t="n"/>
      <c r="H54" s="82" t="n"/>
      <c r="I54" s="82" t="n"/>
      <c r="J54" s="82" t="n"/>
      <c r="K54" s="82" t="n"/>
      <c r="L54" s="82" t="n"/>
      <c r="M54" s="82" t="n"/>
      <c r="N54" s="82" t="n"/>
      <c r="O54" s="82" t="n"/>
      <c r="P54" s="82" t="n"/>
    </row>
    <row r="55">
      <c r="A55" s="82" t="n"/>
      <c r="B55" s="82" t="n"/>
      <c r="C55" s="82" t="n"/>
      <c r="D55" s="82" t="n"/>
      <c r="E55" s="82" t="n"/>
      <c r="F55" s="82" t="n"/>
      <c r="G55" s="82" t="n"/>
      <c r="H55" s="82" t="n"/>
      <c r="I55" s="82" t="n"/>
      <c r="J55" s="82" t="n"/>
      <c r="K55" s="82" t="n"/>
      <c r="L55" s="82" t="n"/>
      <c r="M55" s="82" t="n"/>
      <c r="N55" s="82" t="n"/>
      <c r="O55" s="82" t="n"/>
      <c r="P55" s="82" t="n"/>
    </row>
    <row r="56">
      <c r="A56" s="82" t="n"/>
      <c r="B56" s="82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2" t="n"/>
      <c r="L56" s="82" t="n"/>
      <c r="M56" s="82" t="n"/>
      <c r="N56" s="82" t="n"/>
      <c r="O56" s="82" t="n"/>
      <c r="P56" s="82" t="n"/>
    </row>
    <row r="57">
      <c r="A57" s="82" t="n"/>
      <c r="B57" s="82" t="n"/>
      <c r="C57" s="82" t="n"/>
      <c r="D57" s="82" t="n"/>
      <c r="E57" s="82" t="n"/>
      <c r="F57" s="82" t="n"/>
      <c r="G57" s="82" t="n"/>
      <c r="H57" s="82" t="n"/>
      <c r="I57" s="82" t="n"/>
      <c r="J57" s="82" t="n"/>
      <c r="K57" s="82" t="n"/>
      <c r="L57" s="82" t="n"/>
      <c r="M57" s="82" t="n"/>
      <c r="N57" s="82" t="n"/>
      <c r="O57" s="82" t="n"/>
      <c r="P57" s="82" t="n"/>
    </row>
    <row r="58">
      <c r="A58" s="82" t="n"/>
      <c r="B58" s="82" t="n"/>
      <c r="C58" s="82" t="n"/>
      <c r="D58" s="82" t="n"/>
      <c r="E58" s="82" t="n"/>
      <c r="F58" s="82" t="n"/>
      <c r="G58" s="82" t="n"/>
      <c r="H58" s="82" t="n"/>
      <c r="I58" s="82" t="n"/>
      <c r="J58" s="82" t="n"/>
      <c r="K58" s="82" t="n"/>
      <c r="L58" s="82" t="n"/>
      <c r="M58" s="82" t="n"/>
      <c r="N58" s="82" t="n"/>
      <c r="O58" s="82" t="n"/>
      <c r="P58" s="82" t="n"/>
    </row>
    <row r="59">
      <c r="A59" s="82" t="n"/>
      <c r="B59" s="82" t="n"/>
      <c r="C59" s="82" t="n"/>
      <c r="D59" s="82" t="n"/>
      <c r="E59" s="82" t="n"/>
      <c r="F59" s="82" t="n"/>
      <c r="G59" s="82" t="n"/>
      <c r="H59" s="82" t="n"/>
      <c r="I59" s="82" t="n"/>
      <c r="J59" s="82" t="n"/>
      <c r="K59" s="82" t="n"/>
      <c r="L59" s="82" t="n"/>
      <c r="M59" s="82" t="n"/>
      <c r="N59" s="82" t="n"/>
      <c r="O59" s="82" t="n"/>
      <c r="P59" s="82" t="n"/>
    </row>
    <row r="60">
      <c r="A60" s="82" t="n"/>
      <c r="B60" s="82" t="n"/>
      <c r="C60" s="82" t="n"/>
      <c r="D60" s="82" t="n"/>
      <c r="E60" s="82" t="n"/>
      <c r="F60" s="82" t="n"/>
      <c r="G60" s="82" t="n"/>
      <c r="H60" s="82" t="n"/>
      <c r="I60" s="82" t="n"/>
      <c r="J60" s="82" t="n"/>
      <c r="K60" s="82" t="n"/>
      <c r="L60" s="82" t="n"/>
      <c r="M60" s="82" t="n"/>
      <c r="N60" s="82" t="n"/>
      <c r="O60" s="82" t="n"/>
      <c r="P60" s="82" t="n"/>
    </row>
    <row r="61">
      <c r="A61" s="82" t="n"/>
      <c r="B61" s="82" t="n"/>
      <c r="C61" s="82" t="n"/>
      <c r="D61" s="82" t="n"/>
      <c r="E61" s="82" t="n"/>
      <c r="F61" s="82" t="n"/>
      <c r="G61" s="82" t="n"/>
      <c r="H61" s="82" t="n"/>
      <c r="I61" s="82" t="n"/>
      <c r="J61" s="82" t="n"/>
      <c r="K61" s="82" t="n"/>
      <c r="L61" s="82" t="n"/>
      <c r="M61" s="82" t="n"/>
      <c r="N61" s="82" t="n"/>
      <c r="O61" s="82" t="n"/>
      <c r="P61" s="82" t="n"/>
    </row>
    <row r="62">
      <c r="A62" s="82" t="n"/>
      <c r="B62" s="82" t="n"/>
      <c r="C62" s="82" t="n"/>
      <c r="D62" s="82" t="n"/>
      <c r="E62" s="82" t="n"/>
      <c r="F62" s="82" t="n"/>
      <c r="G62" s="82" t="n"/>
      <c r="H62" s="82" t="n"/>
      <c r="I62" s="82" t="n"/>
      <c r="J62" s="82" t="n"/>
      <c r="K62" s="82" t="n"/>
      <c r="L62" s="82" t="n"/>
      <c r="M62" s="82" t="n"/>
      <c r="N62" s="82" t="n"/>
      <c r="O62" s="82" t="n"/>
      <c r="P62" s="82" t="n"/>
    </row>
    <row r="63">
      <c r="A63" s="82" t="n"/>
      <c r="B63" s="82" t="n"/>
      <c r="C63" s="82" t="n"/>
      <c r="D63" s="82" t="n"/>
      <c r="E63" s="82" t="n"/>
      <c r="F63" s="82" t="n"/>
      <c r="G63" s="82" t="n"/>
      <c r="H63" s="82" t="n"/>
      <c r="I63" s="82" t="n"/>
      <c r="J63" s="82" t="n"/>
      <c r="K63" s="82" t="n"/>
      <c r="L63" s="82" t="n"/>
      <c r="M63" s="82" t="n"/>
      <c r="N63" s="82" t="n"/>
      <c r="O63" s="82" t="n"/>
      <c r="P63" s="82" t="n"/>
    </row>
    <row r="64">
      <c r="A64" s="82" t="n"/>
      <c r="B64" s="82" t="n"/>
      <c r="C64" s="82" t="n"/>
      <c r="D64" s="82" t="n"/>
      <c r="E64" s="82" t="n"/>
      <c r="F64" s="82" t="n"/>
      <c r="G64" s="82" t="n"/>
      <c r="H64" s="82" t="n"/>
      <c r="I64" s="82" t="n"/>
      <c r="J64" s="82" t="n"/>
      <c r="K64" s="82" t="n"/>
      <c r="L64" s="82" t="n"/>
      <c r="M64" s="82" t="n"/>
      <c r="N64" s="82" t="n"/>
      <c r="O64" s="82" t="n"/>
      <c r="P64" s="82" t="n"/>
    </row>
    <row r="65">
      <c r="A65" s="82" t="n"/>
      <c r="B65" s="82" t="n"/>
      <c r="C65" s="82" t="n"/>
      <c r="D65" s="82" t="n"/>
      <c r="E65" s="82" t="n"/>
      <c r="F65" s="82" t="n"/>
      <c r="G65" s="82" t="n"/>
      <c r="H65" s="82" t="n"/>
      <c r="I65" s="82" t="n"/>
      <c r="J65" s="82" t="n"/>
      <c r="K65" s="82" t="n"/>
      <c r="L65" s="82" t="n"/>
      <c r="M65" s="82" t="n"/>
      <c r="N65" s="82" t="n"/>
      <c r="O65" s="82" t="n"/>
      <c r="P65" s="82" t="n"/>
    </row>
    <row r="66">
      <c r="A66" s="82" t="n"/>
      <c r="B66" s="82" t="n"/>
      <c r="C66" s="82" t="n"/>
      <c r="D66" s="82" t="n"/>
      <c r="E66" s="82" t="n"/>
      <c r="F66" s="82" t="n"/>
      <c r="G66" s="82" t="n"/>
      <c r="H66" s="82" t="n"/>
      <c r="I66" s="82" t="n"/>
      <c r="J66" s="82" t="n"/>
      <c r="K66" s="82" t="n"/>
      <c r="L66" s="82" t="n"/>
      <c r="M66" s="82" t="n"/>
      <c r="N66" s="82" t="n"/>
      <c r="O66" s="82" t="n"/>
      <c r="P66" s="82" t="n"/>
    </row>
    <row r="67">
      <c r="A67" s="82" t="n"/>
      <c r="B67" s="82" t="n"/>
      <c r="C67" s="82" t="n"/>
      <c r="D67" s="82" t="n"/>
      <c r="E67" s="82" t="n"/>
      <c r="F67" s="82" t="n"/>
      <c r="G67" s="82" t="n"/>
      <c r="H67" s="82" t="n"/>
      <c r="I67" s="82" t="n"/>
      <c r="J67" s="82" t="n"/>
      <c r="K67" s="82" t="n"/>
      <c r="L67" s="82" t="n"/>
      <c r="M67" s="82" t="n"/>
      <c r="N67" s="82" t="n"/>
      <c r="O67" s="82" t="n"/>
      <c r="P67" s="82" t="n"/>
    </row>
    <row r="68">
      <c r="A68" s="82" t="n"/>
      <c r="B68" s="82" t="n"/>
      <c r="C68" s="82" t="n"/>
      <c r="D68" s="82" t="n"/>
      <c r="E68" s="82" t="n"/>
      <c r="F68" s="82" t="n"/>
      <c r="G68" s="82" t="n"/>
      <c r="H68" s="82" t="n"/>
      <c r="I68" s="82" t="n"/>
      <c r="J68" s="82" t="n"/>
      <c r="K68" s="82" t="n"/>
      <c r="L68" s="82" t="n"/>
      <c r="M68" s="82" t="n"/>
      <c r="N68" s="82" t="n"/>
      <c r="O68" s="82" t="n"/>
      <c r="P68" s="82" t="n"/>
    </row>
    <row r="69">
      <c r="A69" s="82" t="n"/>
      <c r="B69" s="82" t="n"/>
      <c r="C69" s="82" t="n"/>
      <c r="D69" s="82" t="n"/>
      <c r="E69" s="82" t="n"/>
      <c r="F69" s="82" t="n"/>
      <c r="G69" s="82" t="n"/>
      <c r="H69" s="82" t="n"/>
      <c r="I69" s="82" t="n"/>
      <c r="J69" s="82" t="n"/>
      <c r="K69" s="82" t="n"/>
      <c r="L69" s="82" t="n"/>
      <c r="M69" s="82" t="n"/>
      <c r="N69" s="82" t="n"/>
      <c r="O69" s="82" t="n"/>
      <c r="P69" s="82" t="n"/>
    </row>
    <row r="70">
      <c r="A70" s="82" t="n"/>
      <c r="B70" s="82" t="n"/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  <c r="N70" s="82" t="n"/>
      <c r="O70" s="82" t="n"/>
      <c r="P70" s="82" t="n"/>
    </row>
    <row r="71">
      <c r="A71" s="82" t="n"/>
      <c r="B71" s="82" t="n"/>
      <c r="C71" s="82" t="n"/>
      <c r="D71" s="82" t="n"/>
      <c r="E71" s="82" t="n"/>
      <c r="F71" s="82" t="n"/>
      <c r="G71" s="82" t="n"/>
      <c r="H71" s="82" t="n"/>
      <c r="I71" s="82" t="n"/>
      <c r="J71" s="82" t="n"/>
      <c r="K71" s="82" t="n"/>
      <c r="L71" s="82" t="n"/>
      <c r="M71" s="82" t="n"/>
      <c r="N71" s="82" t="n"/>
      <c r="O71" s="82" t="n"/>
      <c r="P71" s="82" t="n"/>
    </row>
    <row r="72">
      <c r="A72" s="82" t="n"/>
      <c r="B72" s="82" t="n"/>
      <c r="C72" s="82" t="n"/>
      <c r="D72" s="82" t="n"/>
      <c r="E72" s="82" t="n"/>
      <c r="F72" s="82" t="n"/>
      <c r="G72" s="82" t="n"/>
      <c r="H72" s="82" t="n"/>
      <c r="I72" s="82" t="n"/>
      <c r="J72" s="82" t="n"/>
      <c r="K72" s="82" t="n"/>
      <c r="L72" s="82" t="n"/>
      <c r="M72" s="82" t="n"/>
      <c r="N72" s="82" t="n"/>
      <c r="O72" s="82" t="n"/>
      <c r="P72" s="82" t="n"/>
    </row>
    <row r="73">
      <c r="A73" s="82" t="n"/>
      <c r="B73" s="82" t="n"/>
      <c r="C73" s="82" t="n"/>
      <c r="D73" s="82" t="n"/>
      <c r="E73" s="82" t="n"/>
      <c r="F73" s="82" t="n"/>
      <c r="G73" s="82" t="n"/>
      <c r="H73" s="82" t="n"/>
      <c r="I73" s="82" t="n"/>
      <c r="J73" s="82" t="n"/>
      <c r="K73" s="82" t="n"/>
      <c r="L73" s="82" t="n"/>
      <c r="M73" s="82" t="n"/>
      <c r="N73" s="82" t="n"/>
      <c r="O73" s="82" t="n"/>
      <c r="P73" s="82" t="n"/>
    </row>
    <row r="74">
      <c r="A74" s="82" t="n"/>
      <c r="B74" s="82" t="n"/>
      <c r="C74" s="82" t="n"/>
      <c r="D74" s="82" t="n"/>
      <c r="E74" s="82" t="n"/>
      <c r="F74" s="82" t="n"/>
      <c r="G74" s="82" t="n"/>
      <c r="H74" s="82" t="n"/>
      <c r="I74" s="82" t="n"/>
      <c r="J74" s="82" t="n"/>
      <c r="K74" s="82" t="n"/>
      <c r="L74" s="82" t="n"/>
      <c r="M74" s="82" t="n"/>
      <c r="N74" s="82" t="n"/>
      <c r="O74" s="82" t="n"/>
      <c r="P74" s="82" t="n"/>
    </row>
    <row r="75">
      <c r="A75" s="82" t="n"/>
      <c r="B75" s="82" t="n"/>
      <c r="C75" s="82" t="n"/>
      <c r="D75" s="82" t="n"/>
      <c r="E75" s="82" t="n"/>
      <c r="F75" s="82" t="n"/>
      <c r="G75" s="82" t="n"/>
      <c r="H75" s="82" t="n"/>
      <c r="I75" s="82" t="n"/>
      <c r="J75" s="82" t="n"/>
      <c r="K75" s="82" t="n"/>
      <c r="L75" s="82" t="n"/>
      <c r="M75" s="82" t="n"/>
      <c r="N75" s="82" t="n"/>
      <c r="O75" s="82" t="n"/>
      <c r="P75" s="82" t="n"/>
    </row>
    <row r="76">
      <c r="A76" s="82" t="n"/>
      <c r="B76" s="82" t="n"/>
      <c r="C76" s="82" t="n"/>
      <c r="D76" s="82" t="n"/>
      <c r="E76" s="82" t="n"/>
      <c r="F76" s="82" t="n"/>
      <c r="G76" s="82" t="n"/>
      <c r="H76" s="82" t="n"/>
      <c r="I76" s="82" t="n"/>
      <c r="J76" s="82" t="n"/>
      <c r="K76" s="82" t="n"/>
      <c r="L76" s="82" t="n"/>
      <c r="M76" s="82" t="n"/>
      <c r="N76" s="82" t="n"/>
      <c r="O76" s="82" t="n"/>
      <c r="P76" s="82" t="n"/>
    </row>
    <row r="77">
      <c r="A77" s="82" t="n"/>
      <c r="B77" s="82" t="n"/>
      <c r="C77" s="82" t="n"/>
      <c r="D77" s="82" t="n"/>
      <c r="E77" s="82" t="n"/>
      <c r="F77" s="82" t="n"/>
      <c r="G77" s="82" t="n"/>
      <c r="H77" s="82" t="n"/>
      <c r="I77" s="82" t="n"/>
      <c r="J77" s="82" t="n"/>
      <c r="K77" s="82" t="n"/>
      <c r="L77" s="82" t="n"/>
      <c r="M77" s="82" t="n"/>
      <c r="N77" s="82" t="n"/>
      <c r="O77" s="82" t="n"/>
      <c r="P77" s="82" t="n"/>
    </row>
    <row r="78">
      <c r="A78" s="82" t="n"/>
      <c r="B78" s="82" t="n"/>
      <c r="C78" s="82" t="n"/>
      <c r="D78" s="82" t="n"/>
      <c r="E78" s="82" t="n"/>
      <c r="F78" s="82" t="n"/>
      <c r="G78" s="82" t="n"/>
      <c r="H78" s="82" t="n"/>
      <c r="I78" s="82" t="n"/>
      <c r="J78" s="82" t="n"/>
      <c r="K78" s="82" t="n"/>
      <c r="L78" s="82" t="n"/>
      <c r="M78" s="82" t="n"/>
      <c r="N78" s="82" t="n"/>
      <c r="O78" s="82" t="n"/>
      <c r="P78" s="82" t="n"/>
    </row>
    <row r="79">
      <c r="A79" s="82" t="n"/>
      <c r="B79" s="82" t="n"/>
      <c r="C79" s="82" t="n"/>
      <c r="D79" s="82" t="n"/>
      <c r="E79" s="82" t="n"/>
      <c r="F79" s="82" t="n"/>
      <c r="G79" s="82" t="n"/>
      <c r="H79" s="82" t="n"/>
      <c r="I79" s="82" t="n"/>
      <c r="J79" s="82" t="n"/>
      <c r="K79" s="82" t="n"/>
      <c r="L79" s="82" t="n"/>
      <c r="M79" s="82" t="n"/>
      <c r="N79" s="82" t="n"/>
      <c r="O79" s="82" t="n"/>
      <c r="P79" s="82" t="n"/>
    </row>
    <row r="80">
      <c r="A80" s="82" t="n"/>
      <c r="B80" s="82" t="n"/>
      <c r="C80" s="82" t="n"/>
      <c r="D80" s="82" t="n"/>
      <c r="E80" s="82" t="n"/>
      <c r="F80" s="82" t="n"/>
      <c r="G80" s="82" t="n"/>
      <c r="H80" s="82" t="n"/>
      <c r="I80" s="82" t="n"/>
      <c r="J80" s="82" t="n"/>
      <c r="K80" s="82" t="n"/>
      <c r="L80" s="82" t="n"/>
      <c r="M80" s="82" t="n"/>
      <c r="N80" s="82" t="n"/>
      <c r="O80" s="82" t="n"/>
      <c r="P80" s="82" t="n"/>
    </row>
    <row r="81">
      <c r="A81" s="82" t="n"/>
      <c r="B81" s="82" t="n"/>
      <c r="C81" s="82" t="n"/>
      <c r="D81" s="82" t="n"/>
      <c r="E81" s="82" t="n"/>
      <c r="F81" s="82" t="n"/>
      <c r="G81" s="82" t="n"/>
      <c r="H81" s="82" t="n"/>
      <c r="I81" s="82" t="n"/>
      <c r="J81" s="82" t="n"/>
      <c r="K81" s="82" t="n"/>
      <c r="L81" s="82" t="n"/>
      <c r="M81" s="82" t="n"/>
      <c r="N81" s="82" t="n"/>
      <c r="O81" s="82" t="n"/>
      <c r="P81" s="82" t="n"/>
    </row>
    <row r="82">
      <c r="A82" s="82" t="n"/>
      <c r="B82" s="82" t="n"/>
      <c r="C82" s="82" t="n"/>
      <c r="D82" s="82" t="n"/>
      <c r="E82" s="82" t="n"/>
      <c r="F82" s="82" t="n"/>
      <c r="G82" s="82" t="n"/>
      <c r="H82" s="82" t="n"/>
      <c r="I82" s="82" t="n"/>
      <c r="J82" s="82" t="n"/>
      <c r="K82" s="82" t="n"/>
      <c r="L82" s="82" t="n"/>
      <c r="M82" s="82" t="n"/>
      <c r="N82" s="82" t="n"/>
      <c r="O82" s="82" t="n"/>
      <c r="P82" s="82" t="n"/>
    </row>
    <row r="83">
      <c r="A83" s="82" t="n"/>
      <c r="B83" s="82" t="n"/>
      <c r="C83" s="82" t="n"/>
      <c r="D83" s="82" t="n"/>
      <c r="E83" s="82" t="n"/>
      <c r="F83" s="82" t="n"/>
      <c r="G83" s="82" t="n"/>
      <c r="H83" s="82" t="n"/>
      <c r="I83" s="82" t="n"/>
      <c r="J83" s="82" t="n"/>
      <c r="K83" s="82" t="n"/>
      <c r="L83" s="82" t="n"/>
      <c r="M83" s="82" t="n"/>
      <c r="N83" s="82" t="n"/>
      <c r="O83" s="82" t="n"/>
      <c r="P83" s="82" t="n"/>
    </row>
    <row r="84">
      <c r="A84" s="82" t="n"/>
      <c r="B84" s="82" t="n"/>
      <c r="C84" s="82" t="n"/>
      <c r="D84" s="82" t="n"/>
      <c r="E84" s="82" t="n"/>
      <c r="F84" s="82" t="n"/>
      <c r="G84" s="82" t="n"/>
      <c r="H84" s="82" t="n"/>
      <c r="I84" s="82" t="n"/>
      <c r="J84" s="82" t="n"/>
      <c r="K84" s="82" t="n"/>
      <c r="L84" s="82" t="n"/>
      <c r="M84" s="82" t="n"/>
      <c r="N84" s="82" t="n"/>
      <c r="O84" s="82" t="n"/>
      <c r="P84" s="82" t="n"/>
    </row>
    <row r="85">
      <c r="A85" s="82" t="n"/>
      <c r="B85" s="82" t="n"/>
      <c r="C85" s="82" t="n"/>
      <c r="D85" s="82" t="n"/>
      <c r="E85" s="82" t="n"/>
      <c r="F85" s="82" t="n"/>
      <c r="G85" s="82" t="n"/>
      <c r="H85" s="82" t="n"/>
      <c r="I85" s="82" t="n"/>
      <c r="J85" s="82" t="n"/>
      <c r="K85" s="82" t="n"/>
      <c r="L85" s="82" t="n"/>
      <c r="M85" s="82" t="n"/>
      <c r="N85" s="82" t="n"/>
      <c r="O85" s="82" t="n"/>
      <c r="P85" s="82" t="n"/>
    </row>
    <row r="86">
      <c r="A86" s="82" t="n"/>
      <c r="B86" s="82" t="n"/>
      <c r="C86" s="82" t="n"/>
      <c r="D86" s="82" t="n"/>
      <c r="E86" s="82" t="n"/>
      <c r="F86" s="82" t="n"/>
      <c r="G86" s="82" t="n"/>
      <c r="H86" s="82" t="n"/>
      <c r="I86" s="82" t="n"/>
      <c r="J86" s="82" t="n"/>
      <c r="K86" s="82" t="n"/>
      <c r="L86" s="82" t="n"/>
      <c r="M86" s="82" t="n"/>
      <c r="N86" s="82" t="n"/>
      <c r="O86" s="82" t="n"/>
      <c r="P86" s="82" t="n"/>
    </row>
    <row r="87">
      <c r="A87" s="82" t="n"/>
      <c r="B87" s="82" t="n"/>
      <c r="C87" s="82" t="n"/>
      <c r="D87" s="82" t="n"/>
      <c r="E87" s="82" t="n"/>
      <c r="F87" s="82" t="n"/>
      <c r="G87" s="82" t="n"/>
      <c r="H87" s="82" t="n"/>
      <c r="I87" s="82" t="n"/>
      <c r="J87" s="82" t="n"/>
      <c r="K87" s="82" t="n"/>
      <c r="L87" s="82" t="n"/>
      <c r="M87" s="82" t="n"/>
      <c r="N87" s="82" t="n"/>
      <c r="O87" s="82" t="n"/>
      <c r="P87" s="82" t="n"/>
    </row>
    <row r="88">
      <c r="A88" s="82" t="n"/>
      <c r="B88" s="82" t="n"/>
      <c r="C88" s="82" t="n"/>
      <c r="D88" s="82" t="n"/>
      <c r="E88" s="82" t="n"/>
      <c r="F88" s="82" t="n"/>
      <c r="G88" s="82" t="n"/>
      <c r="H88" s="82" t="n"/>
      <c r="I88" s="82" t="n"/>
      <c r="J88" s="82" t="n"/>
      <c r="K88" s="82" t="n"/>
      <c r="L88" s="82" t="n"/>
      <c r="M88" s="82" t="n"/>
      <c r="N88" s="82" t="n"/>
      <c r="O88" s="82" t="n"/>
      <c r="P88" s="82" t="n"/>
    </row>
    <row r="89">
      <c r="A89" s="82" t="n"/>
      <c r="B89" s="82" t="n"/>
      <c r="C89" s="82" t="n"/>
      <c r="D89" s="82" t="n"/>
      <c r="E89" s="82" t="n"/>
      <c r="F89" s="82" t="n"/>
      <c r="G89" s="82" t="n"/>
      <c r="H89" s="82" t="n"/>
      <c r="I89" s="82" t="n"/>
      <c r="J89" s="82" t="n"/>
      <c r="K89" s="82" t="n"/>
      <c r="L89" s="82" t="n"/>
      <c r="M89" s="82" t="n"/>
      <c r="N89" s="82" t="n"/>
      <c r="O89" s="82" t="n"/>
      <c r="P89" s="82" t="n"/>
    </row>
    <row r="90">
      <c r="A90" s="82" t="n"/>
      <c r="B90" s="82" t="n"/>
      <c r="C90" s="82" t="n"/>
      <c r="D90" s="82" t="n"/>
      <c r="E90" s="82" t="n"/>
      <c r="F90" s="82" t="n"/>
      <c r="G90" s="82" t="n"/>
      <c r="H90" s="82" t="n"/>
      <c r="I90" s="82" t="n"/>
      <c r="J90" s="82" t="n"/>
      <c r="K90" s="82" t="n"/>
      <c r="L90" s="82" t="n"/>
      <c r="M90" s="82" t="n"/>
      <c r="N90" s="82" t="n"/>
      <c r="O90" s="82" t="n"/>
      <c r="P90" s="82" t="n"/>
    </row>
    <row r="91">
      <c r="A91" s="82" t="n"/>
      <c r="B91" s="82" t="n"/>
      <c r="C91" s="82" t="n"/>
      <c r="D91" s="82" t="n"/>
      <c r="E91" s="82" t="n"/>
      <c r="F91" s="82" t="n"/>
      <c r="G91" s="82" t="n"/>
      <c r="H91" s="82" t="n"/>
      <c r="I91" s="82" t="n"/>
      <c r="J91" s="82" t="n"/>
      <c r="K91" s="82" t="n"/>
      <c r="L91" s="82" t="n"/>
      <c r="M91" s="82" t="n"/>
      <c r="N91" s="82" t="n"/>
      <c r="O91" s="82" t="n"/>
      <c r="P91" s="82" t="n"/>
    </row>
    <row r="92">
      <c r="A92" s="82" t="n"/>
      <c r="B92" s="82" t="n"/>
      <c r="C92" s="82" t="n"/>
      <c r="D92" s="82" t="n"/>
      <c r="E92" s="82" t="n"/>
      <c r="F92" s="82" t="n"/>
      <c r="G92" s="82" t="n"/>
      <c r="H92" s="82" t="n"/>
      <c r="I92" s="82" t="n"/>
      <c r="J92" s="82" t="n"/>
      <c r="K92" s="82" t="n"/>
      <c r="L92" s="82" t="n"/>
      <c r="M92" s="82" t="n"/>
      <c r="N92" s="82" t="n"/>
      <c r="O92" s="82" t="n"/>
      <c r="P92" s="82" t="n"/>
    </row>
    <row r="93">
      <c r="A93" s="82" t="n"/>
      <c r="B93" s="82" t="n"/>
      <c r="C93" s="82" t="n"/>
      <c r="D93" s="82" t="n"/>
      <c r="E93" s="82" t="n"/>
      <c r="F93" s="82" t="n"/>
      <c r="G93" s="82" t="n"/>
      <c r="H93" s="82" t="n"/>
      <c r="I93" s="82" t="n"/>
      <c r="J93" s="82" t="n"/>
      <c r="K93" s="82" t="n"/>
      <c r="L93" s="82" t="n"/>
      <c r="M93" s="82" t="n"/>
      <c r="N93" s="82" t="n"/>
      <c r="O93" s="82" t="n"/>
      <c r="P93" s="82" t="n"/>
    </row>
    <row r="94">
      <c r="A94" s="82" t="n"/>
      <c r="B94" s="82" t="n"/>
      <c r="C94" s="82" t="n"/>
      <c r="D94" s="82" t="n"/>
      <c r="E94" s="82" t="n"/>
      <c r="F94" s="82" t="n"/>
      <c r="G94" s="82" t="n"/>
      <c r="H94" s="82" t="n"/>
      <c r="I94" s="82" t="n"/>
      <c r="J94" s="82" t="n"/>
      <c r="K94" s="82" t="n"/>
      <c r="L94" s="82" t="n"/>
      <c r="M94" s="82" t="n"/>
      <c r="N94" s="82" t="n"/>
      <c r="O94" s="82" t="n"/>
      <c r="P94" s="82" t="n"/>
    </row>
    <row r="95">
      <c r="A95" s="82" t="n"/>
      <c r="B95" s="82" t="n"/>
      <c r="C95" s="82" t="n"/>
      <c r="D95" s="82" t="n"/>
      <c r="E95" s="82" t="n"/>
      <c r="F95" s="82" t="n"/>
      <c r="G95" s="82" t="n"/>
      <c r="H95" s="82" t="n"/>
      <c r="I95" s="82" t="n"/>
      <c r="J95" s="82" t="n"/>
      <c r="K95" s="82" t="n"/>
      <c r="L95" s="82" t="n"/>
      <c r="M95" s="82" t="n"/>
      <c r="N95" s="82" t="n"/>
      <c r="O95" s="82" t="n"/>
      <c r="P95" s="82" t="n"/>
    </row>
    <row r="96">
      <c r="A96" s="82" t="n"/>
      <c r="B96" s="82" t="n"/>
      <c r="C96" s="82" t="n"/>
      <c r="D96" s="82" t="n"/>
      <c r="E96" s="82" t="n"/>
      <c r="F96" s="82" t="n"/>
      <c r="G96" s="82" t="n"/>
      <c r="H96" s="82" t="n"/>
      <c r="I96" s="82" t="n"/>
      <c r="J96" s="82" t="n"/>
      <c r="K96" s="82" t="n"/>
      <c r="L96" s="82" t="n"/>
      <c r="M96" s="82" t="n"/>
      <c r="N96" s="82" t="n"/>
      <c r="O96" s="82" t="n"/>
      <c r="P96" s="82" t="n"/>
    </row>
    <row r="97">
      <c r="A97" s="82" t="n"/>
      <c r="B97" s="82" t="n"/>
      <c r="C97" s="82" t="n"/>
      <c r="D97" s="82" t="n"/>
      <c r="E97" s="82" t="n"/>
      <c r="F97" s="82" t="n"/>
      <c r="G97" s="82" t="n"/>
      <c r="H97" s="82" t="n"/>
      <c r="I97" s="82" t="n"/>
      <c r="J97" s="82" t="n"/>
      <c r="K97" s="82" t="n"/>
      <c r="L97" s="82" t="n"/>
      <c r="M97" s="82" t="n"/>
      <c r="N97" s="82" t="n"/>
      <c r="O97" s="82" t="n"/>
      <c r="P97" s="82" t="n"/>
    </row>
    <row r="98">
      <c r="A98" s="82" t="n"/>
      <c r="B98" s="82" t="n"/>
      <c r="C98" s="82" t="n"/>
      <c r="D98" s="82" t="n"/>
      <c r="E98" s="82" t="n"/>
      <c r="F98" s="82" t="n"/>
      <c r="G98" s="82" t="n"/>
      <c r="H98" s="82" t="n"/>
      <c r="I98" s="82" t="n"/>
      <c r="J98" s="82" t="n"/>
      <c r="K98" s="82" t="n"/>
      <c r="L98" s="82" t="n"/>
      <c r="M98" s="82" t="n"/>
      <c r="N98" s="82" t="n"/>
      <c r="O98" s="82" t="n"/>
      <c r="P98" s="82" t="n"/>
    </row>
    <row r="99">
      <c r="A99" s="82" t="n"/>
      <c r="B99" s="82" t="n"/>
      <c r="C99" s="82" t="n"/>
      <c r="D99" s="82" t="n"/>
      <c r="E99" s="82" t="n"/>
      <c r="F99" s="82" t="n"/>
      <c r="G99" s="82" t="n"/>
      <c r="H99" s="82" t="n"/>
      <c r="I99" s="82" t="n"/>
      <c r="J99" s="82" t="n"/>
      <c r="K99" s="82" t="n"/>
      <c r="L99" s="82" t="n"/>
      <c r="M99" s="82" t="n"/>
      <c r="N99" s="82" t="n"/>
      <c r="O99" s="82" t="n"/>
      <c r="P99" s="82" t="n"/>
    </row>
    <row r="100">
      <c r="A100" s="82" t="n"/>
      <c r="B100" s="82" t="n"/>
      <c r="C100" s="82" t="n"/>
      <c r="D100" s="82" t="n"/>
      <c r="E100" s="82" t="n"/>
      <c r="F100" s="82" t="n"/>
      <c r="G100" s="82" t="n"/>
      <c r="H100" s="82" t="n"/>
      <c r="I100" s="82" t="n"/>
      <c r="J100" s="82" t="n"/>
      <c r="K100" s="82" t="n"/>
      <c r="L100" s="82" t="n"/>
      <c r="M100" s="82" t="n"/>
      <c r="N100" s="82" t="n"/>
      <c r="O100" s="82" t="n"/>
      <c r="P100" s="82" t="n"/>
    </row>
    <row r="101">
      <c r="A101" s="82" t="n"/>
      <c r="B101" s="82" t="n"/>
      <c r="C101" s="82" t="n"/>
      <c r="D101" s="82" t="n"/>
      <c r="E101" s="82" t="n"/>
      <c r="F101" s="82" t="n"/>
      <c r="G101" s="82" t="n"/>
      <c r="H101" s="82" t="n"/>
      <c r="I101" s="82" t="n"/>
      <c r="J101" s="82" t="n"/>
      <c r="K101" s="82" t="n"/>
      <c r="L101" s="82" t="n"/>
      <c r="M101" s="82" t="n"/>
      <c r="N101" s="82" t="n"/>
      <c r="O101" s="82" t="n"/>
      <c r="P101" s="82" t="n"/>
    </row>
    <row r="102">
      <c r="A102" s="82" t="n"/>
      <c r="B102" s="82" t="n"/>
      <c r="C102" s="82" t="n"/>
      <c r="D102" s="82" t="n"/>
      <c r="E102" s="82" t="n"/>
      <c r="F102" s="82" t="n"/>
      <c r="G102" s="82" t="n"/>
      <c r="H102" s="82" t="n"/>
      <c r="I102" s="82" t="n"/>
      <c r="J102" s="82" t="n"/>
      <c r="K102" s="82" t="n"/>
      <c r="L102" s="82" t="n"/>
      <c r="M102" s="82" t="n"/>
      <c r="N102" s="82" t="n"/>
      <c r="O102" s="82" t="n"/>
      <c r="P102" s="82" t="n"/>
    </row>
    <row r="103">
      <c r="A103" s="82" t="n"/>
      <c r="B103" s="82" t="n"/>
      <c r="C103" s="82" t="n"/>
      <c r="D103" s="82" t="n"/>
      <c r="E103" s="82" t="n"/>
      <c r="F103" s="82" t="n"/>
      <c r="G103" s="82" t="n"/>
      <c r="H103" s="82" t="n"/>
      <c r="I103" s="82" t="n"/>
      <c r="J103" s="82" t="n"/>
      <c r="K103" s="82" t="n"/>
      <c r="L103" s="82" t="n"/>
      <c r="M103" s="82" t="n"/>
      <c r="N103" s="82" t="n"/>
      <c r="O103" s="82" t="n"/>
      <c r="P103" s="82" t="n"/>
    </row>
    <row r="104">
      <c r="A104" s="82" t="n"/>
      <c r="B104" s="82" t="n"/>
      <c r="C104" s="82" t="n"/>
      <c r="D104" s="82" t="n"/>
      <c r="E104" s="82" t="n"/>
      <c r="F104" s="82" t="n"/>
      <c r="G104" s="82" t="n"/>
      <c r="H104" s="82" t="n"/>
      <c r="I104" s="82" t="n"/>
      <c r="J104" s="82" t="n"/>
      <c r="K104" s="82" t="n"/>
      <c r="L104" s="82" t="n"/>
      <c r="M104" s="82" t="n"/>
      <c r="N104" s="82" t="n"/>
      <c r="O104" s="82" t="n"/>
      <c r="P104" s="82" t="n"/>
    </row>
    <row r="105">
      <c r="A105" s="82" t="n"/>
      <c r="B105" s="82" t="n"/>
      <c r="C105" s="82" t="n"/>
      <c r="D105" s="82" t="n"/>
      <c r="E105" s="82" t="n"/>
      <c r="F105" s="82" t="n"/>
      <c r="G105" s="82" t="n"/>
      <c r="H105" s="82" t="n"/>
      <c r="I105" s="82" t="n"/>
      <c r="J105" s="82" t="n"/>
      <c r="K105" s="82" t="n"/>
      <c r="L105" s="82" t="n"/>
      <c r="M105" s="82" t="n"/>
      <c r="N105" s="82" t="n"/>
      <c r="O105" s="82" t="n"/>
      <c r="P105" s="82" t="n"/>
    </row>
    <row r="106">
      <c r="A106" s="82" t="n"/>
      <c r="B106" s="82" t="n"/>
      <c r="C106" s="82" t="n"/>
      <c r="D106" s="82" t="n"/>
      <c r="E106" s="82" t="n"/>
      <c r="F106" s="82" t="n"/>
      <c r="G106" s="82" t="n"/>
      <c r="H106" s="82" t="n"/>
      <c r="I106" s="82" t="n"/>
      <c r="J106" s="82" t="n"/>
      <c r="K106" s="82" t="n"/>
      <c r="L106" s="82" t="n"/>
      <c r="M106" s="82" t="n"/>
      <c r="N106" s="82" t="n"/>
      <c r="O106" s="82" t="n"/>
      <c r="P106" s="82" t="n"/>
    </row>
    <row r="107">
      <c r="A107" s="82" t="n"/>
      <c r="B107" s="82" t="n"/>
      <c r="C107" s="82" t="n"/>
      <c r="D107" s="82" t="n"/>
      <c r="E107" s="82" t="n"/>
      <c r="F107" s="82" t="n"/>
      <c r="G107" s="82" t="n"/>
      <c r="H107" s="82" t="n"/>
      <c r="I107" s="82" t="n"/>
      <c r="J107" s="82" t="n"/>
      <c r="K107" s="82" t="n"/>
      <c r="L107" s="82" t="n"/>
      <c r="M107" s="82" t="n"/>
      <c r="N107" s="82" t="n"/>
      <c r="O107" s="82" t="n"/>
      <c r="P107" s="82" t="n"/>
    </row>
    <row r="108">
      <c r="A108" s="82" t="n"/>
      <c r="B108" s="82" t="n"/>
      <c r="C108" s="82" t="n"/>
      <c r="D108" s="82" t="n"/>
      <c r="E108" s="82" t="n"/>
      <c r="F108" s="82" t="n"/>
      <c r="G108" s="82" t="n"/>
      <c r="H108" s="82" t="n"/>
      <c r="I108" s="82" t="n"/>
      <c r="J108" s="82" t="n"/>
      <c r="K108" s="82" t="n"/>
      <c r="L108" s="82" t="n"/>
      <c r="M108" s="82" t="n"/>
      <c r="N108" s="82" t="n"/>
      <c r="O108" s="82" t="n"/>
      <c r="P108" s="82" t="n"/>
    </row>
    <row r="109">
      <c r="A109" s="82" t="n"/>
      <c r="B109" s="82" t="n"/>
      <c r="C109" s="82" t="n"/>
      <c r="D109" s="82" t="n"/>
      <c r="E109" s="82" t="n"/>
      <c r="F109" s="82" t="n"/>
      <c r="G109" s="82" t="n"/>
      <c r="H109" s="82" t="n"/>
      <c r="I109" s="82" t="n"/>
      <c r="J109" s="82" t="n"/>
      <c r="K109" s="82" t="n"/>
      <c r="L109" s="82" t="n"/>
      <c r="M109" s="82" t="n"/>
      <c r="N109" s="82" t="n"/>
      <c r="O109" s="82" t="n"/>
      <c r="P109" s="82" t="n"/>
    </row>
    <row r="110">
      <c r="A110" s="82" t="n"/>
      <c r="B110" s="82" t="n"/>
      <c r="C110" s="82" t="n"/>
      <c r="D110" s="82" t="n"/>
      <c r="E110" s="82" t="n"/>
      <c r="F110" s="82" t="n"/>
      <c r="G110" s="82" t="n"/>
      <c r="H110" s="82" t="n"/>
      <c r="I110" s="82" t="n"/>
      <c r="J110" s="82" t="n"/>
      <c r="K110" s="82" t="n"/>
      <c r="L110" s="82" t="n"/>
      <c r="M110" s="82" t="n"/>
      <c r="N110" s="82" t="n"/>
      <c r="O110" s="82" t="n"/>
      <c r="P110" s="82" t="n"/>
    </row>
    <row r="111">
      <c r="A111" s="82" t="n"/>
      <c r="B111" s="82" t="n"/>
      <c r="C111" s="82" t="n"/>
      <c r="D111" s="82" t="n"/>
      <c r="E111" s="82" t="n"/>
      <c r="F111" s="82" t="n"/>
      <c r="G111" s="82" t="n"/>
      <c r="H111" s="82" t="n"/>
      <c r="I111" s="82" t="n"/>
      <c r="J111" s="82" t="n"/>
      <c r="K111" s="82" t="n"/>
      <c r="L111" s="82" t="n"/>
      <c r="M111" s="82" t="n"/>
      <c r="N111" s="82" t="n"/>
      <c r="O111" s="82" t="n"/>
      <c r="P111" s="82" t="n"/>
    </row>
    <row r="112">
      <c r="A112" s="82" t="n"/>
      <c r="B112" s="82" t="n"/>
      <c r="C112" s="82" t="n"/>
      <c r="D112" s="82" t="n"/>
      <c r="E112" s="82" t="n"/>
      <c r="F112" s="82" t="n"/>
      <c r="G112" s="82" t="n"/>
      <c r="H112" s="82" t="n"/>
      <c r="I112" s="82" t="n"/>
      <c r="J112" s="82" t="n"/>
      <c r="K112" s="82" t="n"/>
      <c r="L112" s="82" t="n"/>
      <c r="M112" s="82" t="n"/>
      <c r="N112" s="82" t="n"/>
      <c r="O112" s="82" t="n"/>
      <c r="P112" s="82" t="n"/>
    </row>
    <row r="113">
      <c r="A113" s="82" t="n"/>
      <c r="B113" s="82" t="n"/>
      <c r="C113" s="82" t="n"/>
      <c r="D113" s="82" t="n"/>
      <c r="E113" s="82" t="n"/>
      <c r="F113" s="82" t="n"/>
      <c r="G113" s="82" t="n"/>
      <c r="H113" s="82" t="n"/>
      <c r="I113" s="82" t="n"/>
      <c r="J113" s="82" t="n"/>
      <c r="K113" s="82" t="n"/>
      <c r="L113" s="82" t="n"/>
      <c r="M113" s="82" t="n"/>
      <c r="N113" s="82" t="n"/>
      <c r="O113" s="82" t="n"/>
      <c r="P113" s="82" t="n"/>
    </row>
    <row r="114">
      <c r="A114" s="82" t="n"/>
      <c r="B114" s="82" t="n"/>
      <c r="C114" s="82" t="n"/>
      <c r="D114" s="82" t="n"/>
      <c r="E114" s="82" t="n"/>
      <c r="F114" s="82" t="n"/>
      <c r="G114" s="82" t="n"/>
      <c r="H114" s="82" t="n"/>
      <c r="I114" s="82" t="n"/>
      <c r="J114" s="82" t="n"/>
      <c r="K114" s="82" t="n"/>
      <c r="L114" s="82" t="n"/>
      <c r="M114" s="82" t="n"/>
      <c r="N114" s="82" t="n"/>
      <c r="O114" s="82" t="n"/>
      <c r="P114" s="82" t="n"/>
    </row>
    <row r="115">
      <c r="A115" s="82" t="n"/>
      <c r="B115" s="82" t="n"/>
      <c r="C115" s="82" t="n"/>
      <c r="D115" s="82" t="n"/>
      <c r="E115" s="82" t="n"/>
      <c r="F115" s="82" t="n"/>
      <c r="G115" s="82" t="n"/>
      <c r="H115" s="82" t="n"/>
      <c r="I115" s="82" t="n"/>
      <c r="J115" s="82" t="n"/>
      <c r="K115" s="82" t="n"/>
      <c r="L115" s="82" t="n"/>
      <c r="M115" s="82" t="n"/>
      <c r="N115" s="82" t="n"/>
      <c r="O115" s="82" t="n"/>
      <c r="P115" s="82" t="n"/>
    </row>
    <row r="116">
      <c r="A116" s="82" t="n"/>
      <c r="B116" s="82" t="n"/>
      <c r="C116" s="82" t="n"/>
      <c r="D116" s="82" t="n"/>
      <c r="E116" s="82" t="n"/>
      <c r="F116" s="82" t="n"/>
      <c r="G116" s="82" t="n"/>
      <c r="H116" s="82" t="n"/>
      <c r="I116" s="82" t="n"/>
      <c r="J116" s="82" t="n"/>
      <c r="K116" s="82" t="n"/>
      <c r="L116" s="82" t="n"/>
      <c r="M116" s="82" t="n"/>
      <c r="N116" s="82" t="n"/>
      <c r="O116" s="82" t="n"/>
      <c r="P116" s="82" t="n"/>
    </row>
    <row r="117">
      <c r="A117" s="82" t="n"/>
      <c r="B117" s="82" t="n"/>
      <c r="C117" s="82" t="n"/>
      <c r="D117" s="82" t="n"/>
      <c r="E117" s="82" t="n"/>
      <c r="F117" s="82" t="n"/>
      <c r="G117" s="82" t="n"/>
      <c r="H117" s="82" t="n"/>
      <c r="I117" s="82" t="n"/>
      <c r="J117" s="82" t="n"/>
      <c r="K117" s="82" t="n"/>
      <c r="L117" s="82" t="n"/>
      <c r="M117" s="82" t="n"/>
      <c r="N117" s="82" t="n"/>
      <c r="O117" s="82" t="n"/>
      <c r="P117" s="82" t="n"/>
    </row>
    <row r="118">
      <c r="A118" s="82" t="n"/>
      <c r="B118" s="82" t="n"/>
      <c r="C118" s="82" t="n"/>
      <c r="D118" s="82" t="n"/>
      <c r="E118" s="82" t="n"/>
      <c r="F118" s="82" t="n"/>
      <c r="G118" s="82" t="n"/>
      <c r="H118" s="82" t="n"/>
      <c r="I118" s="82" t="n"/>
      <c r="J118" s="82" t="n"/>
      <c r="K118" s="82" t="n"/>
      <c r="L118" s="82" t="n"/>
      <c r="M118" s="82" t="n"/>
      <c r="N118" s="82" t="n"/>
      <c r="O118" s="82" t="n"/>
      <c r="P118" s="82" t="n"/>
    </row>
    <row r="119">
      <c r="A119" s="82" t="n"/>
      <c r="B119" s="82" t="n"/>
      <c r="C119" s="82" t="n"/>
      <c r="D119" s="82" t="n"/>
      <c r="E119" s="82" t="n"/>
      <c r="F119" s="82" t="n"/>
      <c r="G119" s="82" t="n"/>
      <c r="H119" s="82" t="n"/>
      <c r="I119" s="82" t="n"/>
      <c r="J119" s="82" t="n"/>
      <c r="K119" s="82" t="n"/>
      <c r="L119" s="82" t="n"/>
      <c r="M119" s="82" t="n"/>
      <c r="N119" s="82" t="n"/>
      <c r="O119" s="82" t="n"/>
      <c r="P119" s="82" t="n"/>
    </row>
    <row r="120">
      <c r="A120" s="82" t="n"/>
      <c r="B120" s="82" t="n"/>
      <c r="C120" s="82" t="n"/>
      <c r="D120" s="82" t="n"/>
      <c r="E120" s="82" t="n"/>
      <c r="F120" s="82" t="n"/>
      <c r="G120" s="82" t="n"/>
      <c r="H120" s="82" t="n"/>
      <c r="I120" s="82" t="n"/>
      <c r="J120" s="82" t="n"/>
      <c r="K120" s="82" t="n"/>
      <c r="L120" s="82" t="n"/>
      <c r="M120" s="82" t="n"/>
      <c r="N120" s="82" t="n"/>
      <c r="O120" s="82" t="n"/>
      <c r="P120" s="82" t="n"/>
    </row>
    <row r="121">
      <c r="A121" s="82" t="n"/>
      <c r="B121" s="82" t="n"/>
      <c r="C121" s="82" t="n"/>
      <c r="D121" s="82" t="n"/>
      <c r="E121" s="82" t="n"/>
      <c r="F121" s="82" t="n"/>
      <c r="G121" s="82" t="n"/>
      <c r="H121" s="82" t="n"/>
      <c r="I121" s="82" t="n"/>
      <c r="J121" s="82" t="n"/>
      <c r="K121" s="82" t="n"/>
      <c r="L121" s="82" t="n"/>
      <c r="M121" s="82" t="n"/>
      <c r="N121" s="82" t="n"/>
      <c r="O121" s="82" t="n"/>
      <c r="P121" s="82" t="n"/>
    </row>
    <row r="122">
      <c r="A122" s="82" t="n"/>
      <c r="B122" s="82" t="n"/>
      <c r="C122" s="82" t="n"/>
      <c r="D122" s="82" t="n"/>
      <c r="E122" s="82" t="n"/>
      <c r="F122" s="82" t="n"/>
      <c r="G122" s="82" t="n"/>
      <c r="H122" s="82" t="n"/>
      <c r="I122" s="82" t="n"/>
      <c r="J122" s="82" t="n"/>
      <c r="K122" s="82" t="n"/>
      <c r="L122" s="82" t="n"/>
      <c r="M122" s="82" t="n"/>
      <c r="N122" s="82" t="n"/>
      <c r="O122" s="82" t="n"/>
      <c r="P122" s="82" t="n"/>
    </row>
    <row r="123">
      <c r="A123" s="82" t="n"/>
      <c r="B123" s="82" t="n"/>
      <c r="C123" s="82" t="n"/>
      <c r="D123" s="82" t="n"/>
      <c r="E123" s="82" t="n"/>
      <c r="F123" s="82" t="n"/>
      <c r="G123" s="82" t="n"/>
      <c r="H123" s="82" t="n"/>
      <c r="I123" s="82" t="n"/>
      <c r="J123" s="82" t="n"/>
      <c r="K123" s="82" t="n"/>
      <c r="L123" s="82" t="n"/>
      <c r="M123" s="82" t="n"/>
      <c r="N123" s="82" t="n"/>
      <c r="O123" s="82" t="n"/>
      <c r="P123" s="82" t="n"/>
    </row>
    <row r="124">
      <c r="A124" s="82" t="n"/>
      <c r="B124" s="82" t="n"/>
      <c r="C124" s="82" t="n"/>
      <c r="D124" s="82" t="n"/>
      <c r="E124" s="82" t="n"/>
      <c r="F124" s="82" t="n"/>
      <c r="G124" s="82" t="n"/>
      <c r="H124" s="82" t="n"/>
      <c r="I124" s="82" t="n"/>
      <c r="J124" s="82" t="n"/>
      <c r="K124" s="82" t="n"/>
      <c r="L124" s="82" t="n"/>
      <c r="M124" s="82" t="n"/>
      <c r="N124" s="82" t="n"/>
      <c r="O124" s="82" t="n"/>
      <c r="P124" s="82" t="n"/>
    </row>
    <row r="125">
      <c r="A125" s="82" t="n"/>
      <c r="B125" s="82" t="n"/>
      <c r="C125" s="82" t="n"/>
      <c r="D125" s="82" t="n"/>
      <c r="E125" s="82" t="n"/>
      <c r="F125" s="82" t="n"/>
      <c r="G125" s="82" t="n"/>
      <c r="H125" s="82" t="n"/>
      <c r="I125" s="82" t="n"/>
      <c r="J125" s="82" t="n"/>
      <c r="K125" s="82" t="n"/>
      <c r="L125" s="82" t="n"/>
      <c r="M125" s="82" t="n"/>
      <c r="N125" s="82" t="n"/>
      <c r="O125" s="82" t="n"/>
      <c r="P125" s="82" t="n"/>
    </row>
    <row r="126">
      <c r="A126" s="82" t="n"/>
      <c r="B126" s="82" t="n"/>
      <c r="C126" s="82" t="n"/>
      <c r="D126" s="82" t="n"/>
      <c r="E126" s="82" t="n"/>
      <c r="F126" s="82" t="n"/>
      <c r="G126" s="82" t="n"/>
      <c r="H126" s="82" t="n"/>
      <c r="I126" s="82" t="n"/>
      <c r="J126" s="82" t="n"/>
      <c r="K126" s="82" t="n"/>
      <c r="L126" s="82" t="n"/>
      <c r="M126" s="82" t="n"/>
      <c r="N126" s="82" t="n"/>
      <c r="O126" s="82" t="n"/>
      <c r="P126" s="82" t="n"/>
    </row>
    <row r="127">
      <c r="A127" s="82" t="n"/>
      <c r="B127" s="82" t="n"/>
      <c r="C127" s="82" t="n"/>
      <c r="D127" s="82" t="n"/>
      <c r="E127" s="82" t="n"/>
      <c r="F127" s="82" t="n"/>
      <c r="G127" s="82" t="n"/>
      <c r="H127" s="82" t="n"/>
      <c r="I127" s="82" t="n"/>
      <c r="J127" s="82" t="n"/>
      <c r="K127" s="82" t="n"/>
      <c r="L127" s="82" t="n"/>
      <c r="M127" s="82" t="n"/>
      <c r="N127" s="82" t="n"/>
      <c r="O127" s="82" t="n"/>
      <c r="P127" s="82" t="n"/>
    </row>
    <row r="128">
      <c r="A128" s="82" t="n"/>
      <c r="B128" s="82" t="n"/>
      <c r="C128" s="82" t="n"/>
      <c r="D128" s="82" t="n"/>
      <c r="E128" s="82" t="n"/>
      <c r="F128" s="82" t="n"/>
      <c r="G128" s="82" t="n"/>
      <c r="H128" s="82" t="n"/>
      <c r="I128" s="82" t="n"/>
      <c r="J128" s="82" t="n"/>
      <c r="K128" s="82" t="n"/>
      <c r="L128" s="82" t="n"/>
      <c r="M128" s="82" t="n"/>
      <c r="N128" s="82" t="n"/>
      <c r="O128" s="82" t="n"/>
      <c r="P128" s="82" t="n"/>
    </row>
    <row r="129">
      <c r="A129" s="82" t="n"/>
      <c r="B129" s="82" t="n"/>
      <c r="C129" s="82" t="n"/>
      <c r="D129" s="82" t="n"/>
      <c r="E129" s="82" t="n"/>
      <c r="F129" s="82" t="n"/>
      <c r="G129" s="82" t="n"/>
      <c r="H129" s="82" t="n"/>
      <c r="I129" s="82" t="n"/>
      <c r="J129" s="82" t="n"/>
      <c r="K129" s="82" t="n"/>
      <c r="L129" s="82" t="n"/>
      <c r="M129" s="82" t="n"/>
      <c r="N129" s="82" t="n"/>
      <c r="O129" s="82" t="n"/>
      <c r="P129" s="82" t="n"/>
    </row>
    <row r="130">
      <c r="A130" s="82" t="n"/>
      <c r="B130" s="82" t="n"/>
      <c r="C130" s="82" t="n"/>
      <c r="D130" s="82" t="n"/>
      <c r="E130" s="82" t="n"/>
      <c r="F130" s="82" t="n"/>
      <c r="G130" s="82" t="n"/>
      <c r="H130" s="82" t="n"/>
      <c r="I130" s="82" t="n"/>
      <c r="J130" s="82" t="n"/>
      <c r="K130" s="82" t="n"/>
      <c r="L130" s="82" t="n"/>
      <c r="M130" s="82" t="n"/>
      <c r="N130" s="82" t="n"/>
      <c r="O130" s="82" t="n"/>
      <c r="P130" s="82" t="n"/>
    </row>
    <row r="131">
      <c r="A131" s="82" t="n"/>
      <c r="B131" s="82" t="n"/>
      <c r="C131" s="82" t="n"/>
      <c r="D131" s="82" t="n"/>
      <c r="E131" s="82" t="n"/>
      <c r="F131" s="82" t="n"/>
      <c r="G131" s="82" t="n"/>
      <c r="H131" s="82" t="n"/>
      <c r="I131" s="82" t="n"/>
      <c r="J131" s="82" t="n"/>
      <c r="K131" s="82" t="n"/>
      <c r="L131" s="82" t="n"/>
      <c r="M131" s="82" t="n"/>
      <c r="N131" s="82" t="n"/>
      <c r="O131" s="82" t="n"/>
      <c r="P131" s="82" t="n"/>
    </row>
    <row r="132">
      <c r="A132" s="82" t="n"/>
      <c r="B132" s="82" t="n"/>
      <c r="C132" s="82" t="n"/>
      <c r="D132" s="82" t="n"/>
      <c r="E132" s="82" t="n"/>
      <c r="F132" s="82" t="n"/>
      <c r="G132" s="82" t="n"/>
      <c r="H132" s="82" t="n"/>
      <c r="I132" s="82" t="n"/>
      <c r="J132" s="82" t="n"/>
      <c r="K132" s="82" t="n"/>
      <c r="L132" s="82" t="n"/>
      <c r="M132" s="82" t="n"/>
      <c r="N132" s="82" t="n"/>
      <c r="O132" s="82" t="n"/>
      <c r="P132" s="82" t="n"/>
    </row>
    <row r="133">
      <c r="A133" s="82" t="n"/>
      <c r="B133" s="82" t="n"/>
      <c r="C133" s="82" t="n"/>
      <c r="D133" s="82" t="n"/>
      <c r="E133" s="82" t="n"/>
      <c r="F133" s="82" t="n"/>
      <c r="G133" s="82" t="n"/>
      <c r="H133" s="82" t="n"/>
      <c r="I133" s="82" t="n"/>
      <c r="J133" s="82" t="n"/>
      <c r="K133" s="82" t="n"/>
      <c r="L133" s="82" t="n"/>
      <c r="M133" s="82" t="n"/>
      <c r="N133" s="82" t="n"/>
      <c r="O133" s="82" t="n"/>
      <c r="P133" s="82" t="n"/>
    </row>
    <row r="134">
      <c r="A134" s="82" t="n"/>
      <c r="B134" s="82" t="n"/>
      <c r="C134" s="82" t="n"/>
      <c r="D134" s="82" t="n"/>
      <c r="E134" s="82" t="n"/>
      <c r="F134" s="82" t="n"/>
      <c r="G134" s="82" t="n"/>
      <c r="H134" s="82" t="n"/>
      <c r="I134" s="82" t="n"/>
      <c r="J134" s="82" t="n"/>
      <c r="K134" s="82" t="n"/>
      <c r="L134" s="82" t="n"/>
      <c r="M134" s="82" t="n"/>
      <c r="N134" s="82" t="n"/>
      <c r="O134" s="82" t="n"/>
      <c r="P134" s="82" t="n"/>
    </row>
    <row r="135">
      <c r="A135" s="82" t="n"/>
      <c r="B135" s="82" t="n"/>
      <c r="C135" s="82" t="n"/>
      <c r="D135" s="82" t="n"/>
      <c r="E135" s="82" t="n"/>
      <c r="F135" s="82" t="n"/>
      <c r="G135" s="82" t="n"/>
      <c r="H135" s="82" t="n"/>
      <c r="I135" s="82" t="n"/>
      <c r="J135" s="82" t="n"/>
      <c r="K135" s="82" t="n"/>
      <c r="L135" s="82" t="n"/>
      <c r="M135" s="82" t="n"/>
      <c r="N135" s="82" t="n"/>
      <c r="O135" s="82" t="n"/>
      <c r="P135" s="82" t="n"/>
    </row>
    <row r="136">
      <c r="A136" s="82" t="n"/>
      <c r="B136" s="82" t="n"/>
      <c r="C136" s="82" t="n"/>
      <c r="D136" s="82" t="n"/>
      <c r="E136" s="82" t="n"/>
      <c r="F136" s="82" t="n"/>
      <c r="G136" s="82" t="n"/>
      <c r="H136" s="82" t="n"/>
      <c r="I136" s="82" t="n"/>
      <c r="J136" s="82" t="n"/>
      <c r="K136" s="82" t="n"/>
      <c r="L136" s="82" t="n"/>
      <c r="M136" s="82" t="n"/>
      <c r="N136" s="82" t="n"/>
      <c r="O136" s="82" t="n"/>
      <c r="P136" s="82" t="n"/>
    </row>
    <row r="137">
      <c r="A137" s="82" t="n"/>
      <c r="B137" s="82" t="n"/>
      <c r="C137" s="82" t="n"/>
      <c r="D137" s="82" t="n"/>
      <c r="E137" s="82" t="n"/>
      <c r="F137" s="82" t="n"/>
      <c r="G137" s="82" t="n"/>
      <c r="H137" s="82" t="n"/>
      <c r="I137" s="82" t="n"/>
      <c r="J137" s="82" t="n"/>
      <c r="K137" s="82" t="n"/>
      <c r="L137" s="82" t="n"/>
      <c r="M137" s="82" t="n"/>
      <c r="N137" s="82" t="n"/>
      <c r="O137" s="82" t="n"/>
      <c r="P137" s="82" t="n"/>
    </row>
    <row r="138">
      <c r="A138" s="82" t="n"/>
      <c r="B138" s="82" t="n"/>
      <c r="C138" s="82" t="n"/>
      <c r="D138" s="82" t="n"/>
      <c r="E138" s="82" t="n"/>
      <c r="F138" s="82" t="n"/>
      <c r="G138" s="82" t="n"/>
      <c r="H138" s="82" t="n"/>
      <c r="I138" s="82" t="n"/>
      <c r="J138" s="82" t="n"/>
      <c r="K138" s="82" t="n"/>
      <c r="L138" s="82" t="n"/>
      <c r="M138" s="82" t="n"/>
      <c r="N138" s="82" t="n"/>
      <c r="O138" s="82" t="n"/>
      <c r="P138" s="82" t="n"/>
    </row>
    <row r="139">
      <c r="A139" s="82" t="n"/>
      <c r="B139" s="82" t="n"/>
      <c r="C139" s="82" t="n"/>
      <c r="D139" s="82" t="n"/>
      <c r="E139" s="82" t="n"/>
      <c r="F139" s="82" t="n"/>
      <c r="G139" s="82" t="n"/>
      <c r="H139" s="82" t="n"/>
      <c r="I139" s="82" t="n"/>
      <c r="J139" s="82" t="n"/>
      <c r="K139" s="82" t="n"/>
      <c r="L139" s="82" t="n"/>
      <c r="M139" s="82" t="n"/>
      <c r="N139" s="82" t="n"/>
      <c r="O139" s="82" t="n"/>
      <c r="P139" s="82" t="n"/>
    </row>
    <row r="140">
      <c r="A140" s="82" t="n"/>
      <c r="B140" s="82" t="n"/>
      <c r="C140" s="82" t="n"/>
      <c r="D140" s="82" t="n"/>
      <c r="E140" s="82" t="n"/>
      <c r="F140" s="82" t="n"/>
      <c r="G140" s="82" t="n"/>
      <c r="H140" s="82" t="n"/>
      <c r="I140" s="82" t="n"/>
      <c r="J140" s="82" t="n"/>
      <c r="K140" s="82" t="n"/>
      <c r="L140" s="82" t="n"/>
      <c r="M140" s="82" t="n"/>
      <c r="N140" s="82" t="n"/>
      <c r="O140" s="82" t="n"/>
      <c r="P140" s="82" t="n"/>
    </row>
    <row r="141">
      <c r="A141" s="82" t="n"/>
      <c r="B141" s="82" t="n"/>
      <c r="C141" s="82" t="n"/>
      <c r="D141" s="82" t="n"/>
      <c r="E141" s="82" t="n"/>
      <c r="F141" s="82" t="n"/>
      <c r="G141" s="82" t="n"/>
      <c r="H141" s="82" t="n"/>
      <c r="I141" s="82" t="n"/>
      <c r="J141" s="82" t="n"/>
      <c r="K141" s="82" t="n"/>
      <c r="L141" s="82" t="n"/>
      <c r="M141" s="82" t="n"/>
      <c r="N141" s="82" t="n"/>
      <c r="O141" s="82" t="n"/>
      <c r="P141" s="82" t="n"/>
    </row>
    <row r="142">
      <c r="A142" s="82" t="n"/>
      <c r="B142" s="82" t="n"/>
      <c r="C142" s="82" t="n"/>
      <c r="D142" s="82" t="n"/>
      <c r="E142" s="82" t="n"/>
      <c r="F142" s="82" t="n"/>
      <c r="G142" s="82" t="n"/>
      <c r="H142" s="82" t="n"/>
      <c r="I142" s="82" t="n"/>
      <c r="J142" s="82" t="n"/>
      <c r="K142" s="82" t="n"/>
      <c r="L142" s="82" t="n"/>
      <c r="M142" s="82" t="n"/>
      <c r="N142" s="82" t="n"/>
      <c r="O142" s="82" t="n"/>
      <c r="P142" s="82" t="n"/>
    </row>
    <row r="143">
      <c r="A143" s="82" t="n"/>
      <c r="B143" s="82" t="n"/>
      <c r="C143" s="82" t="n"/>
      <c r="D143" s="82" t="n"/>
      <c r="E143" s="82" t="n"/>
      <c r="F143" s="82" t="n"/>
      <c r="G143" s="82" t="n"/>
      <c r="H143" s="82" t="n"/>
      <c r="I143" s="82" t="n"/>
      <c r="J143" s="82" t="n"/>
      <c r="K143" s="82" t="n"/>
      <c r="L143" s="82" t="n"/>
      <c r="M143" s="82" t="n"/>
      <c r="N143" s="82" t="n"/>
      <c r="O143" s="82" t="n"/>
      <c r="P143" s="82" t="n"/>
    </row>
    <row r="144">
      <c r="A144" s="82" t="n"/>
      <c r="B144" s="82" t="n"/>
      <c r="C144" s="82" t="n"/>
      <c r="D144" s="82" t="n"/>
      <c r="E144" s="82" t="n"/>
      <c r="F144" s="82" t="n"/>
      <c r="G144" s="82" t="n"/>
      <c r="H144" s="82" t="n"/>
      <c r="I144" s="82" t="n"/>
      <c r="J144" s="82" t="n"/>
      <c r="K144" s="82" t="n"/>
      <c r="L144" s="82" t="n"/>
      <c r="M144" s="82" t="n"/>
      <c r="N144" s="82" t="n"/>
      <c r="O144" s="82" t="n"/>
      <c r="P144" s="82" t="n"/>
    </row>
    <row r="145">
      <c r="A145" s="82" t="n"/>
      <c r="B145" s="82" t="n"/>
      <c r="C145" s="82" t="n"/>
      <c r="D145" s="82" t="n"/>
      <c r="E145" s="82" t="n"/>
      <c r="F145" s="82" t="n"/>
      <c r="G145" s="82" t="n"/>
      <c r="H145" s="82" t="n"/>
      <c r="I145" s="82" t="n"/>
      <c r="J145" s="82" t="n"/>
      <c r="K145" s="82" t="n"/>
      <c r="L145" s="82" t="n"/>
      <c r="M145" s="82" t="n"/>
      <c r="N145" s="82" t="n"/>
      <c r="O145" s="82" t="n"/>
      <c r="P145" s="82" t="n"/>
    </row>
    <row r="146">
      <c r="A146" s="82" t="n"/>
      <c r="B146" s="82" t="n"/>
      <c r="C146" s="82" t="n"/>
      <c r="D146" s="82" t="n"/>
      <c r="E146" s="82" t="n"/>
      <c r="F146" s="82" t="n"/>
      <c r="G146" s="82" t="n"/>
      <c r="H146" s="82" t="n"/>
      <c r="I146" s="82" t="n"/>
      <c r="J146" s="82" t="n"/>
      <c r="K146" s="82" t="n"/>
      <c r="L146" s="82" t="n"/>
      <c r="M146" s="82" t="n"/>
      <c r="N146" s="82" t="n"/>
      <c r="O146" s="82" t="n"/>
      <c r="P146" s="82" t="n"/>
    </row>
    <row r="147">
      <c r="A147" s="82" t="n"/>
      <c r="B147" s="82" t="n"/>
      <c r="C147" s="82" t="n"/>
      <c r="D147" s="82" t="n"/>
      <c r="E147" s="82" t="n"/>
      <c r="F147" s="82" t="n"/>
      <c r="G147" s="82" t="n"/>
      <c r="H147" s="82" t="n"/>
      <c r="I147" s="82" t="n"/>
      <c r="J147" s="82" t="n"/>
      <c r="K147" s="82" t="n"/>
      <c r="L147" s="82" t="n"/>
      <c r="M147" s="82" t="n"/>
      <c r="N147" s="82" t="n"/>
      <c r="O147" s="82" t="n"/>
      <c r="P147" s="82" t="n"/>
    </row>
    <row r="148">
      <c r="A148" s="82" t="n"/>
      <c r="B148" s="82" t="n"/>
      <c r="C148" s="82" t="n"/>
      <c r="D148" s="82" t="n"/>
      <c r="E148" s="82" t="n"/>
      <c r="F148" s="82" t="n"/>
      <c r="G148" s="82" t="n"/>
      <c r="H148" s="82" t="n"/>
      <c r="I148" s="82" t="n"/>
      <c r="J148" s="82" t="n"/>
      <c r="K148" s="82" t="n"/>
      <c r="L148" s="82" t="n"/>
      <c r="M148" s="82" t="n"/>
      <c r="N148" s="82" t="n"/>
      <c r="O148" s="82" t="n"/>
      <c r="P148" s="82" t="n"/>
    </row>
    <row r="149">
      <c r="A149" s="82" t="n"/>
      <c r="B149" s="82" t="n"/>
      <c r="C149" s="82" t="n"/>
      <c r="D149" s="82" t="n"/>
      <c r="E149" s="82" t="n"/>
      <c r="F149" s="82" t="n"/>
      <c r="G149" s="82" t="n"/>
      <c r="H149" s="82" t="n"/>
      <c r="I149" s="82" t="n"/>
      <c r="J149" s="82" t="n"/>
      <c r="K149" s="82" t="n"/>
      <c r="L149" s="82" t="n"/>
      <c r="M149" s="82" t="n"/>
      <c r="N149" s="82" t="n"/>
      <c r="O149" s="82" t="n"/>
      <c r="P149" s="82" t="n"/>
    </row>
    <row r="150">
      <c r="A150" s="82" t="n"/>
      <c r="B150" s="82" t="n"/>
      <c r="C150" s="82" t="n"/>
      <c r="D150" s="82" t="n"/>
      <c r="E150" s="82" t="n"/>
      <c r="F150" s="82" t="n"/>
      <c r="G150" s="82" t="n"/>
      <c r="H150" s="82" t="n"/>
      <c r="I150" s="82" t="n"/>
      <c r="J150" s="82" t="n"/>
      <c r="K150" s="82" t="n"/>
      <c r="L150" s="82" t="n"/>
      <c r="M150" s="82" t="n"/>
      <c r="N150" s="82" t="n"/>
      <c r="O150" s="82" t="n"/>
      <c r="P150" s="82" t="n"/>
    </row>
    <row r="151">
      <c r="A151" s="82" t="n"/>
      <c r="B151" s="82" t="n"/>
      <c r="C151" s="82" t="n"/>
      <c r="D151" s="82" t="n"/>
      <c r="E151" s="82" t="n"/>
      <c r="F151" s="82" t="n"/>
      <c r="G151" s="82" t="n"/>
      <c r="H151" s="82" t="n"/>
      <c r="I151" s="82" t="n"/>
      <c r="J151" s="82" t="n"/>
      <c r="K151" s="82" t="n"/>
      <c r="L151" s="82" t="n"/>
      <c r="M151" s="82" t="n"/>
      <c r="N151" s="82" t="n"/>
      <c r="O151" s="82" t="n"/>
      <c r="P151" s="82" t="n"/>
    </row>
    <row r="152">
      <c r="A152" s="82" t="n"/>
      <c r="B152" s="82" t="n"/>
      <c r="C152" s="82" t="n"/>
      <c r="D152" s="82" t="n"/>
      <c r="E152" s="82" t="n"/>
      <c r="F152" s="82" t="n"/>
      <c r="G152" s="82" t="n"/>
      <c r="H152" s="82" t="n"/>
      <c r="I152" s="82" t="n"/>
      <c r="J152" s="82" t="n"/>
      <c r="K152" s="82" t="n"/>
      <c r="L152" s="82" t="n"/>
      <c r="M152" s="82" t="n"/>
      <c r="N152" s="82" t="n"/>
      <c r="O152" s="82" t="n"/>
      <c r="P152" s="82" t="n"/>
    </row>
    <row r="153">
      <c r="A153" s="82" t="n"/>
      <c r="B153" s="82" t="n"/>
      <c r="C153" s="82" t="n"/>
      <c r="D153" s="82" t="n"/>
      <c r="E153" s="82" t="n"/>
      <c r="F153" s="82" t="n"/>
      <c r="G153" s="82" t="n"/>
      <c r="H153" s="82" t="n"/>
      <c r="I153" s="82" t="n"/>
      <c r="J153" s="82" t="n"/>
      <c r="K153" s="82" t="n"/>
      <c r="L153" s="82" t="n"/>
      <c r="M153" s="82" t="n"/>
      <c r="N153" s="82" t="n"/>
      <c r="O153" s="82" t="n"/>
      <c r="P153" s="82" t="n"/>
    </row>
    <row r="154">
      <c r="A154" s="82" t="n"/>
      <c r="B154" s="82" t="n"/>
      <c r="C154" s="82" t="n"/>
      <c r="D154" s="82" t="n"/>
      <c r="E154" s="82" t="n"/>
      <c r="F154" s="82" t="n"/>
      <c r="G154" s="82" t="n"/>
      <c r="H154" s="82" t="n"/>
      <c r="I154" s="82" t="n"/>
      <c r="J154" s="82" t="n"/>
      <c r="K154" s="82" t="n"/>
      <c r="L154" s="82" t="n"/>
      <c r="M154" s="82" t="n"/>
      <c r="N154" s="82" t="n"/>
      <c r="O154" s="82" t="n"/>
      <c r="P154" s="82" t="n"/>
    </row>
    <row r="155">
      <c r="A155" s="82" t="n"/>
      <c r="B155" s="82" t="n"/>
      <c r="C155" s="82" t="n"/>
      <c r="D155" s="82" t="n"/>
      <c r="E155" s="82" t="n"/>
      <c r="F155" s="82" t="n"/>
      <c r="G155" s="82" t="n"/>
      <c r="H155" s="82" t="n"/>
      <c r="I155" s="82" t="n"/>
      <c r="J155" s="82" t="n"/>
      <c r="K155" s="82" t="n"/>
      <c r="L155" s="82" t="n"/>
      <c r="M155" s="82" t="n"/>
      <c r="N155" s="82" t="n"/>
      <c r="O155" s="82" t="n"/>
      <c r="P155" s="82" t="n"/>
    </row>
    <row r="156">
      <c r="A156" s="82" t="n"/>
      <c r="B156" s="82" t="n"/>
      <c r="C156" s="82" t="n"/>
      <c r="D156" s="82" t="n"/>
      <c r="E156" s="82" t="n"/>
      <c r="F156" s="82" t="n"/>
      <c r="G156" s="82" t="n"/>
      <c r="H156" s="82" t="n"/>
      <c r="I156" s="82" t="n"/>
      <c r="J156" s="82" t="n"/>
      <c r="K156" s="82" t="n"/>
      <c r="L156" s="82" t="n"/>
      <c r="M156" s="82" t="n"/>
      <c r="N156" s="82" t="n"/>
      <c r="O156" s="82" t="n"/>
      <c r="P156" s="82" t="n"/>
    </row>
    <row r="157">
      <c r="A157" s="82" t="n"/>
      <c r="B157" s="82" t="n"/>
      <c r="C157" s="82" t="n"/>
      <c r="D157" s="82" t="n"/>
      <c r="E157" s="82" t="n"/>
      <c r="F157" s="82" t="n"/>
      <c r="G157" s="82" t="n"/>
      <c r="H157" s="82" t="n"/>
      <c r="I157" s="82" t="n"/>
      <c r="J157" s="82" t="n"/>
      <c r="K157" s="82" t="n"/>
      <c r="L157" s="82" t="n"/>
      <c r="M157" s="82" t="n"/>
      <c r="N157" s="82" t="n"/>
      <c r="O157" s="82" t="n"/>
      <c r="P157" s="82" t="n"/>
    </row>
    <row r="158">
      <c r="A158" s="82" t="n"/>
      <c r="B158" s="82" t="n"/>
      <c r="C158" s="82" t="n"/>
      <c r="D158" s="82" t="n"/>
      <c r="E158" s="82" t="n"/>
      <c r="F158" s="82" t="n"/>
      <c r="G158" s="82" t="n"/>
      <c r="H158" s="82" t="n"/>
      <c r="I158" s="82" t="n"/>
      <c r="J158" s="82" t="n"/>
      <c r="K158" s="82" t="n"/>
      <c r="L158" s="82" t="n"/>
      <c r="M158" s="82" t="n"/>
      <c r="N158" s="82" t="n"/>
      <c r="O158" s="82" t="n"/>
      <c r="P158" s="82" t="n"/>
    </row>
    <row r="159">
      <c r="A159" s="82" t="n"/>
      <c r="B159" s="82" t="n"/>
      <c r="C159" s="82" t="n"/>
      <c r="D159" s="82" t="n"/>
      <c r="E159" s="82" t="n"/>
      <c r="F159" s="82" t="n"/>
      <c r="G159" s="82" t="n"/>
      <c r="H159" s="82" t="n"/>
      <c r="I159" s="82" t="n"/>
      <c r="J159" s="82" t="n"/>
      <c r="K159" s="82" t="n"/>
      <c r="L159" s="82" t="n"/>
      <c r="M159" s="82" t="n"/>
      <c r="N159" s="82" t="n"/>
      <c r="O159" s="82" t="n"/>
      <c r="P159" s="82" t="n"/>
    </row>
    <row r="160">
      <c r="A160" s="82" t="n"/>
      <c r="B160" s="82" t="n"/>
      <c r="C160" s="82" t="n"/>
      <c r="D160" s="82" t="n"/>
      <c r="E160" s="82" t="n"/>
      <c r="F160" s="82" t="n"/>
      <c r="G160" s="82" t="n"/>
      <c r="H160" s="82" t="n"/>
      <c r="I160" s="82" t="n"/>
      <c r="J160" s="82" t="n"/>
      <c r="K160" s="82" t="n"/>
      <c r="L160" s="82" t="n"/>
      <c r="M160" s="82" t="n"/>
      <c r="N160" s="82" t="n"/>
      <c r="O160" s="82" t="n"/>
      <c r="P160" s="82" t="n"/>
    </row>
    <row r="161">
      <c r="A161" s="82" t="n"/>
      <c r="B161" s="82" t="n"/>
      <c r="C161" s="82" t="n"/>
      <c r="D161" s="82" t="n"/>
      <c r="E161" s="82" t="n"/>
      <c r="F161" s="82" t="n"/>
      <c r="G161" s="82" t="n"/>
      <c r="H161" s="82" t="n"/>
      <c r="I161" s="82" t="n"/>
      <c r="J161" s="82" t="n"/>
      <c r="K161" s="82" t="n"/>
      <c r="L161" s="82" t="n"/>
      <c r="M161" s="82" t="n"/>
      <c r="N161" s="82" t="n"/>
      <c r="O161" s="82" t="n"/>
      <c r="P161" s="82" t="n"/>
    </row>
    <row r="162">
      <c r="A162" s="82" t="n"/>
      <c r="B162" s="82" t="n"/>
      <c r="C162" s="82" t="n"/>
      <c r="D162" s="82" t="n"/>
      <c r="E162" s="82" t="n"/>
      <c r="F162" s="82" t="n"/>
      <c r="G162" s="82" t="n"/>
      <c r="H162" s="82" t="n"/>
      <c r="I162" s="82" t="n"/>
      <c r="J162" s="82" t="n"/>
      <c r="K162" s="82" t="n"/>
      <c r="L162" s="82" t="n"/>
      <c r="M162" s="82" t="n"/>
      <c r="N162" s="82" t="n"/>
      <c r="O162" s="82" t="n"/>
      <c r="P162" s="82" t="n"/>
    </row>
    <row r="163">
      <c r="A163" s="82" t="n"/>
      <c r="B163" s="82" t="n"/>
      <c r="C163" s="82" t="n"/>
      <c r="D163" s="82" t="n"/>
      <c r="E163" s="82" t="n"/>
      <c r="F163" s="82" t="n"/>
      <c r="G163" s="82" t="n"/>
      <c r="H163" s="82" t="n"/>
      <c r="I163" s="82" t="n"/>
      <c r="J163" s="82" t="n"/>
      <c r="K163" s="82" t="n"/>
      <c r="L163" s="82" t="n"/>
      <c r="M163" s="82" t="n"/>
      <c r="N163" s="82" t="n"/>
      <c r="O163" s="82" t="n"/>
      <c r="P163" s="82" t="n"/>
    </row>
    <row r="164">
      <c r="A164" s="82" t="n"/>
      <c r="B164" s="82" t="n"/>
      <c r="C164" s="82" t="n"/>
      <c r="D164" s="82" t="n"/>
      <c r="E164" s="82" t="n"/>
      <c r="F164" s="82" t="n"/>
      <c r="G164" s="82" t="n"/>
      <c r="H164" s="82" t="n"/>
      <c r="I164" s="82" t="n"/>
      <c r="J164" s="82" t="n"/>
      <c r="K164" s="82" t="n"/>
      <c r="L164" s="82" t="n"/>
      <c r="M164" s="82" t="n"/>
      <c r="N164" s="82" t="n"/>
      <c r="O164" s="82" t="n"/>
      <c r="P164" s="82" t="n"/>
    </row>
    <row r="165">
      <c r="A165" s="82" t="n"/>
      <c r="B165" s="82" t="n"/>
      <c r="C165" s="82" t="n"/>
      <c r="D165" s="82" t="n"/>
      <c r="E165" s="82" t="n"/>
      <c r="F165" s="82" t="n"/>
      <c r="G165" s="82" t="n"/>
      <c r="H165" s="82" t="n"/>
      <c r="I165" s="82" t="n"/>
      <c r="J165" s="82" t="n"/>
      <c r="K165" s="82" t="n"/>
      <c r="L165" s="82" t="n"/>
      <c r="M165" s="82" t="n"/>
      <c r="N165" s="82" t="n"/>
      <c r="O165" s="82" t="n"/>
      <c r="P165" s="82" t="n"/>
    </row>
    <row r="166">
      <c r="A166" s="82" t="n"/>
      <c r="B166" s="82" t="n"/>
      <c r="C166" s="82" t="n"/>
      <c r="D166" s="82" t="n"/>
      <c r="E166" s="82" t="n"/>
      <c r="F166" s="82" t="n"/>
      <c r="G166" s="82" t="n"/>
      <c r="H166" s="82" t="n"/>
      <c r="I166" s="82" t="n"/>
      <c r="J166" s="82" t="n"/>
      <c r="K166" s="82" t="n"/>
      <c r="L166" s="82" t="n"/>
      <c r="M166" s="82" t="n"/>
      <c r="N166" s="82" t="n"/>
      <c r="O166" s="82" t="n"/>
      <c r="P166" s="82" t="n"/>
    </row>
    <row r="167">
      <c r="A167" s="82" t="n"/>
      <c r="B167" s="82" t="n"/>
      <c r="C167" s="82" t="n"/>
      <c r="D167" s="82" t="n"/>
      <c r="E167" s="82" t="n"/>
      <c r="F167" s="82" t="n"/>
      <c r="G167" s="82" t="n"/>
      <c r="H167" s="82" t="n"/>
      <c r="I167" s="82" t="n"/>
      <c r="J167" s="82" t="n"/>
      <c r="K167" s="82" t="n"/>
      <c r="L167" s="82" t="n"/>
      <c r="M167" s="82" t="n"/>
      <c r="N167" s="82" t="n"/>
      <c r="O167" s="82" t="n"/>
      <c r="P167" s="82" t="n"/>
    </row>
    <row r="168">
      <c r="A168" s="82" t="n"/>
      <c r="B168" s="82" t="n"/>
      <c r="C168" s="82" t="n"/>
      <c r="D168" s="82" t="n"/>
      <c r="E168" s="82" t="n"/>
      <c r="F168" s="82" t="n"/>
      <c r="G168" s="82" t="n"/>
      <c r="H168" s="82" t="n"/>
      <c r="I168" s="82" t="n"/>
      <c r="J168" s="82" t="n"/>
      <c r="K168" s="82" t="n"/>
      <c r="L168" s="82" t="n"/>
      <c r="M168" s="82" t="n"/>
      <c r="N168" s="82" t="n"/>
      <c r="O168" s="82" t="n"/>
      <c r="P168" s="82" t="n"/>
    </row>
    <row r="169">
      <c r="A169" s="82" t="n"/>
      <c r="B169" s="82" t="n"/>
      <c r="C169" s="82" t="n"/>
      <c r="D169" s="82" t="n"/>
      <c r="E169" s="82" t="n"/>
      <c r="F169" s="82" t="n"/>
      <c r="G169" s="82" t="n"/>
      <c r="H169" s="82" t="n"/>
      <c r="I169" s="82" t="n"/>
      <c r="J169" s="82" t="n"/>
      <c r="K169" s="82" t="n"/>
      <c r="L169" s="82" t="n"/>
      <c r="M169" s="82" t="n"/>
      <c r="N169" s="82" t="n"/>
      <c r="O169" s="82" t="n"/>
      <c r="P169" s="82" t="n"/>
    </row>
    <row r="170">
      <c r="A170" s="82" t="n"/>
      <c r="B170" s="82" t="n"/>
      <c r="C170" s="82" t="n"/>
      <c r="D170" s="82" t="n"/>
      <c r="E170" s="82" t="n"/>
      <c r="F170" s="82" t="n"/>
      <c r="G170" s="82" t="n"/>
      <c r="H170" s="82" t="n"/>
      <c r="I170" s="82" t="n"/>
      <c r="J170" s="82" t="n"/>
      <c r="K170" s="82" t="n"/>
      <c r="L170" s="82" t="n"/>
      <c r="M170" s="82" t="n"/>
      <c r="N170" s="82" t="n"/>
      <c r="O170" s="82" t="n"/>
      <c r="P170" s="82" t="n"/>
    </row>
    <row r="171">
      <c r="A171" s="82" t="n"/>
      <c r="B171" s="82" t="n"/>
      <c r="C171" s="82" t="n"/>
      <c r="D171" s="82" t="n"/>
      <c r="E171" s="82" t="n"/>
      <c r="F171" s="82" t="n"/>
      <c r="G171" s="82" t="n"/>
      <c r="H171" s="82" t="n"/>
      <c r="I171" s="82" t="n"/>
      <c r="J171" s="82" t="n"/>
      <c r="K171" s="82" t="n"/>
      <c r="L171" s="82" t="n"/>
      <c r="M171" s="82" t="n"/>
      <c r="N171" s="82" t="n"/>
      <c r="O171" s="82" t="n"/>
      <c r="P171" s="82" t="n"/>
    </row>
    <row r="172">
      <c r="A172" s="82" t="n"/>
      <c r="B172" s="82" t="n"/>
      <c r="C172" s="82" t="n"/>
      <c r="D172" s="82" t="n"/>
      <c r="E172" s="82" t="n"/>
      <c r="F172" s="82" t="n"/>
      <c r="G172" s="82" t="n"/>
      <c r="H172" s="82" t="n"/>
      <c r="I172" s="82" t="n"/>
      <c r="J172" s="82" t="n"/>
      <c r="K172" s="82" t="n"/>
      <c r="L172" s="82" t="n"/>
      <c r="M172" s="82" t="n"/>
      <c r="N172" s="82" t="n"/>
      <c r="O172" s="82" t="n"/>
      <c r="P172" s="82" t="n"/>
    </row>
    <row r="173">
      <c r="A173" s="82" t="n"/>
      <c r="B173" s="82" t="n"/>
      <c r="C173" s="82" t="n"/>
      <c r="D173" s="82" t="n"/>
      <c r="E173" s="82" t="n"/>
      <c r="F173" s="82" t="n"/>
      <c r="G173" s="82" t="n"/>
      <c r="H173" s="82" t="n"/>
      <c r="I173" s="82" t="n"/>
      <c r="J173" s="82" t="n"/>
      <c r="K173" s="82" t="n"/>
      <c r="L173" s="82" t="n"/>
      <c r="M173" s="82" t="n"/>
      <c r="N173" s="82" t="n"/>
      <c r="O173" s="82" t="n"/>
      <c r="P173" s="82" t="n"/>
    </row>
    <row r="174">
      <c r="A174" s="82" t="n"/>
      <c r="B174" s="82" t="n"/>
      <c r="C174" s="82" t="n"/>
      <c r="D174" s="82" t="n"/>
      <c r="E174" s="82" t="n"/>
      <c r="F174" s="82" t="n"/>
      <c r="G174" s="82" t="n"/>
      <c r="H174" s="82" t="n"/>
      <c r="I174" s="82" t="n"/>
      <c r="J174" s="82" t="n"/>
      <c r="K174" s="82" t="n"/>
      <c r="L174" s="82" t="n"/>
      <c r="M174" s="82" t="n"/>
      <c r="N174" s="82" t="n"/>
      <c r="O174" s="82" t="n"/>
      <c r="P174" s="82" t="n"/>
    </row>
    <row r="175">
      <c r="A175" s="82" t="n"/>
      <c r="B175" s="82" t="n"/>
      <c r="C175" s="82" t="n"/>
      <c r="D175" s="82" t="n"/>
      <c r="E175" s="82" t="n"/>
      <c r="F175" s="82" t="n"/>
      <c r="G175" s="82" t="n"/>
      <c r="H175" s="82" t="n"/>
      <c r="I175" s="82" t="n"/>
      <c r="J175" s="82" t="n"/>
      <c r="K175" s="82" t="n"/>
      <c r="L175" s="82" t="n"/>
      <c r="M175" s="82" t="n"/>
      <c r="N175" s="82" t="n"/>
      <c r="O175" s="82" t="n"/>
      <c r="P175" s="82" t="n"/>
    </row>
    <row r="176">
      <c r="A176" s="82" t="n"/>
      <c r="B176" s="82" t="n"/>
      <c r="C176" s="82" t="n"/>
      <c r="D176" s="82" t="n"/>
      <c r="E176" s="82" t="n"/>
      <c r="F176" s="82" t="n"/>
      <c r="G176" s="82" t="n"/>
      <c r="H176" s="82" t="n"/>
      <c r="I176" s="82" t="n"/>
      <c r="J176" s="82" t="n"/>
      <c r="K176" s="82" t="n"/>
      <c r="L176" s="82" t="n"/>
      <c r="M176" s="82" t="n"/>
      <c r="N176" s="82" t="n"/>
      <c r="O176" s="82" t="n"/>
      <c r="P176" s="82" t="n"/>
    </row>
    <row r="177">
      <c r="A177" s="82" t="n"/>
      <c r="B177" s="82" t="n"/>
      <c r="C177" s="82" t="n"/>
      <c r="D177" s="82" t="n"/>
      <c r="E177" s="82" t="n"/>
      <c r="F177" s="82" t="n"/>
      <c r="G177" s="82" t="n"/>
      <c r="H177" s="82" t="n"/>
      <c r="I177" s="82" t="n"/>
      <c r="J177" s="82" t="n"/>
      <c r="K177" s="82" t="n"/>
      <c r="L177" s="82" t="n"/>
      <c r="M177" s="82" t="n"/>
      <c r="N177" s="82" t="n"/>
      <c r="O177" s="82" t="n"/>
      <c r="P177" s="82" t="n"/>
    </row>
    <row r="178">
      <c r="A178" s="82" t="n"/>
      <c r="B178" s="82" t="n"/>
      <c r="C178" s="82" t="n"/>
      <c r="D178" s="82" t="n"/>
      <c r="E178" s="82" t="n"/>
      <c r="F178" s="82" t="n"/>
      <c r="G178" s="82" t="n"/>
      <c r="H178" s="82" t="n"/>
      <c r="I178" s="82" t="n"/>
      <c r="J178" s="82" t="n"/>
      <c r="K178" s="82" t="n"/>
      <c r="L178" s="82" t="n"/>
      <c r="M178" s="82" t="n"/>
      <c r="N178" s="82" t="n"/>
      <c r="O178" s="82" t="n"/>
      <c r="P178" s="82" t="n"/>
    </row>
    <row r="179">
      <c r="A179" s="82" t="n"/>
      <c r="B179" s="82" t="n"/>
      <c r="C179" s="82" t="n"/>
      <c r="D179" s="82" t="n"/>
      <c r="E179" s="82" t="n"/>
      <c r="F179" s="82" t="n"/>
      <c r="G179" s="82" t="n"/>
      <c r="H179" s="82" t="n"/>
      <c r="I179" s="82" t="n"/>
      <c r="J179" s="82" t="n"/>
      <c r="K179" s="82" t="n"/>
      <c r="L179" s="82" t="n"/>
      <c r="M179" s="82" t="n"/>
      <c r="N179" s="82" t="n"/>
      <c r="O179" s="82" t="n"/>
      <c r="P179" s="82" t="n"/>
    </row>
    <row r="180">
      <c r="A180" s="82" t="n"/>
      <c r="B180" s="82" t="n"/>
      <c r="C180" s="82" t="n"/>
      <c r="D180" s="82" t="n"/>
      <c r="E180" s="82" t="n"/>
      <c r="F180" s="82" t="n"/>
      <c r="G180" s="82" t="n"/>
      <c r="H180" s="82" t="n"/>
      <c r="I180" s="82" t="n"/>
      <c r="J180" s="82" t="n"/>
      <c r="K180" s="82" t="n"/>
      <c r="L180" s="82" t="n"/>
      <c r="M180" s="82" t="n"/>
      <c r="N180" s="82" t="n"/>
      <c r="O180" s="82" t="n"/>
      <c r="P180" s="82" t="n"/>
    </row>
    <row r="181">
      <c r="A181" s="82" t="n"/>
      <c r="B181" s="82" t="n"/>
      <c r="C181" s="82" t="n"/>
      <c r="D181" s="82" t="n"/>
      <c r="E181" s="82" t="n"/>
      <c r="F181" s="82" t="n"/>
      <c r="G181" s="82" t="n"/>
      <c r="H181" s="82" t="n"/>
      <c r="I181" s="82" t="n"/>
      <c r="J181" s="82" t="n"/>
      <c r="K181" s="82" t="n"/>
      <c r="L181" s="82" t="n"/>
      <c r="M181" s="82" t="n"/>
      <c r="N181" s="82" t="n"/>
      <c r="O181" s="82" t="n"/>
      <c r="P181" s="82" t="n"/>
    </row>
    <row r="182">
      <c r="A182" s="82" t="n"/>
      <c r="B182" s="82" t="n"/>
      <c r="C182" s="82" t="n"/>
      <c r="D182" s="82" t="n"/>
      <c r="E182" s="82" t="n"/>
      <c r="F182" s="82" t="n"/>
      <c r="G182" s="82" t="n"/>
      <c r="H182" s="82" t="n"/>
      <c r="I182" s="82" t="n"/>
      <c r="J182" s="82" t="n"/>
      <c r="K182" s="82" t="n"/>
      <c r="L182" s="82" t="n"/>
      <c r="M182" s="82" t="n"/>
      <c r="N182" s="82" t="n"/>
      <c r="O182" s="82" t="n"/>
      <c r="P182" s="82" t="n"/>
    </row>
    <row r="183">
      <c r="A183" s="82" t="n"/>
      <c r="B183" s="82" t="n"/>
      <c r="C183" s="82" t="n"/>
      <c r="D183" s="82" t="n"/>
      <c r="E183" s="82" t="n"/>
      <c r="F183" s="82" t="n"/>
      <c r="G183" s="82" t="n"/>
      <c r="H183" s="82" t="n"/>
      <c r="I183" s="82" t="n"/>
      <c r="J183" s="82" t="n"/>
      <c r="K183" s="82" t="n"/>
      <c r="L183" s="82" t="n"/>
      <c r="M183" s="82" t="n"/>
      <c r="N183" s="82" t="n"/>
      <c r="O183" s="82" t="n"/>
      <c r="P183" s="82" t="n"/>
    </row>
    <row r="184">
      <c r="A184" s="82" t="n"/>
      <c r="B184" s="82" t="n"/>
      <c r="C184" s="82" t="n"/>
      <c r="D184" s="82" t="n"/>
      <c r="E184" s="82" t="n"/>
      <c r="F184" s="82" t="n"/>
      <c r="G184" s="82" t="n"/>
      <c r="H184" s="82" t="n"/>
      <c r="I184" s="82" t="n"/>
      <c r="J184" s="82" t="n"/>
      <c r="K184" s="82" t="n"/>
      <c r="L184" s="82" t="n"/>
      <c r="M184" s="82" t="n"/>
      <c r="N184" s="82" t="n"/>
      <c r="O184" s="82" t="n"/>
      <c r="P184" s="82" t="n"/>
    </row>
    <row r="185">
      <c r="A185" s="82" t="n"/>
      <c r="B185" s="82" t="n"/>
      <c r="C185" s="82" t="n"/>
      <c r="D185" s="82" t="n"/>
      <c r="E185" s="82" t="n"/>
      <c r="F185" s="82" t="n"/>
      <c r="G185" s="82" t="n"/>
      <c r="H185" s="82" t="n"/>
      <c r="I185" s="82" t="n"/>
      <c r="J185" s="82" t="n"/>
      <c r="K185" s="82" t="n"/>
      <c r="L185" s="82" t="n"/>
      <c r="M185" s="82" t="n"/>
      <c r="N185" s="82" t="n"/>
      <c r="O185" s="82" t="n"/>
      <c r="P185" s="82" t="n"/>
    </row>
    <row r="186">
      <c r="A186" s="82" t="n"/>
      <c r="B186" s="82" t="n"/>
      <c r="C186" s="82" t="n"/>
      <c r="D186" s="82" t="n"/>
      <c r="E186" s="82" t="n"/>
      <c r="F186" s="82" t="n"/>
      <c r="G186" s="82" t="n"/>
      <c r="H186" s="82" t="n"/>
      <c r="I186" s="82" t="n"/>
      <c r="J186" s="82" t="n"/>
      <c r="K186" s="82" t="n"/>
      <c r="L186" s="82" t="n"/>
      <c r="M186" s="82" t="n"/>
      <c r="N186" s="82" t="n"/>
      <c r="O186" s="82" t="n"/>
      <c r="P186" s="82" t="n"/>
    </row>
    <row r="187">
      <c r="A187" s="82" t="n"/>
      <c r="B187" s="82" t="n"/>
      <c r="C187" s="82" t="n"/>
      <c r="D187" s="82" t="n"/>
      <c r="E187" s="82" t="n"/>
      <c r="F187" s="82" t="n"/>
      <c r="G187" s="82" t="n"/>
      <c r="H187" s="82" t="n"/>
      <c r="I187" s="82" t="n"/>
      <c r="J187" s="82" t="n"/>
      <c r="K187" s="82" t="n"/>
      <c r="L187" s="82" t="n"/>
      <c r="M187" s="82" t="n"/>
      <c r="N187" s="82" t="n"/>
      <c r="O187" s="82" t="n"/>
      <c r="P187" s="82" t="n"/>
    </row>
    <row r="188">
      <c r="A188" s="82" t="n"/>
      <c r="B188" s="82" t="n"/>
      <c r="C188" s="82" t="n"/>
      <c r="D188" s="82" t="n"/>
      <c r="E188" s="82" t="n"/>
      <c r="F188" s="82" t="n"/>
      <c r="G188" s="82" t="n"/>
      <c r="H188" s="82" t="n"/>
      <c r="I188" s="82" t="n"/>
      <c r="J188" s="82" t="n"/>
      <c r="K188" s="82" t="n"/>
      <c r="L188" s="82" t="n"/>
      <c r="M188" s="82" t="n"/>
      <c r="N188" s="82" t="n"/>
      <c r="O188" s="82" t="n"/>
      <c r="P188" s="82" t="n"/>
    </row>
    <row r="189">
      <c r="A189" s="82" t="n"/>
      <c r="B189" s="82" t="n"/>
      <c r="C189" s="82" t="n"/>
      <c r="D189" s="82" t="n"/>
      <c r="E189" s="82" t="n"/>
      <c r="F189" s="82" t="n"/>
      <c r="G189" s="82" t="n"/>
      <c r="H189" s="82" t="n"/>
      <c r="I189" s="82" t="n"/>
      <c r="J189" s="82" t="n"/>
      <c r="K189" s="82" t="n"/>
      <c r="L189" s="82" t="n"/>
      <c r="M189" s="82" t="n"/>
      <c r="N189" s="82" t="n"/>
      <c r="O189" s="82" t="n"/>
      <c r="P189" s="82" t="n"/>
    </row>
    <row r="190">
      <c r="A190" s="82" t="n"/>
      <c r="B190" s="82" t="n"/>
      <c r="C190" s="82" t="n"/>
      <c r="D190" s="82" t="n"/>
      <c r="E190" s="82" t="n"/>
      <c r="F190" s="82" t="n"/>
      <c r="G190" s="82" t="n"/>
      <c r="H190" s="82" t="n"/>
      <c r="I190" s="82" t="n"/>
      <c r="J190" s="82" t="n"/>
      <c r="K190" s="82" t="n"/>
      <c r="L190" s="82" t="n"/>
      <c r="M190" s="82" t="n"/>
      <c r="N190" s="82" t="n"/>
      <c r="O190" s="82" t="n"/>
      <c r="P190" s="82" t="n"/>
    </row>
    <row r="191">
      <c r="A191" s="82" t="n"/>
      <c r="B191" s="82" t="n"/>
      <c r="C191" s="82" t="n"/>
      <c r="D191" s="82" t="n"/>
      <c r="E191" s="82" t="n"/>
      <c r="F191" s="82" t="n"/>
      <c r="G191" s="82" t="n"/>
      <c r="H191" s="82" t="n"/>
      <c r="I191" s="82" t="n"/>
      <c r="J191" s="82" t="n"/>
      <c r="K191" s="82" t="n"/>
      <c r="L191" s="82" t="n"/>
      <c r="M191" s="82" t="n"/>
      <c r="N191" s="82" t="n"/>
      <c r="O191" s="82" t="n"/>
      <c r="P191" s="82" t="n"/>
    </row>
    <row r="192">
      <c r="A192" s="82" t="n"/>
      <c r="B192" s="82" t="n"/>
      <c r="C192" s="82" t="n"/>
      <c r="D192" s="82" t="n"/>
      <c r="E192" s="82" t="n"/>
      <c r="F192" s="82" t="n"/>
      <c r="G192" s="82" t="n"/>
      <c r="H192" s="82" t="n"/>
      <c r="I192" s="82" t="n"/>
      <c r="J192" s="82" t="n"/>
      <c r="K192" s="82" t="n"/>
      <c r="L192" s="82" t="n"/>
      <c r="M192" s="82" t="n"/>
      <c r="N192" s="82" t="n"/>
      <c r="O192" s="82" t="n"/>
      <c r="P192" s="82" t="n"/>
    </row>
    <row r="193">
      <c r="A193" s="82" t="n"/>
      <c r="B193" s="82" t="n"/>
      <c r="C193" s="82" t="n"/>
      <c r="D193" s="82" t="n"/>
      <c r="E193" s="82" t="n"/>
      <c r="F193" s="82" t="n"/>
      <c r="G193" s="82" t="n"/>
      <c r="H193" s="82" t="n"/>
      <c r="I193" s="82" t="n"/>
      <c r="J193" s="82" t="n"/>
      <c r="K193" s="82" t="n"/>
      <c r="L193" s="82" t="n"/>
      <c r="M193" s="82" t="n"/>
      <c r="N193" s="82" t="n"/>
      <c r="O193" s="82" t="n"/>
      <c r="P193" s="82" t="n"/>
    </row>
    <row r="194">
      <c r="A194" s="82" t="n"/>
      <c r="B194" s="82" t="n"/>
      <c r="C194" s="82" t="n"/>
      <c r="D194" s="82" t="n"/>
      <c r="E194" s="82" t="n"/>
      <c r="F194" s="82" t="n"/>
      <c r="G194" s="82" t="n"/>
      <c r="H194" s="82" t="n"/>
      <c r="I194" s="82" t="n"/>
      <c r="J194" s="82" t="n"/>
      <c r="K194" s="82" t="n"/>
      <c r="L194" s="82" t="n"/>
      <c r="M194" s="82" t="n"/>
      <c r="N194" s="82" t="n"/>
      <c r="O194" s="82" t="n"/>
      <c r="P194" s="82" t="n"/>
    </row>
    <row r="195">
      <c r="A195" s="82" t="n"/>
      <c r="B195" s="82" t="n"/>
      <c r="C195" s="82" t="n"/>
      <c r="D195" s="82" t="n"/>
      <c r="E195" s="82" t="n"/>
      <c r="F195" s="82" t="n"/>
      <c r="G195" s="82" t="n"/>
      <c r="H195" s="82" t="n"/>
      <c r="I195" s="82" t="n"/>
      <c r="J195" s="82" t="n"/>
      <c r="K195" s="82" t="n"/>
      <c r="L195" s="82" t="n"/>
      <c r="M195" s="82" t="n"/>
      <c r="N195" s="82" t="n"/>
      <c r="O195" s="82" t="n"/>
      <c r="P195" s="82" t="n"/>
    </row>
    <row r="196">
      <c r="A196" s="82" t="n"/>
      <c r="B196" s="82" t="n"/>
      <c r="C196" s="82" t="n"/>
      <c r="D196" s="82" t="n"/>
      <c r="E196" s="82" t="n"/>
      <c r="F196" s="82" t="n"/>
      <c r="G196" s="82" t="n"/>
      <c r="H196" s="82" t="n"/>
      <c r="I196" s="82" t="n"/>
      <c r="J196" s="82" t="n"/>
      <c r="K196" s="82" t="n"/>
      <c r="L196" s="82" t="n"/>
      <c r="M196" s="82" t="n"/>
      <c r="N196" s="82" t="n"/>
      <c r="O196" s="82" t="n"/>
      <c r="P196" s="82" t="n"/>
    </row>
    <row r="197">
      <c r="A197" s="82" t="n"/>
      <c r="B197" s="82" t="n"/>
      <c r="C197" s="82" t="n"/>
      <c r="D197" s="82" t="n"/>
      <c r="E197" s="82" t="n"/>
      <c r="F197" s="82" t="n"/>
      <c r="G197" s="82" t="n"/>
      <c r="H197" s="82" t="n"/>
      <c r="I197" s="82" t="n"/>
      <c r="J197" s="82" t="n"/>
      <c r="K197" s="82" t="n"/>
      <c r="L197" s="82" t="n"/>
      <c r="M197" s="82" t="n"/>
      <c r="N197" s="82" t="n"/>
      <c r="O197" s="82" t="n"/>
      <c r="P197" s="82" t="n"/>
    </row>
    <row r="198">
      <c r="A198" s="82" t="n"/>
      <c r="B198" s="82" t="n"/>
      <c r="C198" s="82" t="n"/>
      <c r="D198" s="82" t="n"/>
      <c r="E198" s="82" t="n"/>
      <c r="F198" s="82" t="n"/>
      <c r="G198" s="82" t="n"/>
      <c r="H198" s="82" t="n"/>
      <c r="I198" s="82" t="n"/>
      <c r="J198" s="82" t="n"/>
      <c r="K198" s="82" t="n"/>
      <c r="L198" s="82" t="n"/>
      <c r="M198" s="82" t="n"/>
      <c r="N198" s="82" t="n"/>
      <c r="O198" s="82" t="n"/>
      <c r="P198" s="82" t="n"/>
    </row>
    <row r="199">
      <c r="A199" s="82" t="n"/>
      <c r="B199" s="82" t="n"/>
      <c r="C199" s="82" t="n"/>
      <c r="D199" s="82" t="n"/>
      <c r="E199" s="82" t="n"/>
      <c r="F199" s="82" t="n"/>
      <c r="G199" s="82" t="n"/>
      <c r="H199" s="82" t="n"/>
      <c r="I199" s="82" t="n"/>
      <c r="J199" s="82" t="n"/>
      <c r="K199" s="82" t="n"/>
      <c r="L199" s="82" t="n"/>
      <c r="M199" s="82" t="n"/>
      <c r="N199" s="82" t="n"/>
      <c r="O199" s="82" t="n"/>
      <c r="P199" s="82" t="n"/>
    </row>
    <row r="200">
      <c r="A200" s="82" t="n"/>
      <c r="B200" s="82" t="n"/>
      <c r="C200" s="82" t="n"/>
      <c r="D200" s="82" t="n"/>
      <c r="E200" s="82" t="n"/>
      <c r="F200" s="82" t="n"/>
      <c r="G200" s="82" t="n"/>
      <c r="H200" s="82" t="n"/>
      <c r="I200" s="82" t="n"/>
      <c r="J200" s="82" t="n"/>
      <c r="K200" s="82" t="n"/>
      <c r="L200" s="82" t="n"/>
      <c r="M200" s="82" t="n"/>
      <c r="N200" s="82" t="n"/>
      <c r="O200" s="82" t="n"/>
      <c r="P200" s="82" t="n"/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autoFilter ref="A4:U13"/>
  <mergeCells count="2">
    <mergeCell ref="A1:U1"/>
    <mergeCell ref="A2:U2"/>
  </mergeCells>
  <conditionalFormatting sqref="J5:J80">
    <cfRule type="expression" priority="1" dxfId="8">
      <formula>J5="Not Started"</formula>
    </cfRule>
    <cfRule type="expression" priority="2" dxfId="1">
      <formula>J5="Design"</formula>
    </cfRule>
    <cfRule type="expression" priority="3" dxfId="9">
      <formula>J5="In Progress"</formula>
    </cfRule>
    <cfRule type="expression" priority="4" dxfId="2">
      <formula>J5="Punch List"</formula>
    </cfRule>
    <cfRule type="expression" priority="5" dxfId="0">
      <formula>J5="Complete"</formula>
    </cfRule>
  </conditionalFormatting>
  <conditionalFormatting sqref="U5:U80">
    <cfRule type="colorScale" priority="6">
      <colorScale>
        <cfvo type="num" val="0"/>
        <cfvo type="num" val="0.9"/>
        <cfvo type="num" val="1.2"/>
        <color rgb="00719B7A"/>
        <color rgb="00D99A3D"/>
        <color rgb="00C75C5C"/>
      </colorScale>
    </cfRule>
  </conditionalFormatting>
  <dataValidations count="3">
    <dataValidation sqref="D5:D80" showDropDown="0" showInputMessage="0" showErrorMessage="1" allowBlank="1" errorTitle="Invalid value" error="Pick a value from the list." type="list">
      <formula1>=Room_Type</formula1>
    </dataValidation>
    <dataValidation sqref="J5:J80" showDropDown="0" showInputMessage="0" showErrorMessage="1" allowBlank="1" errorTitle="Invalid value" error="Pick a value from the list." type="list">
      <formula1>=Room_Status</formula1>
    </dataValidation>
    <dataValidation sqref="M5:M80" showDropDown="0" showInputMessage="0" showErrorMessage="1" allowBlank="1" errorTitle="Invalid value" error="Pick a value from the list." type="list">
      <formula1>=Design_Style</formula1>
    </dataValidation>
  </dataValidations>
  <pageMargins left="0.4" right="0.4" top="0.6" bottom="0.5" header="0.25" footer="0.25"/>
  <pageSetup orientation="landscape" paperSize="3" fitToHeight="0" fitToWidth="1"/>
  <headerFooter>
    <oddHeader>&amp;LNovality Store  ·  Home Renovation System&amp;RRooms</oddHeader>
    <oddFooter>&amp;LConfidential  ·  Digital twin of the home&amp;RPage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86B4A"/>
    <outlinePr summaryBelow="1" summaryRight="1"/>
    <pageSetUpPr fitToPage="1"/>
  </sheetPr>
  <dimension ref="A1:M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6" customWidth="1" min="4" max="4"/>
    <col width="32" customWidth="1" min="5" max="5"/>
    <col width="14" customWidth="1" min="6" max="6"/>
    <col width="16" customWidth="1" min="7" max="7"/>
    <col width="12" customWidth="1" min="8" max="8"/>
    <col width="28" customWidth="1" min="9" max="9"/>
    <col width="12" customWidth="1" min="10" max="10"/>
    <col width="12" customWidth="1" min="11" max="11"/>
    <col width="12" customWidth="1" min="12" max="12"/>
    <col width="44" customWidth="1" min="13" max="13"/>
  </cols>
  <sheetData>
    <row r="1" ht="28" customHeight="1">
      <c r="A1" s="1" t="inlineStr">
        <is>
          <t>DESIGN STUDIO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18" customHeight="1">
      <c r="A2" s="3" t="inlineStr">
        <is>
          <t>Mood boards, palettes, materials, 2D/3D, AI concepts  ·  style presets included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 ht="22" customHeight="1">
      <c r="A4" s="66" t="inlineStr">
        <is>
          <t>Design ID</t>
        </is>
      </c>
      <c r="B4" s="66" t="inlineStr">
        <is>
          <t>Project ID</t>
        </is>
      </c>
      <c r="C4" s="66" t="inlineStr">
        <is>
          <t>Room ID</t>
        </is>
      </c>
      <c r="D4" s="66" t="inlineStr">
        <is>
          <t>Item Type</t>
        </is>
      </c>
      <c r="E4" s="66" t="inlineStr">
        <is>
          <t>Name</t>
        </is>
      </c>
      <c r="F4" s="66" t="inlineStr">
        <is>
          <t>Style</t>
        </is>
      </c>
      <c r="G4" s="66" t="inlineStr">
        <is>
          <t>Brand</t>
        </is>
      </c>
      <c r="H4" s="66" t="inlineStr">
        <is>
          <t>Color Hex</t>
        </is>
      </c>
      <c r="I4" s="66" t="inlineStr">
        <is>
          <t>Link / File</t>
        </is>
      </c>
      <c r="J4" s="66" t="inlineStr">
        <is>
          <t>Status</t>
        </is>
      </c>
      <c r="K4" s="66" t="inlineStr">
        <is>
          <t>Cost Est.</t>
        </is>
      </c>
      <c r="L4" s="66" t="inlineStr">
        <is>
          <t>AI Suggested</t>
        </is>
      </c>
      <c r="M4" s="66" t="inlineStr">
        <is>
          <t>Notes</t>
        </is>
      </c>
    </row>
    <row r="5" ht="18" customHeight="1">
      <c r="A5" s="67" t="inlineStr">
        <is>
          <t>DSN-001</t>
        </is>
      </c>
      <c r="B5" s="67" t="inlineStr">
        <is>
          <t>PRJ-001</t>
        </is>
      </c>
      <c r="C5" s="67" t="inlineStr">
        <is>
          <t>RM-01</t>
        </is>
      </c>
      <c r="D5" s="67" t="inlineStr">
        <is>
          <t>Mood Board</t>
        </is>
      </c>
      <c r="E5" s="68" t="inlineStr">
        <is>
          <t>Kitchen — warm modern</t>
        </is>
      </c>
      <c r="F5" s="68" t="inlineStr">
        <is>
          <t>Modern</t>
        </is>
      </c>
      <c r="G5" s="68" t="inlineStr"/>
      <c r="H5" s="67" t="inlineStr">
        <is>
          <t>#16352F</t>
        </is>
      </c>
      <c r="I5" s="67" t="inlineStr">
        <is>
          <t>drive/mood/kitchen-01</t>
        </is>
      </c>
      <c r="J5" s="67" t="inlineStr">
        <is>
          <t>Approved</t>
        </is>
      </c>
      <c r="K5" s="83" t="n">
        <v>0</v>
      </c>
      <c r="L5" s="68" t="inlineStr">
        <is>
          <t>No</t>
        </is>
      </c>
      <c r="M5" s="67" t="inlineStr">
        <is>
          <t>Forest + sand + terracotta. Brass hardware.</t>
        </is>
      </c>
    </row>
    <row r="6" ht="18" customHeight="1">
      <c r="A6" s="75" t="inlineStr">
        <is>
          <t>DSN-002</t>
        </is>
      </c>
      <c r="B6" s="75" t="inlineStr">
        <is>
          <t>PRJ-001</t>
        </is>
      </c>
      <c r="C6" s="75" t="inlineStr">
        <is>
          <t>RM-01</t>
        </is>
      </c>
      <c r="D6" s="75" t="inlineStr">
        <is>
          <t>Color Palette</t>
        </is>
      </c>
      <c r="E6" s="76" t="inlineStr">
        <is>
          <t>Kitchen palette v3</t>
        </is>
      </c>
      <c r="F6" s="76" t="inlineStr">
        <is>
          <t>Modern</t>
        </is>
      </c>
      <c r="G6" s="76" t="inlineStr">
        <is>
          <t>Farrow &amp; Ball</t>
        </is>
      </c>
      <c r="H6" s="75" t="inlineStr">
        <is>
          <t>#E8DDCB</t>
        </is>
      </c>
      <c r="I6" s="75" t="inlineStr">
        <is>
          <t>drive/palette/kitchen</t>
        </is>
      </c>
      <c r="J6" s="75" t="inlineStr">
        <is>
          <t>Approved</t>
        </is>
      </c>
      <c r="K6" s="87" t="n">
        <v>0</v>
      </c>
      <c r="L6" s="76" t="inlineStr">
        <is>
          <t>Yes</t>
        </is>
      </c>
      <c r="M6" s="75" t="inlineStr">
        <is>
          <t>AI suggested dropping cool gray for sand.</t>
        </is>
      </c>
    </row>
    <row r="7" ht="18" customHeight="1">
      <c r="A7" s="67" t="inlineStr">
        <is>
          <t>DSN-003</t>
        </is>
      </c>
      <c r="B7" s="67" t="inlineStr">
        <is>
          <t>PRJ-001</t>
        </is>
      </c>
      <c r="C7" s="67" t="inlineStr">
        <is>
          <t>RM-01</t>
        </is>
      </c>
      <c r="D7" s="67" t="inlineStr">
        <is>
          <t>Cabinetry</t>
        </is>
      </c>
      <c r="E7" s="68" t="inlineStr">
        <is>
          <t>Shaker, painted sage</t>
        </is>
      </c>
      <c r="F7" s="68" t="inlineStr">
        <is>
          <t>Modern</t>
        </is>
      </c>
      <c r="G7" s="68" t="inlineStr">
        <is>
          <t>Cascade</t>
        </is>
      </c>
      <c r="H7" s="67" t="inlineStr">
        <is>
          <t>#719B7A</t>
        </is>
      </c>
      <c r="I7" s="67" t="inlineStr">
        <is>
          <t>drive/cabs/shaker-sage</t>
        </is>
      </c>
      <c r="J7" s="67" t="inlineStr">
        <is>
          <t>Approved</t>
        </is>
      </c>
      <c r="K7" s="83" t="n">
        <v>14800</v>
      </c>
      <c r="L7" s="68" t="inlineStr">
        <is>
          <t>No</t>
        </is>
      </c>
      <c r="M7" s="67" t="inlineStr">
        <is>
          <t>Inset doors, walnut island.</t>
        </is>
      </c>
    </row>
    <row r="8" ht="18" customHeight="1">
      <c r="A8" s="75" t="inlineStr">
        <is>
          <t>DSN-004</t>
        </is>
      </c>
      <c r="B8" s="75" t="inlineStr">
        <is>
          <t>PRJ-001</t>
        </is>
      </c>
      <c r="C8" s="75" t="inlineStr">
        <is>
          <t>RM-01</t>
        </is>
      </c>
      <c r="D8" s="75" t="inlineStr">
        <is>
          <t>Flooring</t>
        </is>
      </c>
      <c r="E8" s="76" t="inlineStr">
        <is>
          <t>White oak 7in</t>
        </is>
      </c>
      <c r="F8" s="76" t="inlineStr">
        <is>
          <t>Scandinavian</t>
        </is>
      </c>
      <c r="G8" s="76" t="inlineStr">
        <is>
          <t>Timberline</t>
        </is>
      </c>
      <c r="H8" s="75" t="inlineStr">
        <is>
          <t>#D4C6AE</t>
        </is>
      </c>
      <c r="I8" s="75" t="inlineStr">
        <is>
          <t>drive/floor/oak</t>
        </is>
      </c>
      <c r="J8" s="75" t="inlineStr">
        <is>
          <t>Installed</t>
        </is>
      </c>
      <c r="K8" s="87" t="n">
        <v>4200</v>
      </c>
      <c r="L8" s="76" t="inlineStr">
        <is>
          <t>No</t>
        </is>
      </c>
      <c r="M8" s="75" t="inlineStr">
        <is>
          <t>Continues into living + dining.</t>
        </is>
      </c>
    </row>
    <row r="9" ht="18" customHeight="1">
      <c r="A9" s="67" t="inlineStr">
        <is>
          <t>DSN-005</t>
        </is>
      </c>
      <c r="B9" s="67" t="inlineStr">
        <is>
          <t>PRJ-001</t>
        </is>
      </c>
      <c r="C9" s="67" t="inlineStr">
        <is>
          <t>RM-01</t>
        </is>
      </c>
      <c r="D9" s="67" t="inlineStr">
        <is>
          <t>Lighting</t>
        </is>
      </c>
      <c r="E9" s="68" t="inlineStr">
        <is>
          <t>Aged brass pendants x3</t>
        </is>
      </c>
      <c r="F9" s="68" t="inlineStr">
        <is>
          <t>Luxury</t>
        </is>
      </c>
      <c r="G9" s="68" t="inlineStr">
        <is>
          <t>BrightPath</t>
        </is>
      </c>
      <c r="H9" s="67" t="inlineStr">
        <is>
          <t>#C86B4A</t>
        </is>
      </c>
      <c r="I9" s="67" t="inlineStr">
        <is>
          <t>drive/light/island</t>
        </is>
      </c>
      <c r="J9" s="67" t="inlineStr">
        <is>
          <t>Ordered</t>
        </is>
      </c>
      <c r="K9" s="83" t="n">
        <v>890</v>
      </c>
      <c r="L9" s="68" t="inlineStr">
        <is>
          <t>No</t>
        </is>
      </c>
      <c r="M9" s="67" t="inlineStr">
        <is>
          <t>Dimmer on island circuit.</t>
        </is>
      </c>
    </row>
    <row r="10" ht="18" customHeight="1">
      <c r="A10" s="75" t="inlineStr">
        <is>
          <t>DSN-006</t>
        </is>
      </c>
      <c r="B10" s="75" t="inlineStr">
        <is>
          <t>PRJ-001</t>
        </is>
      </c>
      <c r="C10" s="75" t="inlineStr">
        <is>
          <t>RM-03</t>
        </is>
      </c>
      <c r="D10" s="75" t="inlineStr">
        <is>
          <t>Material Board</t>
        </is>
      </c>
      <c r="E10" s="76" t="inlineStr">
        <is>
          <t>Bath — porcelain in lieu of marble</t>
        </is>
      </c>
      <c r="F10" s="76" t="inlineStr">
        <is>
          <t>Luxury</t>
        </is>
      </c>
      <c r="G10" s="76" t="inlineStr">
        <is>
          <t>Heritage</t>
        </is>
      </c>
      <c r="H10" s="75" t="inlineStr">
        <is>
          <t>#F8F6F1</t>
        </is>
      </c>
      <c r="I10" s="75" t="inlineStr">
        <is>
          <t>drive/bath/materials</t>
        </is>
      </c>
      <c r="J10" s="75" t="inlineStr">
        <is>
          <t>Approved</t>
        </is>
      </c>
      <c r="K10" s="87" t="n">
        <v>0</v>
      </c>
      <c r="L10" s="76" t="inlineStr">
        <is>
          <t>Yes</t>
        </is>
      </c>
      <c r="M10" s="75" t="inlineStr">
        <is>
          <t>AI: porcelain saves ~18% vs marble.</t>
        </is>
      </c>
    </row>
    <row r="11" ht="18" customHeight="1">
      <c r="A11" s="67" t="inlineStr">
        <is>
          <t>DSN-007</t>
        </is>
      </c>
      <c r="B11" s="67" t="inlineStr">
        <is>
          <t>PRJ-001</t>
        </is>
      </c>
      <c r="C11" s="67" t="inlineStr">
        <is>
          <t>RM-03</t>
        </is>
      </c>
      <c r="D11" s="67" t="inlineStr">
        <is>
          <t>AI Concept</t>
        </is>
      </c>
      <c r="E11" s="68" t="inlineStr">
        <is>
          <t>Primary bath — spa luxury</t>
        </is>
      </c>
      <c r="F11" s="68" t="inlineStr">
        <is>
          <t>Luxury</t>
        </is>
      </c>
      <c r="G11" s="68" t="inlineStr"/>
      <c r="H11" s="67" t="inlineStr"/>
      <c r="I11" s="67" t="inlineStr">
        <is>
          <t>drive/ai/bath-luxury</t>
        </is>
      </c>
      <c r="J11" s="67" t="inlineStr">
        <is>
          <t>Accepted</t>
        </is>
      </c>
      <c r="K11" s="83" t="n">
        <v>0</v>
      </c>
      <c r="L11" s="68" t="inlineStr">
        <is>
          <t>Yes</t>
        </is>
      </c>
      <c r="M11" s="67" t="inlineStr">
        <is>
          <t>Before/after concept set.</t>
        </is>
      </c>
    </row>
    <row r="12" ht="18" customHeight="1">
      <c r="A12" s="75" t="inlineStr">
        <is>
          <t>DSN-008</t>
        </is>
      </c>
      <c r="B12" s="75" t="inlineStr">
        <is>
          <t>PRJ-001</t>
        </is>
      </c>
      <c r="C12" s="75" t="inlineStr">
        <is>
          <t>RM-02</t>
        </is>
      </c>
      <c r="D12" s="75" t="inlineStr">
        <is>
          <t>Mood Board</t>
        </is>
      </c>
      <c r="E12" s="76" t="inlineStr">
        <is>
          <t>Living — Scandinavian calm</t>
        </is>
      </c>
      <c r="F12" s="76" t="inlineStr">
        <is>
          <t>Scandinavian</t>
        </is>
      </c>
      <c r="G12" s="76" t="inlineStr"/>
      <c r="H12" s="75" t="inlineStr">
        <is>
          <t>#E8DDCB</t>
        </is>
      </c>
      <c r="I12" s="75" t="inlineStr">
        <is>
          <t>drive/mood/living</t>
        </is>
      </c>
      <c r="J12" s="75" t="inlineStr">
        <is>
          <t>Approved</t>
        </is>
      </c>
      <c r="K12" s="87" t="n">
        <v>0</v>
      </c>
      <c r="L12" s="76" t="inlineStr">
        <is>
          <t>No</t>
        </is>
      </c>
      <c r="M12" s="75" t="inlineStr">
        <is>
          <t>Linen, oak, charcoal textiles.</t>
        </is>
      </c>
    </row>
    <row r="13" ht="18" customHeight="1">
      <c r="A13" s="67" t="inlineStr">
        <is>
          <t>DSN-009</t>
        </is>
      </c>
      <c r="B13" s="67" t="inlineStr">
        <is>
          <t>PRJ-001</t>
        </is>
      </c>
      <c r="C13" s="67" t="inlineStr">
        <is>
          <t>RM-02</t>
        </is>
      </c>
      <c r="D13" s="67" t="inlineStr">
        <is>
          <t>Furniture</t>
        </is>
      </c>
      <c r="E13" s="68" t="inlineStr">
        <is>
          <t>Modular sofa + oak table</t>
        </is>
      </c>
      <c r="F13" s="68" t="inlineStr">
        <is>
          <t>Scandinavian</t>
        </is>
      </c>
      <c r="G13" s="68" t="inlineStr">
        <is>
          <t>Article</t>
        </is>
      </c>
      <c r="H13" s="67" t="inlineStr">
        <is>
          <t>#202522</t>
        </is>
      </c>
      <c r="I13" s="67" t="inlineStr">
        <is>
          <t>drive/furn/living</t>
        </is>
      </c>
      <c r="J13" s="67" t="inlineStr">
        <is>
          <t>Quoted</t>
        </is>
      </c>
      <c r="K13" s="83" t="n">
        <v>3400</v>
      </c>
      <c r="L13" s="68" t="inlineStr">
        <is>
          <t>No</t>
        </is>
      </c>
      <c r="M13" s="67" t="inlineStr">
        <is>
          <t>Lead time 6 weeks — order by Sep 1.</t>
        </is>
      </c>
    </row>
    <row r="14" ht="18" customHeight="1">
      <c r="A14" s="75" t="inlineStr">
        <is>
          <t>DSN-010</t>
        </is>
      </c>
      <c r="B14" s="75" t="inlineStr">
        <is>
          <t>PRJ-001</t>
        </is>
      </c>
      <c r="C14" s="75" t="inlineStr">
        <is>
          <t>RM-04</t>
        </is>
      </c>
      <c r="D14" s="75" t="inlineStr">
        <is>
          <t>Color Palette</t>
        </is>
      </c>
      <c r="E14" s="76" t="inlineStr">
        <is>
          <t>Guest — clay + linen</t>
        </is>
      </c>
      <c r="F14" s="76" t="inlineStr">
        <is>
          <t>Minimal</t>
        </is>
      </c>
      <c r="G14" s="76" t="inlineStr">
        <is>
          <t>Benjamin Moore</t>
        </is>
      </c>
      <c r="H14" s="75" t="inlineStr">
        <is>
          <t>#C86B4A</t>
        </is>
      </c>
      <c r="I14" s="75" t="inlineStr">
        <is>
          <t>drive/palette/guest</t>
        </is>
      </c>
      <c r="J14" s="75" t="inlineStr">
        <is>
          <t>In Review</t>
        </is>
      </c>
      <c r="K14" s="87" t="n">
        <v>0</v>
      </c>
      <c r="L14" s="76" t="inlineStr">
        <is>
          <t>Yes</t>
        </is>
      </c>
      <c r="M14" s="75" t="inlineStr">
        <is>
          <t>Two accent options pending Alex.</t>
        </is>
      </c>
    </row>
    <row r="15" ht="18" customHeight="1">
      <c r="A15" s="67" t="inlineStr">
        <is>
          <t>DSN-011</t>
        </is>
      </c>
      <c r="B15" s="67" t="inlineStr">
        <is>
          <t>PRJ-001</t>
        </is>
      </c>
      <c r="C15" s="67" t="inlineStr">
        <is>
          <t>RM-01</t>
        </is>
      </c>
      <c r="D15" s="67" t="inlineStr">
        <is>
          <t>2D Floor Plan</t>
        </is>
      </c>
      <c r="E15" s="68" t="inlineStr">
        <is>
          <t>Kitchen layout v4</t>
        </is>
      </c>
      <c r="F15" s="68" t="inlineStr">
        <is>
          <t>Modern</t>
        </is>
      </c>
      <c r="G15" s="68" t="inlineStr">
        <is>
          <t>Luna</t>
        </is>
      </c>
      <c r="H15" s="67" t="inlineStr"/>
      <c r="I15" s="67" t="inlineStr">
        <is>
          <t>drive/plans/kitchen-v4</t>
        </is>
      </c>
      <c r="J15" s="67" t="inlineStr">
        <is>
          <t>Approved</t>
        </is>
      </c>
      <c r="K15" s="83" t="n">
        <v>0</v>
      </c>
      <c r="L15" s="68" t="inlineStr">
        <is>
          <t>No</t>
        </is>
      </c>
      <c r="M15" s="67" t="inlineStr">
        <is>
          <t>Island 8ft. Fridge wall flipped.</t>
        </is>
      </c>
    </row>
    <row r="16" ht="18" customHeight="1">
      <c r="A16" s="75" t="inlineStr">
        <is>
          <t>DSN-012</t>
        </is>
      </c>
      <c r="B16" s="75" t="inlineStr">
        <is>
          <t>PRJ-001</t>
        </is>
      </c>
      <c r="C16" s="75" t="inlineStr">
        <is>
          <t>RM-01</t>
        </is>
      </c>
      <c r="D16" s="75" t="inlineStr">
        <is>
          <t>3D Visualization</t>
        </is>
      </c>
      <c r="E16" s="76" t="inlineStr">
        <is>
          <t>Kitchen dusk render</t>
        </is>
      </c>
      <c r="F16" s="76" t="inlineStr">
        <is>
          <t>Modern</t>
        </is>
      </c>
      <c r="G16" s="76" t="inlineStr">
        <is>
          <t>Luna</t>
        </is>
      </c>
      <c r="H16" s="75" t="inlineStr"/>
      <c r="I16" s="75" t="inlineStr">
        <is>
          <t>drive/3d/kitchen-dusk</t>
        </is>
      </c>
      <c r="J16" s="75" t="inlineStr">
        <is>
          <t>Approved</t>
        </is>
      </c>
      <c r="K16" s="87" t="n">
        <v>0</v>
      </c>
      <c r="L16" s="76" t="inlineStr">
        <is>
          <t>Yes</t>
        </is>
      </c>
      <c r="M16" s="75" t="inlineStr">
        <is>
          <t>AI lighting study included.</t>
        </is>
      </c>
    </row>
    <row r="17" ht="18" customHeight="1">
      <c r="A17" s="67" t="inlineStr">
        <is>
          <t>DSN-013</t>
        </is>
      </c>
      <c r="B17" s="67" t="inlineStr">
        <is>
          <t>PRJ-002</t>
        </is>
      </c>
      <c r="C17" s="67" t="inlineStr">
        <is>
          <t>RM-09</t>
        </is>
      </c>
      <c r="D17" s="67" t="inlineStr">
        <is>
          <t>Mood Board</t>
        </is>
      </c>
      <c r="E17" s="68" t="inlineStr">
        <is>
          <t>Cabin bath — Japandi</t>
        </is>
      </c>
      <c r="F17" s="68" t="inlineStr">
        <is>
          <t>Japandi</t>
        </is>
      </c>
      <c r="G17" s="68" t="inlineStr"/>
      <c r="H17" s="67" t="inlineStr">
        <is>
          <t>#16352F</t>
        </is>
      </c>
      <c r="I17" s="67" t="inlineStr">
        <is>
          <t>drive/mood/cabin</t>
        </is>
      </c>
      <c r="J17" s="67" t="inlineStr">
        <is>
          <t>Draft</t>
        </is>
      </c>
      <c r="K17" s="83" t="n">
        <v>0</v>
      </c>
      <c r="L17" s="68" t="inlineStr">
        <is>
          <t>Yes</t>
        </is>
      </c>
      <c r="M17" s="67" t="inlineStr">
        <is>
          <t>Cedar, plaster, black fixtures.</t>
        </is>
      </c>
    </row>
    <row r="18">
      <c r="A18" s="82" t="n"/>
      <c r="B18" s="82" t="n"/>
      <c r="C18" s="82" t="n"/>
      <c r="D18" s="82" t="n"/>
      <c r="E18" s="82" t="n"/>
      <c r="F18" s="82" t="n"/>
      <c r="G18" s="82" t="n"/>
      <c r="H18" s="82" t="n"/>
      <c r="I18" s="82" t="n"/>
      <c r="J18" s="82" t="n"/>
      <c r="K18" s="82" t="n"/>
      <c r="L18" s="82" t="n"/>
      <c r="M18" s="82" t="n"/>
    </row>
    <row r="19">
      <c r="A19" s="82" t="n"/>
      <c r="B19" s="82" t="n"/>
      <c r="C19" s="82" t="n"/>
      <c r="D19" s="82" t="n"/>
      <c r="E19" s="82" t="n"/>
      <c r="F19" s="82" t="n"/>
      <c r="G19" s="82" t="n"/>
      <c r="H19" s="82" t="n"/>
      <c r="I19" s="82" t="n"/>
      <c r="J19" s="82" t="n"/>
      <c r="K19" s="82" t="n"/>
      <c r="L19" s="82" t="n"/>
      <c r="M19" s="82" t="n"/>
    </row>
    <row r="20">
      <c r="A20" s="82" t="n"/>
      <c r="B20" s="82" t="n"/>
      <c r="C20" s="82" t="n"/>
      <c r="D20" s="82" t="n"/>
      <c r="E20" s="82" t="n"/>
      <c r="F20" s="82" t="n"/>
      <c r="G20" s="82" t="n"/>
      <c r="H20" s="82" t="n"/>
      <c r="I20" s="82" t="n"/>
      <c r="J20" s="82" t="n"/>
      <c r="K20" s="82" t="n"/>
      <c r="L20" s="82" t="n"/>
      <c r="M20" s="82" t="n"/>
    </row>
    <row r="21">
      <c r="A21" s="82" t="n"/>
      <c r="B21" s="82" t="n"/>
      <c r="C21" s="82" t="n"/>
      <c r="D21" s="82" t="n"/>
      <c r="E21" s="82" t="n"/>
      <c r="F21" s="82" t="n"/>
      <c r="G21" s="82" t="n"/>
      <c r="H21" s="82" t="n"/>
      <c r="I21" s="82" t="n"/>
      <c r="J21" s="82" t="n"/>
      <c r="K21" s="82" t="n"/>
      <c r="L21" s="82" t="n"/>
      <c r="M21" s="82" t="n"/>
    </row>
    <row r="22">
      <c r="A22" s="82" t="n"/>
      <c r="B22" s="82" t="n"/>
      <c r="C22" s="82" t="n"/>
      <c r="D22" s="82" t="n"/>
      <c r="E22" s="82" t="n"/>
      <c r="F22" s="82" t="n"/>
      <c r="G22" s="82" t="n"/>
      <c r="H22" s="82" t="n"/>
      <c r="I22" s="82" t="n"/>
      <c r="J22" s="82" t="n"/>
      <c r="K22" s="82" t="n"/>
      <c r="L22" s="82" t="n"/>
      <c r="M22" s="82" t="n"/>
    </row>
    <row r="23">
      <c r="A23" s="82" t="n"/>
      <c r="B23" s="82" t="n"/>
      <c r="C23" s="82" t="n"/>
      <c r="D23" s="82" t="n"/>
      <c r="E23" s="82" t="n"/>
      <c r="F23" s="82" t="n"/>
      <c r="G23" s="82" t="n"/>
      <c r="H23" s="82" t="n"/>
      <c r="I23" s="82" t="n"/>
      <c r="J23" s="82" t="n"/>
      <c r="K23" s="82" t="n"/>
      <c r="L23" s="82" t="n"/>
      <c r="M23" s="82" t="n"/>
    </row>
    <row r="24">
      <c r="A24" s="82" t="n"/>
      <c r="B24" s="82" t="n"/>
      <c r="C24" s="82" t="n"/>
      <c r="D24" s="82" t="n"/>
      <c r="E24" s="82" t="n"/>
      <c r="F24" s="82" t="n"/>
      <c r="G24" s="82" t="n"/>
      <c r="H24" s="82" t="n"/>
      <c r="I24" s="82" t="n"/>
      <c r="J24" s="82" t="n"/>
      <c r="K24" s="82" t="n"/>
      <c r="L24" s="82" t="n"/>
      <c r="M24" s="82" t="n"/>
    </row>
    <row r="25">
      <c r="A25" s="82" t="n"/>
      <c r="B25" s="82" t="n"/>
      <c r="C25" s="82" t="n"/>
      <c r="D25" s="82" t="n"/>
      <c r="E25" s="82" t="n"/>
      <c r="F25" s="82" t="n"/>
      <c r="G25" s="82" t="n"/>
      <c r="H25" s="82" t="n"/>
      <c r="I25" s="82" t="n"/>
      <c r="J25" s="82" t="n"/>
      <c r="K25" s="82" t="n"/>
      <c r="L25" s="82" t="n"/>
      <c r="M25" s="82" t="n"/>
    </row>
    <row r="26">
      <c r="A26" s="82" t="n"/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  <c r="L26" s="82" t="n"/>
      <c r="M26" s="82" t="n"/>
    </row>
    <row r="27">
      <c r="A27" s="82" t="n"/>
      <c r="B27" s="82" t="n"/>
      <c r="C27" s="82" t="n"/>
      <c r="D27" s="82" t="n"/>
      <c r="E27" s="82" t="n"/>
      <c r="F27" s="82" t="n"/>
      <c r="G27" s="82" t="n"/>
      <c r="H27" s="82" t="n"/>
      <c r="I27" s="82" t="n"/>
      <c r="J27" s="82" t="n"/>
      <c r="K27" s="82" t="n"/>
      <c r="L27" s="82" t="n"/>
      <c r="M27" s="82" t="n"/>
    </row>
    <row r="28">
      <c r="A28" s="82" t="n"/>
      <c r="B28" s="82" t="n"/>
      <c r="C28" s="82" t="n"/>
      <c r="D28" s="82" t="n"/>
      <c r="E28" s="82" t="n"/>
      <c r="F28" s="82" t="n"/>
      <c r="G28" s="82" t="n"/>
      <c r="H28" s="82" t="n"/>
      <c r="I28" s="82" t="n"/>
      <c r="J28" s="82" t="n"/>
      <c r="K28" s="82" t="n"/>
      <c r="L28" s="82" t="n"/>
      <c r="M28" s="82" t="n"/>
    </row>
    <row r="29">
      <c r="A29" s="82" t="n"/>
      <c r="B29" s="82" t="n"/>
      <c r="C29" s="82" t="n"/>
      <c r="D29" s="82" t="n"/>
      <c r="E29" s="82" t="n"/>
      <c r="F29" s="82" t="n"/>
      <c r="G29" s="82" t="n"/>
      <c r="H29" s="82" t="n"/>
      <c r="I29" s="82" t="n"/>
      <c r="J29" s="82" t="n"/>
      <c r="K29" s="82" t="n"/>
      <c r="L29" s="82" t="n"/>
      <c r="M29" s="82" t="n"/>
    </row>
    <row r="30">
      <c r="A30" s="82" t="n"/>
      <c r="B30" s="82" t="n"/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  <c r="M30" s="82" t="n"/>
    </row>
    <row r="31">
      <c r="A31" s="82" t="n"/>
      <c r="B31" s="82" t="n"/>
      <c r="C31" s="82" t="n"/>
      <c r="D31" s="82" t="n"/>
      <c r="E31" s="82" t="n"/>
      <c r="F31" s="82" t="n"/>
      <c r="G31" s="82" t="n"/>
      <c r="H31" s="82" t="n"/>
      <c r="I31" s="82" t="n"/>
      <c r="J31" s="82" t="n"/>
      <c r="K31" s="82" t="n"/>
      <c r="L31" s="82" t="n"/>
      <c r="M31" s="82" t="n"/>
    </row>
    <row r="32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  <c r="L32" s="82" t="n"/>
      <c r="M32" s="82" t="n"/>
    </row>
    <row r="33">
      <c r="A33" s="82" t="n"/>
      <c r="B33" s="82" t="n"/>
      <c r="C33" s="82" t="n"/>
      <c r="D33" s="82" t="n"/>
      <c r="E33" s="82" t="n"/>
      <c r="F33" s="82" t="n"/>
      <c r="G33" s="82" t="n"/>
      <c r="H33" s="82" t="n"/>
      <c r="I33" s="82" t="n"/>
      <c r="J33" s="82" t="n"/>
      <c r="K33" s="82" t="n"/>
      <c r="L33" s="82" t="n"/>
      <c r="M33" s="82" t="n"/>
    </row>
    <row r="34">
      <c r="A34" s="82" t="n"/>
      <c r="B34" s="82" t="n"/>
      <c r="C34" s="82" t="n"/>
      <c r="D34" s="82" t="n"/>
      <c r="E34" s="82" t="n"/>
      <c r="F34" s="82" t="n"/>
      <c r="G34" s="82" t="n"/>
      <c r="H34" s="82" t="n"/>
      <c r="I34" s="82" t="n"/>
      <c r="J34" s="82" t="n"/>
      <c r="K34" s="82" t="n"/>
      <c r="L34" s="82" t="n"/>
      <c r="M34" s="82" t="n"/>
    </row>
    <row r="35">
      <c r="A35" s="82" t="n"/>
      <c r="B35" s="82" t="n"/>
      <c r="C35" s="82" t="n"/>
      <c r="D35" s="82" t="n"/>
      <c r="E35" s="82" t="n"/>
      <c r="F35" s="82" t="n"/>
      <c r="G35" s="82" t="n"/>
      <c r="H35" s="82" t="n"/>
      <c r="I35" s="82" t="n"/>
      <c r="J35" s="82" t="n"/>
      <c r="K35" s="82" t="n"/>
      <c r="L35" s="82" t="n"/>
      <c r="M35" s="82" t="n"/>
    </row>
    <row r="36">
      <c r="A36" s="82" t="n"/>
      <c r="B36" s="82" t="n"/>
      <c r="C36" s="82" t="n"/>
      <c r="D36" s="82" t="n"/>
      <c r="E36" s="82" t="n"/>
      <c r="F36" s="82" t="n"/>
      <c r="G36" s="82" t="n"/>
      <c r="H36" s="82" t="n"/>
      <c r="I36" s="82" t="n"/>
      <c r="J36" s="82" t="n"/>
      <c r="K36" s="82" t="n"/>
      <c r="L36" s="82" t="n"/>
      <c r="M36" s="82" t="n"/>
    </row>
    <row r="37">
      <c r="A37" s="82" t="n"/>
      <c r="B37" s="82" t="n"/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  <c r="L37" s="82" t="n"/>
      <c r="M37" s="82" t="n"/>
    </row>
    <row r="38">
      <c r="A38" s="82" t="n"/>
      <c r="B38" s="82" t="n"/>
      <c r="C38" s="82" t="n"/>
      <c r="D38" s="82" t="n"/>
      <c r="E38" s="82" t="n"/>
      <c r="F38" s="82" t="n"/>
      <c r="G38" s="82" t="n"/>
      <c r="H38" s="82" t="n"/>
      <c r="I38" s="82" t="n"/>
      <c r="J38" s="82" t="n"/>
      <c r="K38" s="82" t="n"/>
      <c r="L38" s="82" t="n"/>
      <c r="M38" s="82" t="n"/>
    </row>
    <row r="39">
      <c r="A39" s="82" t="n"/>
      <c r="B39" s="82" t="n"/>
      <c r="C39" s="82" t="n"/>
      <c r="D39" s="82" t="n"/>
      <c r="E39" s="82" t="n"/>
      <c r="F39" s="82" t="n"/>
      <c r="G39" s="82" t="n"/>
      <c r="H39" s="82" t="n"/>
      <c r="I39" s="82" t="n"/>
      <c r="J39" s="82" t="n"/>
      <c r="K39" s="82" t="n"/>
      <c r="L39" s="82" t="n"/>
      <c r="M39" s="82" t="n"/>
    </row>
    <row r="40">
      <c r="A40" s="82" t="n"/>
      <c r="B40" s="82" t="n"/>
      <c r="C40" s="82" t="n"/>
      <c r="D40" s="82" t="n"/>
      <c r="E40" s="82" t="n"/>
      <c r="F40" s="82" t="n"/>
      <c r="G40" s="82" t="n"/>
      <c r="H40" s="82" t="n"/>
      <c r="I40" s="82" t="n"/>
      <c r="J40" s="82" t="n"/>
      <c r="K40" s="82" t="n"/>
      <c r="L40" s="82" t="n"/>
      <c r="M40" s="82" t="n"/>
    </row>
    <row r="41">
      <c r="A41" s="82" t="n"/>
      <c r="B41" s="82" t="n"/>
      <c r="C41" s="82" t="n"/>
      <c r="D41" s="82" t="n"/>
      <c r="E41" s="82" t="n"/>
      <c r="F41" s="82" t="n"/>
      <c r="G41" s="82" t="n"/>
      <c r="H41" s="82" t="n"/>
      <c r="I41" s="82" t="n"/>
      <c r="J41" s="82" t="n"/>
      <c r="K41" s="82" t="n"/>
      <c r="L41" s="82" t="n"/>
      <c r="M41" s="82" t="n"/>
    </row>
    <row r="42">
      <c r="A42" s="82" t="n"/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  <c r="L42" s="82" t="n"/>
      <c r="M42" s="82" t="n"/>
    </row>
    <row r="43">
      <c r="A43" s="82" t="n"/>
      <c r="B43" s="82" t="n"/>
      <c r="C43" s="82" t="n"/>
      <c r="D43" s="82" t="n"/>
      <c r="E43" s="82" t="n"/>
      <c r="F43" s="82" t="n"/>
      <c r="G43" s="82" t="n"/>
      <c r="H43" s="82" t="n"/>
      <c r="I43" s="82" t="n"/>
      <c r="J43" s="82" t="n"/>
      <c r="K43" s="82" t="n"/>
      <c r="L43" s="82" t="n"/>
      <c r="M43" s="82" t="n"/>
    </row>
    <row r="44">
      <c r="A44" s="82" t="n"/>
      <c r="B44" s="82" t="n"/>
      <c r="C44" s="82" t="n"/>
      <c r="D44" s="82" t="n"/>
      <c r="E44" s="82" t="n"/>
      <c r="F44" s="82" t="n"/>
      <c r="G44" s="82" t="n"/>
      <c r="H44" s="82" t="n"/>
      <c r="I44" s="82" t="n"/>
      <c r="J44" s="82" t="n"/>
      <c r="K44" s="82" t="n"/>
      <c r="L44" s="82" t="n"/>
      <c r="M44" s="82" t="n"/>
    </row>
    <row r="45">
      <c r="A45" s="82" t="n"/>
      <c r="B45" s="82" t="n"/>
      <c r="C45" s="82" t="n"/>
      <c r="D45" s="82" t="n"/>
      <c r="E45" s="82" t="n"/>
      <c r="F45" s="82" t="n"/>
      <c r="G45" s="82" t="n"/>
      <c r="H45" s="82" t="n"/>
      <c r="I45" s="82" t="n"/>
      <c r="J45" s="82" t="n"/>
      <c r="K45" s="82" t="n"/>
      <c r="L45" s="82" t="n"/>
      <c r="M45" s="82" t="n"/>
    </row>
    <row r="46">
      <c r="A46" s="82" t="n"/>
      <c r="B46" s="82" t="n"/>
      <c r="C46" s="82" t="n"/>
      <c r="D46" s="82" t="n"/>
      <c r="E46" s="82" t="n"/>
      <c r="F46" s="82" t="n"/>
      <c r="G46" s="82" t="n"/>
      <c r="H46" s="82" t="n"/>
      <c r="I46" s="82" t="n"/>
      <c r="J46" s="82" t="n"/>
      <c r="K46" s="82" t="n"/>
      <c r="L46" s="82" t="n"/>
      <c r="M46" s="82" t="n"/>
    </row>
    <row r="47">
      <c r="A47" s="82" t="n"/>
      <c r="B47" s="82" t="n"/>
      <c r="C47" s="82" t="n"/>
      <c r="D47" s="82" t="n"/>
      <c r="E47" s="82" t="n"/>
      <c r="F47" s="82" t="n"/>
      <c r="G47" s="82" t="n"/>
      <c r="H47" s="82" t="n"/>
      <c r="I47" s="82" t="n"/>
      <c r="J47" s="82" t="n"/>
      <c r="K47" s="82" t="n"/>
      <c r="L47" s="82" t="n"/>
      <c r="M47" s="82" t="n"/>
    </row>
    <row r="48">
      <c r="A48" s="82" t="n"/>
      <c r="B48" s="82" t="n"/>
      <c r="C48" s="82" t="n"/>
      <c r="D48" s="82" t="n"/>
      <c r="E48" s="82" t="n"/>
      <c r="F48" s="82" t="n"/>
      <c r="G48" s="82" t="n"/>
      <c r="H48" s="82" t="n"/>
      <c r="I48" s="82" t="n"/>
      <c r="J48" s="82" t="n"/>
      <c r="K48" s="82" t="n"/>
      <c r="L48" s="82" t="n"/>
      <c r="M48" s="82" t="n"/>
    </row>
    <row r="49">
      <c r="A49" s="82" t="n"/>
      <c r="B49" s="82" t="n"/>
      <c r="C49" s="82" t="n"/>
      <c r="D49" s="82" t="n"/>
      <c r="E49" s="82" t="n"/>
      <c r="F49" s="82" t="n"/>
      <c r="G49" s="82" t="n"/>
      <c r="H49" s="82" t="n"/>
      <c r="I49" s="82" t="n"/>
      <c r="J49" s="82" t="n"/>
      <c r="K49" s="82" t="n"/>
      <c r="L49" s="82" t="n"/>
      <c r="M49" s="82" t="n"/>
    </row>
    <row r="50">
      <c r="A50" s="82" t="n"/>
      <c r="B50" s="82" t="n"/>
      <c r="C50" s="82" t="n"/>
      <c r="D50" s="82" t="n"/>
      <c r="E50" s="82" t="n"/>
      <c r="F50" s="82" t="n"/>
      <c r="G50" s="82" t="n"/>
      <c r="H50" s="82" t="n"/>
      <c r="I50" s="82" t="n"/>
      <c r="J50" s="82" t="n"/>
      <c r="K50" s="82" t="n"/>
      <c r="L50" s="82" t="n"/>
      <c r="M50" s="82" t="n"/>
    </row>
    <row r="51">
      <c r="A51" s="82" t="n"/>
      <c r="B51" s="82" t="n"/>
      <c r="C51" s="82" t="n"/>
      <c r="D51" s="82" t="n"/>
      <c r="E51" s="82" t="n"/>
      <c r="F51" s="82" t="n"/>
      <c r="G51" s="82" t="n"/>
      <c r="H51" s="82" t="n"/>
      <c r="I51" s="82" t="n"/>
      <c r="J51" s="82" t="n"/>
      <c r="K51" s="82" t="n"/>
      <c r="L51" s="82" t="n"/>
      <c r="M51" s="82" t="n"/>
    </row>
    <row r="52">
      <c r="A52" s="82" t="n"/>
      <c r="B52" s="82" t="n"/>
      <c r="C52" s="82" t="n"/>
      <c r="D52" s="82" t="n"/>
      <c r="E52" s="82" t="n"/>
      <c r="F52" s="82" t="n"/>
      <c r="G52" s="82" t="n"/>
      <c r="H52" s="82" t="n"/>
      <c r="I52" s="82" t="n"/>
      <c r="J52" s="82" t="n"/>
      <c r="K52" s="82" t="n"/>
      <c r="L52" s="82" t="n"/>
      <c r="M52" s="82" t="n"/>
    </row>
    <row r="53">
      <c r="A53" s="82" t="n"/>
      <c r="B53" s="82" t="n"/>
      <c r="C53" s="82" t="n"/>
      <c r="D53" s="82" t="n"/>
      <c r="E53" s="82" t="n"/>
      <c r="F53" s="82" t="n"/>
      <c r="G53" s="82" t="n"/>
      <c r="H53" s="82" t="n"/>
      <c r="I53" s="82" t="n"/>
      <c r="J53" s="82" t="n"/>
      <c r="K53" s="82" t="n"/>
      <c r="L53" s="82" t="n"/>
      <c r="M53" s="82" t="n"/>
    </row>
    <row r="54">
      <c r="A54" s="82" t="n"/>
      <c r="B54" s="82" t="n"/>
      <c r="C54" s="82" t="n"/>
      <c r="D54" s="82" t="n"/>
      <c r="E54" s="82" t="n"/>
      <c r="F54" s="82" t="n"/>
      <c r="G54" s="82" t="n"/>
      <c r="H54" s="82" t="n"/>
      <c r="I54" s="82" t="n"/>
      <c r="J54" s="82" t="n"/>
      <c r="K54" s="82" t="n"/>
      <c r="L54" s="82" t="n"/>
      <c r="M54" s="82" t="n"/>
    </row>
    <row r="55">
      <c r="A55" s="82" t="n"/>
      <c r="B55" s="82" t="n"/>
      <c r="C55" s="82" t="n"/>
      <c r="D55" s="82" t="n"/>
      <c r="E55" s="82" t="n"/>
      <c r="F55" s="82" t="n"/>
      <c r="G55" s="82" t="n"/>
      <c r="H55" s="82" t="n"/>
      <c r="I55" s="82" t="n"/>
      <c r="J55" s="82" t="n"/>
      <c r="K55" s="82" t="n"/>
      <c r="L55" s="82" t="n"/>
      <c r="M55" s="82" t="n"/>
    </row>
    <row r="56">
      <c r="A56" s="82" t="n"/>
      <c r="B56" s="82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2" t="n"/>
      <c r="L56" s="82" t="n"/>
      <c r="M56" s="82" t="n"/>
    </row>
    <row r="57">
      <c r="A57" s="82" t="n"/>
      <c r="B57" s="82" t="n"/>
      <c r="C57" s="82" t="n"/>
      <c r="D57" s="82" t="n"/>
      <c r="E57" s="82" t="n"/>
      <c r="F57" s="82" t="n"/>
      <c r="G57" s="82" t="n"/>
      <c r="H57" s="82" t="n"/>
      <c r="I57" s="82" t="n"/>
      <c r="J57" s="82" t="n"/>
      <c r="K57" s="82" t="n"/>
      <c r="L57" s="82" t="n"/>
      <c r="M57" s="82" t="n"/>
    </row>
    <row r="58">
      <c r="A58" s="82" t="n"/>
      <c r="B58" s="82" t="n"/>
      <c r="C58" s="82" t="n"/>
      <c r="D58" s="82" t="n"/>
      <c r="E58" s="82" t="n"/>
      <c r="F58" s="82" t="n"/>
      <c r="G58" s="82" t="n"/>
      <c r="H58" s="82" t="n"/>
      <c r="I58" s="82" t="n"/>
      <c r="J58" s="82" t="n"/>
      <c r="K58" s="82" t="n"/>
      <c r="L58" s="82" t="n"/>
      <c r="M58" s="82" t="n"/>
    </row>
    <row r="59">
      <c r="A59" s="82" t="n"/>
      <c r="B59" s="82" t="n"/>
      <c r="C59" s="82" t="n"/>
      <c r="D59" s="82" t="n"/>
      <c r="E59" s="82" t="n"/>
      <c r="F59" s="82" t="n"/>
      <c r="G59" s="82" t="n"/>
      <c r="H59" s="82" t="n"/>
      <c r="I59" s="82" t="n"/>
      <c r="J59" s="82" t="n"/>
      <c r="K59" s="82" t="n"/>
      <c r="L59" s="82" t="n"/>
      <c r="M59" s="82" t="n"/>
    </row>
    <row r="60">
      <c r="A60" s="82" t="n"/>
      <c r="B60" s="82" t="n"/>
      <c r="C60" s="82" t="n"/>
      <c r="D60" s="82" t="n"/>
      <c r="E60" s="82" t="n"/>
      <c r="F60" s="82" t="n"/>
      <c r="G60" s="82" t="n"/>
      <c r="H60" s="82" t="n"/>
      <c r="I60" s="82" t="n"/>
      <c r="J60" s="82" t="n"/>
      <c r="K60" s="82" t="n"/>
      <c r="L60" s="82" t="n"/>
      <c r="M60" s="82" t="n"/>
    </row>
    <row r="61">
      <c r="A61" s="82" t="n"/>
      <c r="B61" s="82" t="n"/>
      <c r="C61" s="82" t="n"/>
      <c r="D61" s="82" t="n"/>
      <c r="E61" s="82" t="n"/>
      <c r="F61" s="82" t="n"/>
      <c r="G61" s="82" t="n"/>
      <c r="H61" s="82" t="n"/>
      <c r="I61" s="82" t="n"/>
      <c r="J61" s="82" t="n"/>
      <c r="K61" s="82" t="n"/>
      <c r="L61" s="82" t="n"/>
      <c r="M61" s="82" t="n"/>
    </row>
    <row r="62">
      <c r="A62" s="82" t="n"/>
      <c r="B62" s="82" t="n"/>
      <c r="C62" s="82" t="n"/>
      <c r="D62" s="82" t="n"/>
      <c r="E62" s="82" t="n"/>
      <c r="F62" s="82" t="n"/>
      <c r="G62" s="82" t="n"/>
      <c r="H62" s="82" t="n"/>
      <c r="I62" s="82" t="n"/>
      <c r="J62" s="82" t="n"/>
      <c r="K62" s="82" t="n"/>
      <c r="L62" s="82" t="n"/>
      <c r="M62" s="82" t="n"/>
    </row>
    <row r="63">
      <c r="A63" s="82" t="n"/>
      <c r="B63" s="82" t="n"/>
      <c r="C63" s="82" t="n"/>
      <c r="D63" s="82" t="n"/>
      <c r="E63" s="82" t="n"/>
      <c r="F63" s="82" t="n"/>
      <c r="G63" s="82" t="n"/>
      <c r="H63" s="82" t="n"/>
      <c r="I63" s="82" t="n"/>
      <c r="J63" s="82" t="n"/>
      <c r="K63" s="82" t="n"/>
      <c r="L63" s="82" t="n"/>
      <c r="M63" s="82" t="n"/>
    </row>
    <row r="64">
      <c r="A64" s="82" t="n"/>
      <c r="B64" s="82" t="n"/>
      <c r="C64" s="82" t="n"/>
      <c r="D64" s="82" t="n"/>
      <c r="E64" s="82" t="n"/>
      <c r="F64" s="82" t="n"/>
      <c r="G64" s="82" t="n"/>
      <c r="H64" s="82" t="n"/>
      <c r="I64" s="82" t="n"/>
      <c r="J64" s="82" t="n"/>
      <c r="K64" s="82" t="n"/>
      <c r="L64" s="82" t="n"/>
      <c r="M64" s="82" t="n"/>
    </row>
    <row r="65">
      <c r="A65" s="82" t="n"/>
      <c r="B65" s="82" t="n"/>
      <c r="C65" s="82" t="n"/>
      <c r="D65" s="82" t="n"/>
      <c r="E65" s="82" t="n"/>
      <c r="F65" s="82" t="n"/>
      <c r="G65" s="82" t="n"/>
      <c r="H65" s="82" t="n"/>
      <c r="I65" s="82" t="n"/>
      <c r="J65" s="82" t="n"/>
      <c r="K65" s="82" t="n"/>
      <c r="L65" s="82" t="n"/>
      <c r="M65" s="82" t="n"/>
    </row>
    <row r="66">
      <c r="A66" s="82" t="n"/>
      <c r="B66" s="82" t="n"/>
      <c r="C66" s="82" t="n"/>
      <c r="D66" s="82" t="n"/>
      <c r="E66" s="82" t="n"/>
      <c r="F66" s="82" t="n"/>
      <c r="G66" s="82" t="n"/>
      <c r="H66" s="82" t="n"/>
      <c r="I66" s="82" t="n"/>
      <c r="J66" s="82" t="n"/>
      <c r="K66" s="82" t="n"/>
      <c r="L66" s="82" t="n"/>
      <c r="M66" s="82" t="n"/>
    </row>
    <row r="67">
      <c r="A67" s="82" t="n"/>
      <c r="B67" s="82" t="n"/>
      <c r="C67" s="82" t="n"/>
      <c r="D67" s="82" t="n"/>
      <c r="E67" s="82" t="n"/>
      <c r="F67" s="82" t="n"/>
      <c r="G67" s="82" t="n"/>
      <c r="H67" s="82" t="n"/>
      <c r="I67" s="82" t="n"/>
      <c r="J67" s="82" t="n"/>
      <c r="K67" s="82" t="n"/>
      <c r="L67" s="82" t="n"/>
      <c r="M67" s="82" t="n"/>
    </row>
    <row r="68">
      <c r="A68" s="82" t="n"/>
      <c r="B68" s="82" t="n"/>
      <c r="C68" s="82" t="n"/>
      <c r="D68" s="82" t="n"/>
      <c r="E68" s="82" t="n"/>
      <c r="F68" s="82" t="n"/>
      <c r="G68" s="82" t="n"/>
      <c r="H68" s="82" t="n"/>
      <c r="I68" s="82" t="n"/>
      <c r="J68" s="82" t="n"/>
      <c r="K68" s="82" t="n"/>
      <c r="L68" s="82" t="n"/>
      <c r="M68" s="82" t="n"/>
    </row>
    <row r="69">
      <c r="A69" s="82" t="n"/>
      <c r="B69" s="82" t="n"/>
      <c r="C69" s="82" t="n"/>
      <c r="D69" s="82" t="n"/>
      <c r="E69" s="82" t="n"/>
      <c r="F69" s="82" t="n"/>
      <c r="G69" s="82" t="n"/>
      <c r="H69" s="82" t="n"/>
      <c r="I69" s="82" t="n"/>
      <c r="J69" s="82" t="n"/>
      <c r="K69" s="82" t="n"/>
      <c r="L69" s="82" t="n"/>
      <c r="M69" s="82" t="n"/>
    </row>
    <row r="70">
      <c r="A70" s="82" t="n"/>
      <c r="B70" s="82" t="n"/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</row>
    <row r="71">
      <c r="A71" s="82" t="n"/>
      <c r="B71" s="82" t="n"/>
      <c r="C71" s="82" t="n"/>
      <c r="D71" s="82" t="n"/>
      <c r="E71" s="82" t="n"/>
      <c r="F71" s="82" t="n"/>
      <c r="G71" s="82" t="n"/>
      <c r="H71" s="82" t="n"/>
      <c r="I71" s="82" t="n"/>
      <c r="J71" s="82" t="n"/>
      <c r="K71" s="82" t="n"/>
      <c r="L71" s="82" t="n"/>
      <c r="M71" s="82" t="n"/>
    </row>
    <row r="72">
      <c r="A72" s="82" t="n"/>
      <c r="B72" s="82" t="n"/>
      <c r="C72" s="82" t="n"/>
      <c r="D72" s="82" t="n"/>
      <c r="E72" s="82" t="n"/>
      <c r="F72" s="82" t="n"/>
      <c r="G72" s="82" t="n"/>
      <c r="H72" s="82" t="n"/>
      <c r="I72" s="82" t="n"/>
      <c r="J72" s="82" t="n"/>
      <c r="K72" s="82" t="n"/>
      <c r="L72" s="82" t="n"/>
      <c r="M72" s="82" t="n"/>
    </row>
    <row r="73">
      <c r="A73" s="82" t="n"/>
      <c r="B73" s="82" t="n"/>
      <c r="C73" s="82" t="n"/>
      <c r="D73" s="82" t="n"/>
      <c r="E73" s="82" t="n"/>
      <c r="F73" s="82" t="n"/>
      <c r="G73" s="82" t="n"/>
      <c r="H73" s="82" t="n"/>
      <c r="I73" s="82" t="n"/>
      <c r="J73" s="82" t="n"/>
      <c r="K73" s="82" t="n"/>
      <c r="L73" s="82" t="n"/>
      <c r="M73" s="82" t="n"/>
    </row>
    <row r="74">
      <c r="A74" s="82" t="n"/>
      <c r="B74" s="82" t="n"/>
      <c r="C74" s="82" t="n"/>
      <c r="D74" s="82" t="n"/>
      <c r="E74" s="82" t="n"/>
      <c r="F74" s="82" t="n"/>
      <c r="G74" s="82" t="n"/>
      <c r="H74" s="82" t="n"/>
      <c r="I74" s="82" t="n"/>
      <c r="J74" s="82" t="n"/>
      <c r="K74" s="82" t="n"/>
      <c r="L74" s="82" t="n"/>
      <c r="M74" s="82" t="n"/>
    </row>
    <row r="75">
      <c r="A75" s="82" t="n"/>
      <c r="B75" s="82" t="n"/>
      <c r="C75" s="82" t="n"/>
      <c r="D75" s="82" t="n"/>
      <c r="E75" s="82" t="n"/>
      <c r="F75" s="82" t="n"/>
      <c r="G75" s="82" t="n"/>
      <c r="H75" s="82" t="n"/>
      <c r="I75" s="82" t="n"/>
      <c r="J75" s="82" t="n"/>
      <c r="K75" s="82" t="n"/>
      <c r="L75" s="82" t="n"/>
      <c r="M75" s="82" t="n"/>
    </row>
    <row r="76">
      <c r="A76" s="82" t="n"/>
      <c r="B76" s="82" t="n"/>
      <c r="C76" s="82" t="n"/>
      <c r="D76" s="82" t="n"/>
      <c r="E76" s="82" t="n"/>
      <c r="F76" s="82" t="n"/>
      <c r="G76" s="82" t="n"/>
      <c r="H76" s="82" t="n"/>
      <c r="I76" s="82" t="n"/>
      <c r="J76" s="82" t="n"/>
      <c r="K76" s="82" t="n"/>
      <c r="L76" s="82" t="n"/>
      <c r="M76" s="82" t="n"/>
    </row>
    <row r="77">
      <c r="A77" s="82" t="n"/>
      <c r="B77" s="82" t="n"/>
      <c r="C77" s="82" t="n"/>
      <c r="D77" s="82" t="n"/>
      <c r="E77" s="82" t="n"/>
      <c r="F77" s="82" t="n"/>
      <c r="G77" s="82" t="n"/>
      <c r="H77" s="82" t="n"/>
      <c r="I77" s="82" t="n"/>
      <c r="J77" s="82" t="n"/>
      <c r="K77" s="82" t="n"/>
      <c r="L77" s="82" t="n"/>
      <c r="M77" s="82" t="n"/>
    </row>
    <row r="78">
      <c r="A78" s="82" t="n"/>
      <c r="B78" s="82" t="n"/>
      <c r="C78" s="82" t="n"/>
      <c r="D78" s="82" t="n"/>
      <c r="E78" s="82" t="n"/>
      <c r="F78" s="82" t="n"/>
      <c r="G78" s="82" t="n"/>
      <c r="H78" s="82" t="n"/>
      <c r="I78" s="82" t="n"/>
      <c r="J78" s="82" t="n"/>
      <c r="K78" s="82" t="n"/>
      <c r="L78" s="82" t="n"/>
      <c r="M78" s="82" t="n"/>
    </row>
    <row r="79">
      <c r="A79" s="82" t="n"/>
      <c r="B79" s="82" t="n"/>
      <c r="C79" s="82" t="n"/>
      <c r="D79" s="82" t="n"/>
      <c r="E79" s="82" t="n"/>
      <c r="F79" s="82" t="n"/>
      <c r="G79" s="82" t="n"/>
      <c r="H79" s="82" t="n"/>
      <c r="I79" s="82" t="n"/>
      <c r="J79" s="82" t="n"/>
      <c r="K79" s="82" t="n"/>
      <c r="L79" s="82" t="n"/>
      <c r="M79" s="82" t="n"/>
    </row>
    <row r="80">
      <c r="A80" s="82" t="n"/>
      <c r="B80" s="82" t="n"/>
      <c r="C80" s="82" t="n"/>
      <c r="D80" s="82" t="n"/>
      <c r="E80" s="82" t="n"/>
      <c r="F80" s="82" t="n"/>
      <c r="G80" s="82" t="n"/>
      <c r="H80" s="82" t="n"/>
      <c r="I80" s="82" t="n"/>
      <c r="J80" s="82" t="n"/>
      <c r="K80" s="82" t="n"/>
      <c r="L80" s="82" t="n"/>
      <c r="M80" s="82" t="n"/>
    </row>
    <row r="81">
      <c r="A81" s="82" t="n"/>
      <c r="B81" s="82" t="n"/>
      <c r="C81" s="82" t="n"/>
      <c r="D81" s="82" t="n"/>
      <c r="E81" s="82" t="n"/>
      <c r="F81" s="82" t="n"/>
      <c r="G81" s="82" t="n"/>
      <c r="H81" s="82" t="n"/>
      <c r="I81" s="82" t="n"/>
      <c r="J81" s="82" t="n"/>
      <c r="K81" s="82" t="n"/>
      <c r="L81" s="82" t="n"/>
      <c r="M81" s="82" t="n"/>
    </row>
    <row r="82">
      <c r="A82" s="82" t="n"/>
      <c r="B82" s="82" t="n"/>
      <c r="C82" s="82" t="n"/>
      <c r="D82" s="82" t="n"/>
      <c r="E82" s="82" t="n"/>
      <c r="F82" s="82" t="n"/>
      <c r="G82" s="82" t="n"/>
      <c r="H82" s="82" t="n"/>
      <c r="I82" s="82" t="n"/>
      <c r="J82" s="82" t="n"/>
      <c r="K82" s="82" t="n"/>
      <c r="L82" s="82" t="n"/>
      <c r="M82" s="82" t="n"/>
    </row>
    <row r="83">
      <c r="A83" s="82" t="n"/>
      <c r="B83" s="82" t="n"/>
      <c r="C83" s="82" t="n"/>
      <c r="D83" s="82" t="n"/>
      <c r="E83" s="82" t="n"/>
      <c r="F83" s="82" t="n"/>
      <c r="G83" s="82" t="n"/>
      <c r="H83" s="82" t="n"/>
      <c r="I83" s="82" t="n"/>
      <c r="J83" s="82" t="n"/>
      <c r="K83" s="82" t="n"/>
      <c r="L83" s="82" t="n"/>
      <c r="M83" s="82" t="n"/>
    </row>
    <row r="84">
      <c r="A84" s="82" t="n"/>
      <c r="B84" s="82" t="n"/>
      <c r="C84" s="82" t="n"/>
      <c r="D84" s="82" t="n"/>
      <c r="E84" s="82" t="n"/>
      <c r="F84" s="82" t="n"/>
      <c r="G84" s="82" t="n"/>
      <c r="H84" s="82" t="n"/>
      <c r="I84" s="82" t="n"/>
      <c r="J84" s="82" t="n"/>
      <c r="K84" s="82" t="n"/>
      <c r="L84" s="82" t="n"/>
      <c r="M84" s="82" t="n"/>
    </row>
    <row r="85">
      <c r="A85" s="82" t="n"/>
      <c r="B85" s="82" t="n"/>
      <c r="C85" s="82" t="n"/>
      <c r="D85" s="82" t="n"/>
      <c r="E85" s="82" t="n"/>
      <c r="F85" s="82" t="n"/>
      <c r="G85" s="82" t="n"/>
      <c r="H85" s="82" t="n"/>
      <c r="I85" s="82" t="n"/>
      <c r="J85" s="82" t="n"/>
      <c r="K85" s="82" t="n"/>
      <c r="L85" s="82" t="n"/>
      <c r="M85" s="82" t="n"/>
    </row>
    <row r="86">
      <c r="A86" s="82" t="n"/>
      <c r="B86" s="82" t="n"/>
      <c r="C86" s="82" t="n"/>
      <c r="D86" s="82" t="n"/>
      <c r="E86" s="82" t="n"/>
      <c r="F86" s="82" t="n"/>
      <c r="G86" s="82" t="n"/>
      <c r="H86" s="82" t="n"/>
      <c r="I86" s="82" t="n"/>
      <c r="J86" s="82" t="n"/>
      <c r="K86" s="82" t="n"/>
      <c r="L86" s="82" t="n"/>
      <c r="M86" s="82" t="n"/>
    </row>
    <row r="87">
      <c r="A87" s="82" t="n"/>
      <c r="B87" s="82" t="n"/>
      <c r="C87" s="82" t="n"/>
      <c r="D87" s="82" t="n"/>
      <c r="E87" s="82" t="n"/>
      <c r="F87" s="82" t="n"/>
      <c r="G87" s="82" t="n"/>
      <c r="H87" s="82" t="n"/>
      <c r="I87" s="82" t="n"/>
      <c r="J87" s="82" t="n"/>
      <c r="K87" s="82" t="n"/>
      <c r="L87" s="82" t="n"/>
      <c r="M87" s="82" t="n"/>
    </row>
    <row r="88">
      <c r="A88" s="82" t="n"/>
      <c r="B88" s="82" t="n"/>
      <c r="C88" s="82" t="n"/>
      <c r="D88" s="82" t="n"/>
      <c r="E88" s="82" t="n"/>
      <c r="F88" s="82" t="n"/>
      <c r="G88" s="82" t="n"/>
      <c r="H88" s="82" t="n"/>
      <c r="I88" s="82" t="n"/>
      <c r="J88" s="82" t="n"/>
      <c r="K88" s="82" t="n"/>
      <c r="L88" s="82" t="n"/>
      <c r="M88" s="82" t="n"/>
    </row>
    <row r="89">
      <c r="A89" s="82" t="n"/>
      <c r="B89" s="82" t="n"/>
      <c r="C89" s="82" t="n"/>
      <c r="D89" s="82" t="n"/>
      <c r="E89" s="82" t="n"/>
      <c r="F89" s="82" t="n"/>
      <c r="G89" s="82" t="n"/>
      <c r="H89" s="82" t="n"/>
      <c r="I89" s="82" t="n"/>
      <c r="J89" s="82" t="n"/>
      <c r="K89" s="82" t="n"/>
      <c r="L89" s="82" t="n"/>
      <c r="M89" s="82" t="n"/>
    </row>
    <row r="90">
      <c r="A90" s="82" t="n"/>
      <c r="B90" s="82" t="n"/>
      <c r="C90" s="82" t="n"/>
      <c r="D90" s="82" t="n"/>
      <c r="E90" s="82" t="n"/>
      <c r="F90" s="82" t="n"/>
      <c r="G90" s="82" t="n"/>
      <c r="H90" s="82" t="n"/>
      <c r="I90" s="82" t="n"/>
      <c r="J90" s="82" t="n"/>
      <c r="K90" s="82" t="n"/>
      <c r="L90" s="82" t="n"/>
      <c r="M90" s="82" t="n"/>
    </row>
    <row r="91">
      <c r="A91" s="82" t="n"/>
      <c r="B91" s="82" t="n"/>
      <c r="C91" s="82" t="n"/>
      <c r="D91" s="82" t="n"/>
      <c r="E91" s="82" t="n"/>
      <c r="F91" s="82" t="n"/>
      <c r="G91" s="82" t="n"/>
      <c r="H91" s="82" t="n"/>
      <c r="I91" s="82" t="n"/>
      <c r="J91" s="82" t="n"/>
      <c r="K91" s="82" t="n"/>
      <c r="L91" s="82" t="n"/>
      <c r="M91" s="82" t="n"/>
    </row>
    <row r="92">
      <c r="A92" s="82" t="n"/>
      <c r="B92" s="82" t="n"/>
      <c r="C92" s="82" t="n"/>
      <c r="D92" s="82" t="n"/>
      <c r="E92" s="82" t="n"/>
      <c r="F92" s="82" t="n"/>
      <c r="G92" s="82" t="n"/>
      <c r="H92" s="82" t="n"/>
      <c r="I92" s="82" t="n"/>
      <c r="J92" s="82" t="n"/>
      <c r="K92" s="82" t="n"/>
      <c r="L92" s="82" t="n"/>
      <c r="M92" s="82" t="n"/>
    </row>
    <row r="93">
      <c r="A93" s="82" t="n"/>
      <c r="B93" s="82" t="n"/>
      <c r="C93" s="82" t="n"/>
      <c r="D93" s="82" t="n"/>
      <c r="E93" s="82" t="n"/>
      <c r="F93" s="82" t="n"/>
      <c r="G93" s="82" t="n"/>
      <c r="H93" s="82" t="n"/>
      <c r="I93" s="82" t="n"/>
      <c r="J93" s="82" t="n"/>
      <c r="K93" s="82" t="n"/>
      <c r="L93" s="82" t="n"/>
      <c r="M93" s="82" t="n"/>
    </row>
    <row r="94">
      <c r="A94" s="82" t="n"/>
      <c r="B94" s="82" t="n"/>
      <c r="C94" s="82" t="n"/>
      <c r="D94" s="82" t="n"/>
      <c r="E94" s="82" t="n"/>
      <c r="F94" s="82" t="n"/>
      <c r="G94" s="82" t="n"/>
      <c r="H94" s="82" t="n"/>
      <c r="I94" s="82" t="n"/>
      <c r="J94" s="82" t="n"/>
      <c r="K94" s="82" t="n"/>
      <c r="L94" s="82" t="n"/>
      <c r="M94" s="82" t="n"/>
    </row>
    <row r="95">
      <c r="A95" s="82" t="n"/>
      <c r="B95" s="82" t="n"/>
      <c r="C95" s="82" t="n"/>
      <c r="D95" s="82" t="n"/>
      <c r="E95" s="82" t="n"/>
      <c r="F95" s="82" t="n"/>
      <c r="G95" s="82" t="n"/>
      <c r="H95" s="82" t="n"/>
      <c r="I95" s="82" t="n"/>
      <c r="J95" s="82" t="n"/>
      <c r="K95" s="82" t="n"/>
      <c r="L95" s="82" t="n"/>
      <c r="M95" s="82" t="n"/>
    </row>
    <row r="96">
      <c r="A96" s="82" t="n"/>
      <c r="B96" s="82" t="n"/>
      <c r="C96" s="82" t="n"/>
      <c r="D96" s="82" t="n"/>
      <c r="E96" s="82" t="n"/>
      <c r="F96" s="82" t="n"/>
      <c r="G96" s="82" t="n"/>
      <c r="H96" s="82" t="n"/>
      <c r="I96" s="82" t="n"/>
      <c r="J96" s="82" t="n"/>
      <c r="K96" s="82" t="n"/>
      <c r="L96" s="82" t="n"/>
      <c r="M96" s="82" t="n"/>
    </row>
    <row r="97">
      <c r="A97" s="82" t="n"/>
      <c r="B97" s="82" t="n"/>
      <c r="C97" s="82" t="n"/>
      <c r="D97" s="82" t="n"/>
      <c r="E97" s="82" t="n"/>
      <c r="F97" s="82" t="n"/>
      <c r="G97" s="82" t="n"/>
      <c r="H97" s="82" t="n"/>
      <c r="I97" s="82" t="n"/>
      <c r="J97" s="82" t="n"/>
      <c r="K97" s="82" t="n"/>
      <c r="L97" s="82" t="n"/>
      <c r="M97" s="82" t="n"/>
    </row>
    <row r="98">
      <c r="A98" s="82" t="n"/>
      <c r="B98" s="82" t="n"/>
      <c r="C98" s="82" t="n"/>
      <c r="D98" s="82" t="n"/>
      <c r="E98" s="82" t="n"/>
      <c r="F98" s="82" t="n"/>
      <c r="G98" s="82" t="n"/>
      <c r="H98" s="82" t="n"/>
      <c r="I98" s="82" t="n"/>
      <c r="J98" s="82" t="n"/>
      <c r="K98" s="82" t="n"/>
      <c r="L98" s="82" t="n"/>
      <c r="M98" s="82" t="n"/>
    </row>
    <row r="99">
      <c r="A99" s="82" t="n"/>
      <c r="B99" s="82" t="n"/>
      <c r="C99" s="82" t="n"/>
      <c r="D99" s="82" t="n"/>
      <c r="E99" s="82" t="n"/>
      <c r="F99" s="82" t="n"/>
      <c r="G99" s="82" t="n"/>
      <c r="H99" s="82" t="n"/>
      <c r="I99" s="82" t="n"/>
      <c r="J99" s="82" t="n"/>
      <c r="K99" s="82" t="n"/>
      <c r="L99" s="82" t="n"/>
      <c r="M99" s="82" t="n"/>
    </row>
    <row r="100">
      <c r="A100" s="82" t="n"/>
      <c r="B100" s="82" t="n"/>
      <c r="C100" s="82" t="n"/>
      <c r="D100" s="82" t="n"/>
      <c r="E100" s="82" t="n"/>
      <c r="F100" s="82" t="n"/>
      <c r="G100" s="82" t="n"/>
      <c r="H100" s="82" t="n"/>
      <c r="I100" s="82" t="n"/>
      <c r="J100" s="82" t="n"/>
      <c r="K100" s="82" t="n"/>
      <c r="L100" s="82" t="n"/>
      <c r="M100" s="82" t="n"/>
    </row>
    <row r="101">
      <c r="A101" s="82" t="n"/>
      <c r="B101" s="82" t="n"/>
      <c r="C101" s="82" t="n"/>
      <c r="D101" s="82" t="n"/>
      <c r="E101" s="82" t="n"/>
      <c r="F101" s="82" t="n"/>
      <c r="G101" s="82" t="n"/>
      <c r="H101" s="82" t="n"/>
      <c r="I101" s="82" t="n"/>
      <c r="J101" s="82" t="n"/>
      <c r="K101" s="82" t="n"/>
      <c r="L101" s="82" t="n"/>
      <c r="M101" s="82" t="n"/>
    </row>
    <row r="102">
      <c r="A102" s="82" t="n"/>
      <c r="B102" s="82" t="n"/>
      <c r="C102" s="82" t="n"/>
      <c r="D102" s="82" t="n"/>
      <c r="E102" s="82" t="n"/>
      <c r="F102" s="82" t="n"/>
      <c r="G102" s="82" t="n"/>
      <c r="H102" s="82" t="n"/>
      <c r="I102" s="82" t="n"/>
      <c r="J102" s="82" t="n"/>
      <c r="K102" s="82" t="n"/>
      <c r="L102" s="82" t="n"/>
      <c r="M102" s="82" t="n"/>
    </row>
    <row r="103">
      <c r="A103" s="82" t="n"/>
      <c r="B103" s="82" t="n"/>
      <c r="C103" s="82" t="n"/>
      <c r="D103" s="82" t="n"/>
      <c r="E103" s="82" t="n"/>
      <c r="F103" s="82" t="n"/>
      <c r="G103" s="82" t="n"/>
      <c r="H103" s="82" t="n"/>
      <c r="I103" s="82" t="n"/>
      <c r="J103" s="82" t="n"/>
      <c r="K103" s="82" t="n"/>
      <c r="L103" s="82" t="n"/>
      <c r="M103" s="82" t="n"/>
    </row>
    <row r="104">
      <c r="A104" s="82" t="n"/>
      <c r="B104" s="82" t="n"/>
      <c r="C104" s="82" t="n"/>
      <c r="D104" s="82" t="n"/>
      <c r="E104" s="82" t="n"/>
      <c r="F104" s="82" t="n"/>
      <c r="G104" s="82" t="n"/>
      <c r="H104" s="82" t="n"/>
      <c r="I104" s="82" t="n"/>
      <c r="J104" s="82" t="n"/>
      <c r="K104" s="82" t="n"/>
      <c r="L104" s="82" t="n"/>
      <c r="M104" s="82" t="n"/>
    </row>
    <row r="105">
      <c r="A105" s="82" t="n"/>
      <c r="B105" s="82" t="n"/>
      <c r="C105" s="82" t="n"/>
      <c r="D105" s="82" t="n"/>
      <c r="E105" s="82" t="n"/>
      <c r="F105" s="82" t="n"/>
      <c r="G105" s="82" t="n"/>
      <c r="H105" s="82" t="n"/>
      <c r="I105" s="82" t="n"/>
      <c r="J105" s="82" t="n"/>
      <c r="K105" s="82" t="n"/>
      <c r="L105" s="82" t="n"/>
      <c r="M105" s="82" t="n"/>
    </row>
    <row r="106">
      <c r="A106" s="82" t="n"/>
      <c r="B106" s="82" t="n"/>
      <c r="C106" s="82" t="n"/>
      <c r="D106" s="82" t="n"/>
      <c r="E106" s="82" t="n"/>
      <c r="F106" s="82" t="n"/>
      <c r="G106" s="82" t="n"/>
      <c r="H106" s="82" t="n"/>
      <c r="I106" s="82" t="n"/>
      <c r="J106" s="82" t="n"/>
      <c r="K106" s="82" t="n"/>
      <c r="L106" s="82" t="n"/>
      <c r="M106" s="82" t="n"/>
    </row>
    <row r="107">
      <c r="A107" s="82" t="n"/>
      <c r="B107" s="82" t="n"/>
      <c r="C107" s="82" t="n"/>
      <c r="D107" s="82" t="n"/>
      <c r="E107" s="82" t="n"/>
      <c r="F107" s="82" t="n"/>
      <c r="G107" s="82" t="n"/>
      <c r="H107" s="82" t="n"/>
      <c r="I107" s="82" t="n"/>
      <c r="J107" s="82" t="n"/>
      <c r="K107" s="82" t="n"/>
      <c r="L107" s="82" t="n"/>
      <c r="M107" s="82" t="n"/>
    </row>
    <row r="108">
      <c r="A108" s="82" t="n"/>
      <c r="B108" s="82" t="n"/>
      <c r="C108" s="82" t="n"/>
      <c r="D108" s="82" t="n"/>
      <c r="E108" s="82" t="n"/>
      <c r="F108" s="82" t="n"/>
      <c r="G108" s="82" t="n"/>
      <c r="H108" s="82" t="n"/>
      <c r="I108" s="82" t="n"/>
      <c r="J108" s="82" t="n"/>
      <c r="K108" s="82" t="n"/>
      <c r="L108" s="82" t="n"/>
      <c r="M108" s="82" t="n"/>
    </row>
    <row r="109">
      <c r="A109" s="82" t="n"/>
      <c r="B109" s="82" t="n"/>
      <c r="C109" s="82" t="n"/>
      <c r="D109" s="82" t="n"/>
      <c r="E109" s="82" t="n"/>
      <c r="F109" s="82" t="n"/>
      <c r="G109" s="82" t="n"/>
      <c r="H109" s="82" t="n"/>
      <c r="I109" s="82" t="n"/>
      <c r="J109" s="82" t="n"/>
      <c r="K109" s="82" t="n"/>
      <c r="L109" s="82" t="n"/>
      <c r="M109" s="82" t="n"/>
    </row>
    <row r="110">
      <c r="A110" s="82" t="n"/>
      <c r="B110" s="82" t="n"/>
      <c r="C110" s="82" t="n"/>
      <c r="D110" s="82" t="n"/>
      <c r="E110" s="82" t="n"/>
      <c r="F110" s="82" t="n"/>
      <c r="G110" s="82" t="n"/>
      <c r="H110" s="82" t="n"/>
      <c r="I110" s="82" t="n"/>
      <c r="J110" s="82" t="n"/>
      <c r="K110" s="82" t="n"/>
      <c r="L110" s="82" t="n"/>
      <c r="M110" s="82" t="n"/>
    </row>
    <row r="111">
      <c r="A111" s="82" t="n"/>
      <c r="B111" s="82" t="n"/>
      <c r="C111" s="82" t="n"/>
      <c r="D111" s="82" t="n"/>
      <c r="E111" s="82" t="n"/>
      <c r="F111" s="82" t="n"/>
      <c r="G111" s="82" t="n"/>
      <c r="H111" s="82" t="n"/>
      <c r="I111" s="82" t="n"/>
      <c r="J111" s="82" t="n"/>
      <c r="K111" s="82" t="n"/>
      <c r="L111" s="82" t="n"/>
      <c r="M111" s="82" t="n"/>
    </row>
    <row r="112">
      <c r="A112" s="82" t="n"/>
      <c r="B112" s="82" t="n"/>
      <c r="C112" s="82" t="n"/>
      <c r="D112" s="82" t="n"/>
      <c r="E112" s="82" t="n"/>
      <c r="F112" s="82" t="n"/>
      <c r="G112" s="82" t="n"/>
      <c r="H112" s="82" t="n"/>
      <c r="I112" s="82" t="n"/>
      <c r="J112" s="82" t="n"/>
      <c r="K112" s="82" t="n"/>
      <c r="L112" s="82" t="n"/>
      <c r="M112" s="82" t="n"/>
    </row>
    <row r="113">
      <c r="A113" s="82" t="n"/>
      <c r="B113" s="82" t="n"/>
      <c r="C113" s="82" t="n"/>
      <c r="D113" s="82" t="n"/>
      <c r="E113" s="82" t="n"/>
      <c r="F113" s="82" t="n"/>
      <c r="G113" s="82" t="n"/>
      <c r="H113" s="82" t="n"/>
      <c r="I113" s="82" t="n"/>
      <c r="J113" s="82" t="n"/>
      <c r="K113" s="82" t="n"/>
      <c r="L113" s="82" t="n"/>
      <c r="M113" s="82" t="n"/>
    </row>
    <row r="114">
      <c r="A114" s="82" t="n"/>
      <c r="B114" s="82" t="n"/>
      <c r="C114" s="82" t="n"/>
      <c r="D114" s="82" t="n"/>
      <c r="E114" s="82" t="n"/>
      <c r="F114" s="82" t="n"/>
      <c r="G114" s="82" t="n"/>
      <c r="H114" s="82" t="n"/>
      <c r="I114" s="82" t="n"/>
      <c r="J114" s="82" t="n"/>
      <c r="K114" s="82" t="n"/>
      <c r="L114" s="82" t="n"/>
      <c r="M114" s="82" t="n"/>
    </row>
    <row r="115">
      <c r="A115" s="82" t="n"/>
      <c r="B115" s="82" t="n"/>
      <c r="C115" s="82" t="n"/>
      <c r="D115" s="82" t="n"/>
      <c r="E115" s="82" t="n"/>
      <c r="F115" s="82" t="n"/>
      <c r="G115" s="82" t="n"/>
      <c r="H115" s="82" t="n"/>
      <c r="I115" s="82" t="n"/>
      <c r="J115" s="82" t="n"/>
      <c r="K115" s="82" t="n"/>
      <c r="L115" s="82" t="n"/>
      <c r="M115" s="82" t="n"/>
    </row>
    <row r="116">
      <c r="A116" s="82" t="n"/>
      <c r="B116" s="82" t="n"/>
      <c r="C116" s="82" t="n"/>
      <c r="D116" s="82" t="n"/>
      <c r="E116" s="82" t="n"/>
      <c r="F116" s="82" t="n"/>
      <c r="G116" s="82" t="n"/>
      <c r="H116" s="82" t="n"/>
      <c r="I116" s="82" t="n"/>
      <c r="J116" s="82" t="n"/>
      <c r="K116" s="82" t="n"/>
      <c r="L116" s="82" t="n"/>
      <c r="M116" s="82" t="n"/>
    </row>
    <row r="117">
      <c r="A117" s="82" t="n"/>
      <c r="B117" s="82" t="n"/>
      <c r="C117" s="82" t="n"/>
      <c r="D117" s="82" t="n"/>
      <c r="E117" s="82" t="n"/>
      <c r="F117" s="82" t="n"/>
      <c r="G117" s="82" t="n"/>
      <c r="H117" s="82" t="n"/>
      <c r="I117" s="82" t="n"/>
      <c r="J117" s="82" t="n"/>
      <c r="K117" s="82" t="n"/>
      <c r="L117" s="82" t="n"/>
      <c r="M117" s="82" t="n"/>
    </row>
    <row r="118">
      <c r="A118" s="82" t="n"/>
      <c r="B118" s="82" t="n"/>
      <c r="C118" s="82" t="n"/>
      <c r="D118" s="82" t="n"/>
      <c r="E118" s="82" t="n"/>
      <c r="F118" s="82" t="n"/>
      <c r="G118" s="82" t="n"/>
      <c r="H118" s="82" t="n"/>
      <c r="I118" s="82" t="n"/>
      <c r="J118" s="82" t="n"/>
      <c r="K118" s="82" t="n"/>
      <c r="L118" s="82" t="n"/>
      <c r="M118" s="82" t="n"/>
    </row>
    <row r="119">
      <c r="A119" s="82" t="n"/>
      <c r="B119" s="82" t="n"/>
      <c r="C119" s="82" t="n"/>
      <c r="D119" s="82" t="n"/>
      <c r="E119" s="82" t="n"/>
      <c r="F119" s="82" t="n"/>
      <c r="G119" s="82" t="n"/>
      <c r="H119" s="82" t="n"/>
      <c r="I119" s="82" t="n"/>
      <c r="J119" s="82" t="n"/>
      <c r="K119" s="82" t="n"/>
      <c r="L119" s="82" t="n"/>
      <c r="M119" s="82" t="n"/>
    </row>
    <row r="120">
      <c r="A120" s="82" t="n"/>
      <c r="B120" s="82" t="n"/>
      <c r="C120" s="82" t="n"/>
      <c r="D120" s="82" t="n"/>
      <c r="E120" s="82" t="n"/>
      <c r="F120" s="82" t="n"/>
      <c r="G120" s="82" t="n"/>
      <c r="H120" s="82" t="n"/>
      <c r="I120" s="82" t="n"/>
      <c r="J120" s="82" t="n"/>
      <c r="K120" s="82" t="n"/>
      <c r="L120" s="82" t="n"/>
      <c r="M120" s="82" t="n"/>
    </row>
    <row r="121">
      <c r="A121" s="82" t="n"/>
      <c r="B121" s="82" t="n"/>
      <c r="C121" s="82" t="n"/>
      <c r="D121" s="82" t="n"/>
      <c r="E121" s="82" t="n"/>
      <c r="F121" s="82" t="n"/>
      <c r="G121" s="82" t="n"/>
      <c r="H121" s="82" t="n"/>
      <c r="I121" s="82" t="n"/>
      <c r="J121" s="82" t="n"/>
      <c r="K121" s="82" t="n"/>
      <c r="L121" s="82" t="n"/>
      <c r="M121" s="82" t="n"/>
    </row>
    <row r="122">
      <c r="A122" s="82" t="n"/>
      <c r="B122" s="82" t="n"/>
      <c r="C122" s="82" t="n"/>
      <c r="D122" s="82" t="n"/>
      <c r="E122" s="82" t="n"/>
      <c r="F122" s="82" t="n"/>
      <c r="G122" s="82" t="n"/>
      <c r="H122" s="82" t="n"/>
      <c r="I122" s="82" t="n"/>
      <c r="J122" s="82" t="n"/>
      <c r="K122" s="82" t="n"/>
      <c r="L122" s="82" t="n"/>
      <c r="M122" s="82" t="n"/>
    </row>
    <row r="123">
      <c r="A123" s="82" t="n"/>
      <c r="B123" s="82" t="n"/>
      <c r="C123" s="82" t="n"/>
      <c r="D123" s="82" t="n"/>
      <c r="E123" s="82" t="n"/>
      <c r="F123" s="82" t="n"/>
      <c r="G123" s="82" t="n"/>
      <c r="H123" s="82" t="n"/>
      <c r="I123" s="82" t="n"/>
      <c r="J123" s="82" t="n"/>
      <c r="K123" s="82" t="n"/>
      <c r="L123" s="82" t="n"/>
      <c r="M123" s="82" t="n"/>
    </row>
    <row r="124">
      <c r="A124" s="82" t="n"/>
      <c r="B124" s="82" t="n"/>
      <c r="C124" s="82" t="n"/>
      <c r="D124" s="82" t="n"/>
      <c r="E124" s="82" t="n"/>
      <c r="F124" s="82" t="n"/>
      <c r="G124" s="82" t="n"/>
      <c r="H124" s="82" t="n"/>
      <c r="I124" s="82" t="n"/>
      <c r="J124" s="82" t="n"/>
      <c r="K124" s="82" t="n"/>
      <c r="L124" s="82" t="n"/>
      <c r="M124" s="82" t="n"/>
    </row>
    <row r="125">
      <c r="A125" s="82" t="n"/>
      <c r="B125" s="82" t="n"/>
      <c r="C125" s="82" t="n"/>
      <c r="D125" s="82" t="n"/>
      <c r="E125" s="82" t="n"/>
      <c r="F125" s="82" t="n"/>
      <c r="G125" s="82" t="n"/>
      <c r="H125" s="82" t="n"/>
      <c r="I125" s="82" t="n"/>
      <c r="J125" s="82" t="n"/>
      <c r="K125" s="82" t="n"/>
      <c r="L125" s="82" t="n"/>
      <c r="M125" s="82" t="n"/>
    </row>
    <row r="126">
      <c r="A126" s="82" t="n"/>
      <c r="B126" s="82" t="n"/>
      <c r="C126" s="82" t="n"/>
      <c r="D126" s="82" t="n"/>
      <c r="E126" s="82" t="n"/>
      <c r="F126" s="82" t="n"/>
      <c r="G126" s="82" t="n"/>
      <c r="H126" s="82" t="n"/>
      <c r="I126" s="82" t="n"/>
      <c r="J126" s="82" t="n"/>
      <c r="K126" s="82" t="n"/>
      <c r="L126" s="82" t="n"/>
      <c r="M126" s="82" t="n"/>
    </row>
    <row r="127">
      <c r="A127" s="82" t="n"/>
      <c r="B127" s="82" t="n"/>
      <c r="C127" s="82" t="n"/>
      <c r="D127" s="82" t="n"/>
      <c r="E127" s="82" t="n"/>
      <c r="F127" s="82" t="n"/>
      <c r="G127" s="82" t="n"/>
      <c r="H127" s="82" t="n"/>
      <c r="I127" s="82" t="n"/>
      <c r="J127" s="82" t="n"/>
      <c r="K127" s="82" t="n"/>
      <c r="L127" s="82" t="n"/>
      <c r="M127" s="82" t="n"/>
    </row>
    <row r="128">
      <c r="A128" s="82" t="n"/>
      <c r="B128" s="82" t="n"/>
      <c r="C128" s="82" t="n"/>
      <c r="D128" s="82" t="n"/>
      <c r="E128" s="82" t="n"/>
      <c r="F128" s="82" t="n"/>
      <c r="G128" s="82" t="n"/>
      <c r="H128" s="82" t="n"/>
      <c r="I128" s="82" t="n"/>
      <c r="J128" s="82" t="n"/>
      <c r="K128" s="82" t="n"/>
      <c r="L128" s="82" t="n"/>
      <c r="M128" s="82" t="n"/>
    </row>
    <row r="129">
      <c r="A129" s="82" t="n"/>
      <c r="B129" s="82" t="n"/>
      <c r="C129" s="82" t="n"/>
      <c r="D129" s="82" t="n"/>
      <c r="E129" s="82" t="n"/>
      <c r="F129" s="82" t="n"/>
      <c r="G129" s="82" t="n"/>
      <c r="H129" s="82" t="n"/>
      <c r="I129" s="82" t="n"/>
      <c r="J129" s="82" t="n"/>
      <c r="K129" s="82" t="n"/>
      <c r="L129" s="82" t="n"/>
      <c r="M129" s="82" t="n"/>
    </row>
    <row r="130">
      <c r="A130" s="82" t="n"/>
      <c r="B130" s="82" t="n"/>
      <c r="C130" s="82" t="n"/>
      <c r="D130" s="82" t="n"/>
      <c r="E130" s="82" t="n"/>
      <c r="F130" s="82" t="n"/>
      <c r="G130" s="82" t="n"/>
      <c r="H130" s="82" t="n"/>
      <c r="I130" s="82" t="n"/>
      <c r="J130" s="82" t="n"/>
      <c r="K130" s="82" t="n"/>
      <c r="L130" s="82" t="n"/>
      <c r="M130" s="82" t="n"/>
    </row>
    <row r="131">
      <c r="A131" s="82" t="n"/>
      <c r="B131" s="82" t="n"/>
      <c r="C131" s="82" t="n"/>
      <c r="D131" s="82" t="n"/>
      <c r="E131" s="82" t="n"/>
      <c r="F131" s="82" t="n"/>
      <c r="G131" s="82" t="n"/>
      <c r="H131" s="82" t="n"/>
      <c r="I131" s="82" t="n"/>
      <c r="J131" s="82" t="n"/>
      <c r="K131" s="82" t="n"/>
      <c r="L131" s="82" t="n"/>
      <c r="M131" s="82" t="n"/>
    </row>
    <row r="132">
      <c r="A132" s="82" t="n"/>
      <c r="B132" s="82" t="n"/>
      <c r="C132" s="82" t="n"/>
      <c r="D132" s="82" t="n"/>
      <c r="E132" s="82" t="n"/>
      <c r="F132" s="82" t="n"/>
      <c r="G132" s="82" t="n"/>
      <c r="H132" s="82" t="n"/>
      <c r="I132" s="82" t="n"/>
      <c r="J132" s="82" t="n"/>
      <c r="K132" s="82" t="n"/>
      <c r="L132" s="82" t="n"/>
      <c r="M132" s="82" t="n"/>
    </row>
    <row r="133">
      <c r="A133" s="82" t="n"/>
      <c r="B133" s="82" t="n"/>
      <c r="C133" s="82" t="n"/>
      <c r="D133" s="82" t="n"/>
      <c r="E133" s="82" t="n"/>
      <c r="F133" s="82" t="n"/>
      <c r="G133" s="82" t="n"/>
      <c r="H133" s="82" t="n"/>
      <c r="I133" s="82" t="n"/>
      <c r="J133" s="82" t="n"/>
      <c r="K133" s="82" t="n"/>
      <c r="L133" s="82" t="n"/>
      <c r="M133" s="82" t="n"/>
    </row>
    <row r="134">
      <c r="A134" s="82" t="n"/>
      <c r="B134" s="82" t="n"/>
      <c r="C134" s="82" t="n"/>
      <c r="D134" s="82" t="n"/>
      <c r="E134" s="82" t="n"/>
      <c r="F134" s="82" t="n"/>
      <c r="G134" s="82" t="n"/>
      <c r="H134" s="82" t="n"/>
      <c r="I134" s="82" t="n"/>
      <c r="J134" s="82" t="n"/>
      <c r="K134" s="82" t="n"/>
      <c r="L134" s="82" t="n"/>
      <c r="M134" s="82" t="n"/>
    </row>
    <row r="135">
      <c r="A135" s="82" t="n"/>
      <c r="B135" s="82" t="n"/>
      <c r="C135" s="82" t="n"/>
      <c r="D135" s="82" t="n"/>
      <c r="E135" s="82" t="n"/>
      <c r="F135" s="82" t="n"/>
      <c r="G135" s="82" t="n"/>
      <c r="H135" s="82" t="n"/>
      <c r="I135" s="82" t="n"/>
      <c r="J135" s="82" t="n"/>
      <c r="K135" s="82" t="n"/>
      <c r="L135" s="82" t="n"/>
      <c r="M135" s="82" t="n"/>
    </row>
    <row r="136">
      <c r="A136" s="82" t="n"/>
      <c r="B136" s="82" t="n"/>
      <c r="C136" s="82" t="n"/>
      <c r="D136" s="82" t="n"/>
      <c r="E136" s="82" t="n"/>
      <c r="F136" s="82" t="n"/>
      <c r="G136" s="82" t="n"/>
      <c r="H136" s="82" t="n"/>
      <c r="I136" s="82" t="n"/>
      <c r="J136" s="82" t="n"/>
      <c r="K136" s="82" t="n"/>
      <c r="L136" s="82" t="n"/>
      <c r="M136" s="82" t="n"/>
    </row>
    <row r="137">
      <c r="A137" s="82" t="n"/>
      <c r="B137" s="82" t="n"/>
      <c r="C137" s="82" t="n"/>
      <c r="D137" s="82" t="n"/>
      <c r="E137" s="82" t="n"/>
      <c r="F137" s="82" t="n"/>
      <c r="G137" s="82" t="n"/>
      <c r="H137" s="82" t="n"/>
      <c r="I137" s="82" t="n"/>
      <c r="J137" s="82" t="n"/>
      <c r="K137" s="82" t="n"/>
      <c r="L137" s="82" t="n"/>
      <c r="M137" s="82" t="n"/>
    </row>
    <row r="138">
      <c r="A138" s="82" t="n"/>
      <c r="B138" s="82" t="n"/>
      <c r="C138" s="82" t="n"/>
      <c r="D138" s="82" t="n"/>
      <c r="E138" s="82" t="n"/>
      <c r="F138" s="82" t="n"/>
      <c r="G138" s="82" t="n"/>
      <c r="H138" s="82" t="n"/>
      <c r="I138" s="82" t="n"/>
      <c r="J138" s="82" t="n"/>
      <c r="K138" s="82" t="n"/>
      <c r="L138" s="82" t="n"/>
      <c r="M138" s="82" t="n"/>
    </row>
    <row r="139">
      <c r="A139" s="82" t="n"/>
      <c r="B139" s="82" t="n"/>
      <c r="C139" s="82" t="n"/>
      <c r="D139" s="82" t="n"/>
      <c r="E139" s="82" t="n"/>
      <c r="F139" s="82" t="n"/>
      <c r="G139" s="82" t="n"/>
      <c r="H139" s="82" t="n"/>
      <c r="I139" s="82" t="n"/>
      <c r="J139" s="82" t="n"/>
      <c r="K139" s="82" t="n"/>
      <c r="L139" s="82" t="n"/>
      <c r="M139" s="82" t="n"/>
    </row>
    <row r="140">
      <c r="A140" s="82" t="n"/>
      <c r="B140" s="82" t="n"/>
      <c r="C140" s="82" t="n"/>
      <c r="D140" s="82" t="n"/>
      <c r="E140" s="82" t="n"/>
      <c r="F140" s="82" t="n"/>
      <c r="G140" s="82" t="n"/>
      <c r="H140" s="82" t="n"/>
      <c r="I140" s="82" t="n"/>
      <c r="J140" s="82" t="n"/>
      <c r="K140" s="82" t="n"/>
      <c r="L140" s="82" t="n"/>
      <c r="M140" s="82" t="n"/>
    </row>
    <row r="141">
      <c r="A141" s="82" t="n"/>
      <c r="B141" s="82" t="n"/>
      <c r="C141" s="82" t="n"/>
      <c r="D141" s="82" t="n"/>
      <c r="E141" s="82" t="n"/>
      <c r="F141" s="82" t="n"/>
      <c r="G141" s="82" t="n"/>
      <c r="H141" s="82" t="n"/>
      <c r="I141" s="82" t="n"/>
      <c r="J141" s="82" t="n"/>
      <c r="K141" s="82" t="n"/>
      <c r="L141" s="82" t="n"/>
      <c r="M141" s="82" t="n"/>
    </row>
    <row r="142">
      <c r="A142" s="82" t="n"/>
      <c r="B142" s="82" t="n"/>
      <c r="C142" s="82" t="n"/>
      <c r="D142" s="82" t="n"/>
      <c r="E142" s="82" t="n"/>
      <c r="F142" s="82" t="n"/>
      <c r="G142" s="82" t="n"/>
      <c r="H142" s="82" t="n"/>
      <c r="I142" s="82" t="n"/>
      <c r="J142" s="82" t="n"/>
      <c r="K142" s="82" t="n"/>
      <c r="L142" s="82" t="n"/>
      <c r="M142" s="82" t="n"/>
    </row>
    <row r="143">
      <c r="A143" s="82" t="n"/>
      <c r="B143" s="82" t="n"/>
      <c r="C143" s="82" t="n"/>
      <c r="D143" s="82" t="n"/>
      <c r="E143" s="82" t="n"/>
      <c r="F143" s="82" t="n"/>
      <c r="G143" s="82" t="n"/>
      <c r="H143" s="82" t="n"/>
      <c r="I143" s="82" t="n"/>
      <c r="J143" s="82" t="n"/>
      <c r="K143" s="82" t="n"/>
      <c r="L143" s="82" t="n"/>
      <c r="M143" s="82" t="n"/>
    </row>
    <row r="144">
      <c r="A144" s="82" t="n"/>
      <c r="B144" s="82" t="n"/>
      <c r="C144" s="82" t="n"/>
      <c r="D144" s="82" t="n"/>
      <c r="E144" s="82" t="n"/>
      <c r="F144" s="82" t="n"/>
      <c r="G144" s="82" t="n"/>
      <c r="H144" s="82" t="n"/>
      <c r="I144" s="82" t="n"/>
      <c r="J144" s="82" t="n"/>
      <c r="K144" s="82" t="n"/>
      <c r="L144" s="82" t="n"/>
      <c r="M144" s="82" t="n"/>
    </row>
    <row r="145">
      <c r="A145" s="82" t="n"/>
      <c r="B145" s="82" t="n"/>
      <c r="C145" s="82" t="n"/>
      <c r="D145" s="82" t="n"/>
      <c r="E145" s="82" t="n"/>
      <c r="F145" s="82" t="n"/>
      <c r="G145" s="82" t="n"/>
      <c r="H145" s="82" t="n"/>
      <c r="I145" s="82" t="n"/>
      <c r="J145" s="82" t="n"/>
      <c r="K145" s="82" t="n"/>
      <c r="L145" s="82" t="n"/>
      <c r="M145" s="82" t="n"/>
    </row>
    <row r="146">
      <c r="A146" s="82" t="n"/>
      <c r="B146" s="82" t="n"/>
      <c r="C146" s="82" t="n"/>
      <c r="D146" s="82" t="n"/>
      <c r="E146" s="82" t="n"/>
      <c r="F146" s="82" t="n"/>
      <c r="G146" s="82" t="n"/>
      <c r="H146" s="82" t="n"/>
      <c r="I146" s="82" t="n"/>
      <c r="J146" s="82" t="n"/>
      <c r="K146" s="82" t="n"/>
      <c r="L146" s="82" t="n"/>
      <c r="M146" s="82" t="n"/>
    </row>
    <row r="147">
      <c r="A147" s="82" t="n"/>
      <c r="B147" s="82" t="n"/>
      <c r="C147" s="82" t="n"/>
      <c r="D147" s="82" t="n"/>
      <c r="E147" s="82" t="n"/>
      <c r="F147" s="82" t="n"/>
      <c r="G147" s="82" t="n"/>
      <c r="H147" s="82" t="n"/>
      <c r="I147" s="82" t="n"/>
      <c r="J147" s="82" t="n"/>
      <c r="K147" s="82" t="n"/>
      <c r="L147" s="82" t="n"/>
      <c r="M147" s="82" t="n"/>
    </row>
    <row r="148">
      <c r="A148" s="82" t="n"/>
      <c r="B148" s="82" t="n"/>
      <c r="C148" s="82" t="n"/>
      <c r="D148" s="82" t="n"/>
      <c r="E148" s="82" t="n"/>
      <c r="F148" s="82" t="n"/>
      <c r="G148" s="82" t="n"/>
      <c r="H148" s="82" t="n"/>
      <c r="I148" s="82" t="n"/>
      <c r="J148" s="82" t="n"/>
      <c r="K148" s="82" t="n"/>
      <c r="L148" s="82" t="n"/>
      <c r="M148" s="82" t="n"/>
    </row>
    <row r="149">
      <c r="A149" s="82" t="n"/>
      <c r="B149" s="82" t="n"/>
      <c r="C149" s="82" t="n"/>
      <c r="D149" s="82" t="n"/>
      <c r="E149" s="82" t="n"/>
      <c r="F149" s="82" t="n"/>
      <c r="G149" s="82" t="n"/>
      <c r="H149" s="82" t="n"/>
      <c r="I149" s="82" t="n"/>
      <c r="J149" s="82" t="n"/>
      <c r="K149" s="82" t="n"/>
      <c r="L149" s="82" t="n"/>
      <c r="M149" s="82" t="n"/>
    </row>
    <row r="150">
      <c r="A150" s="82" t="n"/>
      <c r="B150" s="82" t="n"/>
      <c r="C150" s="82" t="n"/>
      <c r="D150" s="82" t="n"/>
      <c r="E150" s="82" t="n"/>
      <c r="F150" s="82" t="n"/>
      <c r="G150" s="82" t="n"/>
      <c r="H150" s="82" t="n"/>
      <c r="I150" s="82" t="n"/>
      <c r="J150" s="82" t="n"/>
      <c r="K150" s="82" t="n"/>
      <c r="L150" s="82" t="n"/>
      <c r="M150" s="82" t="n"/>
    </row>
    <row r="151">
      <c r="A151" s="82" t="n"/>
      <c r="B151" s="82" t="n"/>
      <c r="C151" s="82" t="n"/>
      <c r="D151" s="82" t="n"/>
      <c r="E151" s="82" t="n"/>
      <c r="F151" s="82" t="n"/>
      <c r="G151" s="82" t="n"/>
      <c r="H151" s="82" t="n"/>
      <c r="I151" s="82" t="n"/>
      <c r="J151" s="82" t="n"/>
      <c r="K151" s="82" t="n"/>
      <c r="L151" s="82" t="n"/>
      <c r="M151" s="82" t="n"/>
    </row>
    <row r="152">
      <c r="A152" s="82" t="n"/>
      <c r="B152" s="82" t="n"/>
      <c r="C152" s="82" t="n"/>
      <c r="D152" s="82" t="n"/>
      <c r="E152" s="82" t="n"/>
      <c r="F152" s="82" t="n"/>
      <c r="G152" s="82" t="n"/>
      <c r="H152" s="82" t="n"/>
      <c r="I152" s="82" t="n"/>
      <c r="J152" s="82" t="n"/>
      <c r="K152" s="82" t="n"/>
      <c r="L152" s="82" t="n"/>
      <c r="M152" s="82" t="n"/>
    </row>
    <row r="153">
      <c r="A153" s="82" t="n"/>
      <c r="B153" s="82" t="n"/>
      <c r="C153" s="82" t="n"/>
      <c r="D153" s="82" t="n"/>
      <c r="E153" s="82" t="n"/>
      <c r="F153" s="82" t="n"/>
      <c r="G153" s="82" t="n"/>
      <c r="H153" s="82" t="n"/>
      <c r="I153" s="82" t="n"/>
      <c r="J153" s="82" t="n"/>
      <c r="K153" s="82" t="n"/>
      <c r="L153" s="82" t="n"/>
      <c r="M153" s="82" t="n"/>
    </row>
    <row r="154">
      <c r="A154" s="82" t="n"/>
      <c r="B154" s="82" t="n"/>
      <c r="C154" s="82" t="n"/>
      <c r="D154" s="82" t="n"/>
      <c r="E154" s="82" t="n"/>
      <c r="F154" s="82" t="n"/>
      <c r="G154" s="82" t="n"/>
      <c r="H154" s="82" t="n"/>
      <c r="I154" s="82" t="n"/>
      <c r="J154" s="82" t="n"/>
      <c r="K154" s="82" t="n"/>
      <c r="L154" s="82" t="n"/>
      <c r="M154" s="82" t="n"/>
    </row>
    <row r="155">
      <c r="A155" s="82" t="n"/>
      <c r="B155" s="82" t="n"/>
      <c r="C155" s="82" t="n"/>
      <c r="D155" s="82" t="n"/>
      <c r="E155" s="82" t="n"/>
      <c r="F155" s="82" t="n"/>
      <c r="G155" s="82" t="n"/>
      <c r="H155" s="82" t="n"/>
      <c r="I155" s="82" t="n"/>
      <c r="J155" s="82" t="n"/>
      <c r="K155" s="82" t="n"/>
      <c r="L155" s="82" t="n"/>
      <c r="M155" s="82" t="n"/>
    </row>
    <row r="156">
      <c r="A156" s="82" t="n"/>
      <c r="B156" s="82" t="n"/>
      <c r="C156" s="82" t="n"/>
      <c r="D156" s="82" t="n"/>
      <c r="E156" s="82" t="n"/>
      <c r="F156" s="82" t="n"/>
      <c r="G156" s="82" t="n"/>
      <c r="H156" s="82" t="n"/>
      <c r="I156" s="82" t="n"/>
      <c r="J156" s="82" t="n"/>
      <c r="K156" s="82" t="n"/>
      <c r="L156" s="82" t="n"/>
      <c r="M156" s="82" t="n"/>
    </row>
    <row r="157">
      <c r="A157" s="82" t="n"/>
      <c r="B157" s="82" t="n"/>
      <c r="C157" s="82" t="n"/>
      <c r="D157" s="82" t="n"/>
      <c r="E157" s="82" t="n"/>
      <c r="F157" s="82" t="n"/>
      <c r="G157" s="82" t="n"/>
      <c r="H157" s="82" t="n"/>
      <c r="I157" s="82" t="n"/>
      <c r="J157" s="82" t="n"/>
      <c r="K157" s="82" t="n"/>
      <c r="L157" s="82" t="n"/>
      <c r="M157" s="82" t="n"/>
    </row>
    <row r="158">
      <c r="A158" s="82" t="n"/>
      <c r="B158" s="82" t="n"/>
      <c r="C158" s="82" t="n"/>
      <c r="D158" s="82" t="n"/>
      <c r="E158" s="82" t="n"/>
      <c r="F158" s="82" t="n"/>
      <c r="G158" s="82" t="n"/>
      <c r="H158" s="82" t="n"/>
      <c r="I158" s="82" t="n"/>
      <c r="J158" s="82" t="n"/>
      <c r="K158" s="82" t="n"/>
      <c r="L158" s="82" t="n"/>
      <c r="M158" s="82" t="n"/>
    </row>
    <row r="159">
      <c r="A159" s="82" t="n"/>
      <c r="B159" s="82" t="n"/>
      <c r="C159" s="82" t="n"/>
      <c r="D159" s="82" t="n"/>
      <c r="E159" s="82" t="n"/>
      <c r="F159" s="82" t="n"/>
      <c r="G159" s="82" t="n"/>
      <c r="H159" s="82" t="n"/>
      <c r="I159" s="82" t="n"/>
      <c r="J159" s="82" t="n"/>
      <c r="K159" s="82" t="n"/>
      <c r="L159" s="82" t="n"/>
      <c r="M159" s="82" t="n"/>
    </row>
    <row r="160">
      <c r="A160" s="82" t="n"/>
      <c r="B160" s="82" t="n"/>
      <c r="C160" s="82" t="n"/>
      <c r="D160" s="82" t="n"/>
      <c r="E160" s="82" t="n"/>
      <c r="F160" s="82" t="n"/>
      <c r="G160" s="82" t="n"/>
      <c r="H160" s="82" t="n"/>
      <c r="I160" s="82" t="n"/>
      <c r="J160" s="82" t="n"/>
      <c r="K160" s="82" t="n"/>
      <c r="L160" s="82" t="n"/>
      <c r="M160" s="82" t="n"/>
    </row>
    <row r="161">
      <c r="A161" s="82" t="n"/>
      <c r="B161" s="82" t="n"/>
      <c r="C161" s="82" t="n"/>
      <c r="D161" s="82" t="n"/>
      <c r="E161" s="82" t="n"/>
      <c r="F161" s="82" t="n"/>
      <c r="G161" s="82" t="n"/>
      <c r="H161" s="82" t="n"/>
      <c r="I161" s="82" t="n"/>
      <c r="J161" s="82" t="n"/>
      <c r="K161" s="82" t="n"/>
      <c r="L161" s="82" t="n"/>
      <c r="M161" s="82" t="n"/>
    </row>
    <row r="162">
      <c r="A162" s="82" t="n"/>
      <c r="B162" s="82" t="n"/>
      <c r="C162" s="82" t="n"/>
      <c r="D162" s="82" t="n"/>
      <c r="E162" s="82" t="n"/>
      <c r="F162" s="82" t="n"/>
      <c r="G162" s="82" t="n"/>
      <c r="H162" s="82" t="n"/>
      <c r="I162" s="82" t="n"/>
      <c r="J162" s="82" t="n"/>
      <c r="K162" s="82" t="n"/>
      <c r="L162" s="82" t="n"/>
      <c r="M162" s="82" t="n"/>
    </row>
    <row r="163">
      <c r="A163" s="82" t="n"/>
      <c r="B163" s="82" t="n"/>
      <c r="C163" s="82" t="n"/>
      <c r="D163" s="82" t="n"/>
      <c r="E163" s="82" t="n"/>
      <c r="F163" s="82" t="n"/>
      <c r="G163" s="82" t="n"/>
      <c r="H163" s="82" t="n"/>
      <c r="I163" s="82" t="n"/>
      <c r="J163" s="82" t="n"/>
      <c r="K163" s="82" t="n"/>
      <c r="L163" s="82" t="n"/>
      <c r="M163" s="82" t="n"/>
    </row>
    <row r="164">
      <c r="A164" s="82" t="n"/>
      <c r="B164" s="82" t="n"/>
      <c r="C164" s="82" t="n"/>
      <c r="D164" s="82" t="n"/>
      <c r="E164" s="82" t="n"/>
      <c r="F164" s="82" t="n"/>
      <c r="G164" s="82" t="n"/>
      <c r="H164" s="82" t="n"/>
      <c r="I164" s="82" t="n"/>
      <c r="J164" s="82" t="n"/>
      <c r="K164" s="82" t="n"/>
      <c r="L164" s="82" t="n"/>
      <c r="M164" s="82" t="n"/>
    </row>
    <row r="165">
      <c r="A165" s="82" t="n"/>
      <c r="B165" s="82" t="n"/>
      <c r="C165" s="82" t="n"/>
      <c r="D165" s="82" t="n"/>
      <c r="E165" s="82" t="n"/>
      <c r="F165" s="82" t="n"/>
      <c r="G165" s="82" t="n"/>
      <c r="H165" s="82" t="n"/>
      <c r="I165" s="82" t="n"/>
      <c r="J165" s="82" t="n"/>
      <c r="K165" s="82" t="n"/>
      <c r="L165" s="82" t="n"/>
      <c r="M165" s="82" t="n"/>
    </row>
    <row r="166">
      <c r="A166" s="82" t="n"/>
      <c r="B166" s="82" t="n"/>
      <c r="C166" s="82" t="n"/>
      <c r="D166" s="82" t="n"/>
      <c r="E166" s="82" t="n"/>
      <c r="F166" s="82" t="n"/>
      <c r="G166" s="82" t="n"/>
      <c r="H166" s="82" t="n"/>
      <c r="I166" s="82" t="n"/>
      <c r="J166" s="82" t="n"/>
      <c r="K166" s="82" t="n"/>
      <c r="L166" s="82" t="n"/>
      <c r="M166" s="82" t="n"/>
    </row>
    <row r="167">
      <c r="A167" s="82" t="n"/>
      <c r="B167" s="82" t="n"/>
      <c r="C167" s="82" t="n"/>
      <c r="D167" s="82" t="n"/>
      <c r="E167" s="82" t="n"/>
      <c r="F167" s="82" t="n"/>
      <c r="G167" s="82" t="n"/>
      <c r="H167" s="82" t="n"/>
      <c r="I167" s="82" t="n"/>
      <c r="J167" s="82" t="n"/>
      <c r="K167" s="82" t="n"/>
      <c r="L167" s="82" t="n"/>
      <c r="M167" s="82" t="n"/>
    </row>
    <row r="168">
      <c r="A168" s="82" t="n"/>
      <c r="B168" s="82" t="n"/>
      <c r="C168" s="82" t="n"/>
      <c r="D168" s="82" t="n"/>
      <c r="E168" s="82" t="n"/>
      <c r="F168" s="82" t="n"/>
      <c r="G168" s="82" t="n"/>
      <c r="H168" s="82" t="n"/>
      <c r="I168" s="82" t="n"/>
      <c r="J168" s="82" t="n"/>
      <c r="K168" s="82" t="n"/>
      <c r="L168" s="82" t="n"/>
      <c r="M168" s="82" t="n"/>
    </row>
    <row r="169">
      <c r="A169" s="82" t="n"/>
      <c r="B169" s="82" t="n"/>
      <c r="C169" s="82" t="n"/>
      <c r="D169" s="82" t="n"/>
      <c r="E169" s="82" t="n"/>
      <c r="F169" s="82" t="n"/>
      <c r="G169" s="82" t="n"/>
      <c r="H169" s="82" t="n"/>
      <c r="I169" s="82" t="n"/>
      <c r="J169" s="82" t="n"/>
      <c r="K169" s="82" t="n"/>
      <c r="L169" s="82" t="n"/>
      <c r="M169" s="82" t="n"/>
    </row>
    <row r="170">
      <c r="A170" s="82" t="n"/>
      <c r="B170" s="82" t="n"/>
      <c r="C170" s="82" t="n"/>
      <c r="D170" s="82" t="n"/>
      <c r="E170" s="82" t="n"/>
      <c r="F170" s="82" t="n"/>
      <c r="G170" s="82" t="n"/>
      <c r="H170" s="82" t="n"/>
      <c r="I170" s="82" t="n"/>
      <c r="J170" s="82" t="n"/>
      <c r="K170" s="82" t="n"/>
      <c r="L170" s="82" t="n"/>
      <c r="M170" s="82" t="n"/>
    </row>
    <row r="171">
      <c r="A171" s="82" t="n"/>
      <c r="B171" s="82" t="n"/>
      <c r="C171" s="82" t="n"/>
      <c r="D171" s="82" t="n"/>
      <c r="E171" s="82" t="n"/>
      <c r="F171" s="82" t="n"/>
      <c r="G171" s="82" t="n"/>
      <c r="H171" s="82" t="n"/>
      <c r="I171" s="82" t="n"/>
      <c r="J171" s="82" t="n"/>
      <c r="K171" s="82" t="n"/>
      <c r="L171" s="82" t="n"/>
      <c r="M171" s="82" t="n"/>
    </row>
    <row r="172">
      <c r="A172" s="82" t="n"/>
      <c r="B172" s="82" t="n"/>
      <c r="C172" s="82" t="n"/>
      <c r="D172" s="82" t="n"/>
      <c r="E172" s="82" t="n"/>
      <c r="F172" s="82" t="n"/>
      <c r="G172" s="82" t="n"/>
      <c r="H172" s="82" t="n"/>
      <c r="I172" s="82" t="n"/>
      <c r="J172" s="82" t="n"/>
      <c r="K172" s="82" t="n"/>
      <c r="L172" s="82" t="n"/>
      <c r="M172" s="82" t="n"/>
    </row>
    <row r="173">
      <c r="A173" s="82" t="n"/>
      <c r="B173" s="82" t="n"/>
      <c r="C173" s="82" t="n"/>
      <c r="D173" s="82" t="n"/>
      <c r="E173" s="82" t="n"/>
      <c r="F173" s="82" t="n"/>
      <c r="G173" s="82" t="n"/>
      <c r="H173" s="82" t="n"/>
      <c r="I173" s="82" t="n"/>
      <c r="J173" s="82" t="n"/>
      <c r="K173" s="82" t="n"/>
      <c r="L173" s="82" t="n"/>
      <c r="M173" s="82" t="n"/>
    </row>
    <row r="174">
      <c r="A174" s="82" t="n"/>
      <c r="B174" s="82" t="n"/>
      <c r="C174" s="82" t="n"/>
      <c r="D174" s="82" t="n"/>
      <c r="E174" s="82" t="n"/>
      <c r="F174" s="82" t="n"/>
      <c r="G174" s="82" t="n"/>
      <c r="H174" s="82" t="n"/>
      <c r="I174" s="82" t="n"/>
      <c r="J174" s="82" t="n"/>
      <c r="K174" s="82" t="n"/>
      <c r="L174" s="82" t="n"/>
      <c r="M174" s="82" t="n"/>
    </row>
    <row r="175">
      <c r="A175" s="82" t="n"/>
      <c r="B175" s="82" t="n"/>
      <c r="C175" s="82" t="n"/>
      <c r="D175" s="82" t="n"/>
      <c r="E175" s="82" t="n"/>
      <c r="F175" s="82" t="n"/>
      <c r="G175" s="82" t="n"/>
      <c r="H175" s="82" t="n"/>
      <c r="I175" s="82" t="n"/>
      <c r="J175" s="82" t="n"/>
      <c r="K175" s="82" t="n"/>
      <c r="L175" s="82" t="n"/>
      <c r="M175" s="82" t="n"/>
    </row>
    <row r="176">
      <c r="A176" s="82" t="n"/>
      <c r="B176" s="82" t="n"/>
      <c r="C176" s="82" t="n"/>
      <c r="D176" s="82" t="n"/>
      <c r="E176" s="82" t="n"/>
      <c r="F176" s="82" t="n"/>
      <c r="G176" s="82" t="n"/>
      <c r="H176" s="82" t="n"/>
      <c r="I176" s="82" t="n"/>
      <c r="J176" s="82" t="n"/>
      <c r="K176" s="82" t="n"/>
      <c r="L176" s="82" t="n"/>
      <c r="M176" s="82" t="n"/>
    </row>
    <row r="177">
      <c r="A177" s="82" t="n"/>
      <c r="B177" s="82" t="n"/>
      <c r="C177" s="82" t="n"/>
      <c r="D177" s="82" t="n"/>
      <c r="E177" s="82" t="n"/>
      <c r="F177" s="82" t="n"/>
      <c r="G177" s="82" t="n"/>
      <c r="H177" s="82" t="n"/>
      <c r="I177" s="82" t="n"/>
      <c r="J177" s="82" t="n"/>
      <c r="K177" s="82" t="n"/>
      <c r="L177" s="82" t="n"/>
      <c r="M177" s="82" t="n"/>
    </row>
    <row r="178">
      <c r="A178" s="82" t="n"/>
      <c r="B178" s="82" t="n"/>
      <c r="C178" s="82" t="n"/>
      <c r="D178" s="82" t="n"/>
      <c r="E178" s="82" t="n"/>
      <c r="F178" s="82" t="n"/>
      <c r="G178" s="82" t="n"/>
      <c r="H178" s="82" t="n"/>
      <c r="I178" s="82" t="n"/>
      <c r="J178" s="82" t="n"/>
      <c r="K178" s="82" t="n"/>
      <c r="L178" s="82" t="n"/>
      <c r="M178" s="82" t="n"/>
    </row>
    <row r="179">
      <c r="A179" s="82" t="n"/>
      <c r="B179" s="82" t="n"/>
      <c r="C179" s="82" t="n"/>
      <c r="D179" s="82" t="n"/>
      <c r="E179" s="82" t="n"/>
      <c r="F179" s="82" t="n"/>
      <c r="G179" s="82" t="n"/>
      <c r="H179" s="82" t="n"/>
      <c r="I179" s="82" t="n"/>
      <c r="J179" s="82" t="n"/>
      <c r="K179" s="82" t="n"/>
      <c r="L179" s="82" t="n"/>
      <c r="M179" s="82" t="n"/>
    </row>
    <row r="180">
      <c r="A180" s="82" t="n"/>
      <c r="B180" s="82" t="n"/>
      <c r="C180" s="82" t="n"/>
      <c r="D180" s="82" t="n"/>
      <c r="E180" s="82" t="n"/>
      <c r="F180" s="82" t="n"/>
      <c r="G180" s="82" t="n"/>
      <c r="H180" s="82" t="n"/>
      <c r="I180" s="82" t="n"/>
      <c r="J180" s="82" t="n"/>
      <c r="K180" s="82" t="n"/>
      <c r="L180" s="82" t="n"/>
      <c r="M180" s="82" t="n"/>
    </row>
    <row r="181">
      <c r="A181" s="82" t="n"/>
      <c r="B181" s="82" t="n"/>
      <c r="C181" s="82" t="n"/>
      <c r="D181" s="82" t="n"/>
      <c r="E181" s="82" t="n"/>
      <c r="F181" s="82" t="n"/>
      <c r="G181" s="82" t="n"/>
      <c r="H181" s="82" t="n"/>
      <c r="I181" s="82" t="n"/>
      <c r="J181" s="82" t="n"/>
      <c r="K181" s="82" t="n"/>
      <c r="L181" s="82" t="n"/>
      <c r="M181" s="82" t="n"/>
    </row>
    <row r="182">
      <c r="A182" s="82" t="n"/>
      <c r="B182" s="82" t="n"/>
      <c r="C182" s="82" t="n"/>
      <c r="D182" s="82" t="n"/>
      <c r="E182" s="82" t="n"/>
      <c r="F182" s="82" t="n"/>
      <c r="G182" s="82" t="n"/>
      <c r="H182" s="82" t="n"/>
      <c r="I182" s="82" t="n"/>
      <c r="J182" s="82" t="n"/>
      <c r="K182" s="82" t="n"/>
      <c r="L182" s="82" t="n"/>
      <c r="M182" s="82" t="n"/>
    </row>
    <row r="183">
      <c r="A183" s="82" t="n"/>
      <c r="B183" s="82" t="n"/>
      <c r="C183" s="82" t="n"/>
      <c r="D183" s="82" t="n"/>
      <c r="E183" s="82" t="n"/>
      <c r="F183" s="82" t="n"/>
      <c r="G183" s="82" t="n"/>
      <c r="H183" s="82" t="n"/>
      <c r="I183" s="82" t="n"/>
      <c r="J183" s="82" t="n"/>
      <c r="K183" s="82" t="n"/>
      <c r="L183" s="82" t="n"/>
      <c r="M183" s="82" t="n"/>
    </row>
    <row r="184">
      <c r="A184" s="82" t="n"/>
      <c r="B184" s="82" t="n"/>
      <c r="C184" s="82" t="n"/>
      <c r="D184" s="82" t="n"/>
      <c r="E184" s="82" t="n"/>
      <c r="F184" s="82" t="n"/>
      <c r="G184" s="82" t="n"/>
      <c r="H184" s="82" t="n"/>
      <c r="I184" s="82" t="n"/>
      <c r="J184" s="82" t="n"/>
      <c r="K184" s="82" t="n"/>
      <c r="L184" s="82" t="n"/>
      <c r="M184" s="82" t="n"/>
    </row>
    <row r="185">
      <c r="A185" s="82" t="n"/>
      <c r="B185" s="82" t="n"/>
      <c r="C185" s="82" t="n"/>
      <c r="D185" s="82" t="n"/>
      <c r="E185" s="82" t="n"/>
      <c r="F185" s="82" t="n"/>
      <c r="G185" s="82" t="n"/>
      <c r="H185" s="82" t="n"/>
      <c r="I185" s="82" t="n"/>
      <c r="J185" s="82" t="n"/>
      <c r="K185" s="82" t="n"/>
      <c r="L185" s="82" t="n"/>
      <c r="M185" s="82" t="n"/>
    </row>
    <row r="186">
      <c r="A186" s="82" t="n"/>
      <c r="B186" s="82" t="n"/>
      <c r="C186" s="82" t="n"/>
      <c r="D186" s="82" t="n"/>
      <c r="E186" s="82" t="n"/>
      <c r="F186" s="82" t="n"/>
      <c r="G186" s="82" t="n"/>
      <c r="H186" s="82" t="n"/>
      <c r="I186" s="82" t="n"/>
      <c r="J186" s="82" t="n"/>
      <c r="K186" s="82" t="n"/>
      <c r="L186" s="82" t="n"/>
      <c r="M186" s="82" t="n"/>
    </row>
    <row r="187">
      <c r="A187" s="82" t="n"/>
      <c r="B187" s="82" t="n"/>
      <c r="C187" s="82" t="n"/>
      <c r="D187" s="82" t="n"/>
      <c r="E187" s="82" t="n"/>
      <c r="F187" s="82" t="n"/>
      <c r="G187" s="82" t="n"/>
      <c r="H187" s="82" t="n"/>
      <c r="I187" s="82" t="n"/>
      <c r="J187" s="82" t="n"/>
      <c r="K187" s="82" t="n"/>
      <c r="L187" s="82" t="n"/>
      <c r="M187" s="82" t="n"/>
    </row>
    <row r="188">
      <c r="A188" s="82" t="n"/>
      <c r="B188" s="82" t="n"/>
      <c r="C188" s="82" t="n"/>
      <c r="D188" s="82" t="n"/>
      <c r="E188" s="82" t="n"/>
      <c r="F188" s="82" t="n"/>
      <c r="G188" s="82" t="n"/>
      <c r="H188" s="82" t="n"/>
      <c r="I188" s="82" t="n"/>
      <c r="J188" s="82" t="n"/>
      <c r="K188" s="82" t="n"/>
      <c r="L188" s="82" t="n"/>
      <c r="M188" s="82" t="n"/>
    </row>
    <row r="189">
      <c r="A189" s="82" t="n"/>
      <c r="B189" s="82" t="n"/>
      <c r="C189" s="82" t="n"/>
      <c r="D189" s="82" t="n"/>
      <c r="E189" s="82" t="n"/>
      <c r="F189" s="82" t="n"/>
      <c r="G189" s="82" t="n"/>
      <c r="H189" s="82" t="n"/>
      <c r="I189" s="82" t="n"/>
      <c r="J189" s="82" t="n"/>
      <c r="K189" s="82" t="n"/>
      <c r="L189" s="82" t="n"/>
      <c r="M189" s="82" t="n"/>
    </row>
    <row r="190">
      <c r="A190" s="82" t="n"/>
      <c r="B190" s="82" t="n"/>
      <c r="C190" s="82" t="n"/>
      <c r="D190" s="82" t="n"/>
      <c r="E190" s="82" t="n"/>
      <c r="F190" s="82" t="n"/>
      <c r="G190" s="82" t="n"/>
      <c r="H190" s="82" t="n"/>
      <c r="I190" s="82" t="n"/>
      <c r="J190" s="82" t="n"/>
      <c r="K190" s="82" t="n"/>
      <c r="L190" s="82" t="n"/>
      <c r="M190" s="82" t="n"/>
    </row>
    <row r="191">
      <c r="A191" s="82" t="n"/>
      <c r="B191" s="82" t="n"/>
      <c r="C191" s="82" t="n"/>
      <c r="D191" s="82" t="n"/>
      <c r="E191" s="82" t="n"/>
      <c r="F191" s="82" t="n"/>
      <c r="G191" s="82" t="n"/>
      <c r="H191" s="82" t="n"/>
      <c r="I191" s="82" t="n"/>
      <c r="J191" s="82" t="n"/>
      <c r="K191" s="82" t="n"/>
      <c r="L191" s="82" t="n"/>
      <c r="M191" s="82" t="n"/>
    </row>
    <row r="192">
      <c r="A192" s="82" t="n"/>
      <c r="B192" s="82" t="n"/>
      <c r="C192" s="82" t="n"/>
      <c r="D192" s="82" t="n"/>
      <c r="E192" s="82" t="n"/>
      <c r="F192" s="82" t="n"/>
      <c r="G192" s="82" t="n"/>
      <c r="H192" s="82" t="n"/>
      <c r="I192" s="82" t="n"/>
      <c r="J192" s="82" t="n"/>
      <c r="K192" s="82" t="n"/>
      <c r="L192" s="82" t="n"/>
      <c r="M192" s="82" t="n"/>
    </row>
    <row r="193">
      <c r="A193" s="82" t="n"/>
      <c r="B193" s="82" t="n"/>
      <c r="C193" s="82" t="n"/>
      <c r="D193" s="82" t="n"/>
      <c r="E193" s="82" t="n"/>
      <c r="F193" s="82" t="n"/>
      <c r="G193" s="82" t="n"/>
      <c r="H193" s="82" t="n"/>
      <c r="I193" s="82" t="n"/>
      <c r="J193" s="82" t="n"/>
      <c r="K193" s="82" t="n"/>
      <c r="L193" s="82" t="n"/>
      <c r="M193" s="82" t="n"/>
    </row>
    <row r="194">
      <c r="A194" s="82" t="n"/>
      <c r="B194" s="82" t="n"/>
      <c r="C194" s="82" t="n"/>
      <c r="D194" s="82" t="n"/>
      <c r="E194" s="82" t="n"/>
      <c r="F194" s="82" t="n"/>
      <c r="G194" s="82" t="n"/>
      <c r="H194" s="82" t="n"/>
      <c r="I194" s="82" t="n"/>
      <c r="J194" s="82" t="n"/>
      <c r="K194" s="82" t="n"/>
      <c r="L194" s="82" t="n"/>
      <c r="M194" s="82" t="n"/>
    </row>
    <row r="195">
      <c r="A195" s="82" t="n"/>
      <c r="B195" s="82" t="n"/>
      <c r="C195" s="82" t="n"/>
      <c r="D195" s="82" t="n"/>
      <c r="E195" s="82" t="n"/>
      <c r="F195" s="82" t="n"/>
      <c r="G195" s="82" t="n"/>
      <c r="H195" s="82" t="n"/>
      <c r="I195" s="82" t="n"/>
      <c r="J195" s="82" t="n"/>
      <c r="K195" s="82" t="n"/>
      <c r="L195" s="82" t="n"/>
      <c r="M195" s="82" t="n"/>
    </row>
    <row r="196">
      <c r="A196" s="82" t="n"/>
      <c r="B196" s="82" t="n"/>
      <c r="C196" s="82" t="n"/>
      <c r="D196" s="82" t="n"/>
      <c r="E196" s="82" t="n"/>
      <c r="F196" s="82" t="n"/>
      <c r="G196" s="82" t="n"/>
      <c r="H196" s="82" t="n"/>
      <c r="I196" s="82" t="n"/>
      <c r="J196" s="82" t="n"/>
      <c r="K196" s="82" t="n"/>
      <c r="L196" s="82" t="n"/>
      <c r="M196" s="82" t="n"/>
    </row>
    <row r="197">
      <c r="A197" s="82" t="n"/>
      <c r="B197" s="82" t="n"/>
      <c r="C197" s="82" t="n"/>
      <c r="D197" s="82" t="n"/>
      <c r="E197" s="82" t="n"/>
      <c r="F197" s="82" t="n"/>
      <c r="G197" s="82" t="n"/>
      <c r="H197" s="82" t="n"/>
      <c r="I197" s="82" t="n"/>
      <c r="J197" s="82" t="n"/>
      <c r="K197" s="82" t="n"/>
      <c r="L197" s="82" t="n"/>
      <c r="M197" s="82" t="n"/>
    </row>
    <row r="198">
      <c r="A198" s="82" t="n"/>
      <c r="B198" s="82" t="n"/>
      <c r="C198" s="82" t="n"/>
      <c r="D198" s="82" t="n"/>
      <c r="E198" s="82" t="n"/>
      <c r="F198" s="82" t="n"/>
      <c r="G198" s="82" t="n"/>
      <c r="H198" s="82" t="n"/>
      <c r="I198" s="82" t="n"/>
      <c r="J198" s="82" t="n"/>
      <c r="K198" s="82" t="n"/>
      <c r="L198" s="82" t="n"/>
      <c r="M198" s="82" t="n"/>
    </row>
    <row r="199">
      <c r="A199" s="82" t="n"/>
      <c r="B199" s="82" t="n"/>
      <c r="C199" s="82" t="n"/>
      <c r="D199" s="82" t="n"/>
      <c r="E199" s="82" t="n"/>
      <c r="F199" s="82" t="n"/>
      <c r="G199" s="82" t="n"/>
      <c r="H199" s="82" t="n"/>
      <c r="I199" s="82" t="n"/>
      <c r="J199" s="82" t="n"/>
      <c r="K199" s="82" t="n"/>
      <c r="L199" s="82" t="n"/>
      <c r="M199" s="82" t="n"/>
    </row>
    <row r="200">
      <c r="A200" s="82" t="n"/>
      <c r="B200" s="82" t="n"/>
      <c r="C200" s="82" t="n"/>
      <c r="D200" s="82" t="n"/>
      <c r="E200" s="82" t="n"/>
      <c r="F200" s="82" t="n"/>
      <c r="G200" s="82" t="n"/>
      <c r="H200" s="82" t="n"/>
      <c r="I200" s="82" t="n"/>
      <c r="J200" s="82" t="n"/>
      <c r="K200" s="82" t="n"/>
      <c r="L200" s="82" t="n"/>
      <c r="M200" s="82" t="n"/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autoFilter ref="A4:M17"/>
  <mergeCells count="2">
    <mergeCell ref="A2:M2"/>
    <mergeCell ref="A1:M1"/>
  </mergeCells>
  <dataValidations count="2">
    <dataValidation sqref="D5:D80" showDropDown="0" showInputMessage="0" showErrorMessage="1" allowBlank="1" errorTitle="Invalid value" error="Pick a value from the list." type="list">
      <formula1>=Design_Item</formula1>
    </dataValidation>
    <dataValidation sqref="F5:F80" showDropDown="0" showInputMessage="0" showErrorMessage="1" allowBlank="1" errorTitle="Invalid value" error="Pick a value from the list." type="list">
      <formula1>=Design_Style</formula1>
    </dataValidation>
  </dataValidations>
  <pageMargins left="0.4" right="0.4" top="0.6" bottom="0.5" header="0.25" footer="0.25"/>
  <pageSetup orientation="landscape" paperSize="3" fitToHeight="0" fitToWidth="1"/>
  <headerFooter>
    <oddHeader>&amp;LNovality Store  ·  Home Renovation System&amp;RDesign Studio</oddHeader>
    <oddFooter>&amp;LConfidential  ·  Digital twin of the home&amp;RPage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A6B73"/>
    <outlinePr summaryBelow="1" summaryRight="1"/>
    <pageSetUpPr fitToPage="1"/>
  </sheetPr>
  <dimension ref="A1:K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56" customWidth="1" min="7" max="7"/>
    <col width="64" customWidth="1" min="8" max="8"/>
    <col width="14" customWidth="1" min="9" max="9"/>
    <col width="14" customWidth="1" min="10" max="10"/>
    <col width="36" customWidth="1" min="11" max="11"/>
  </cols>
  <sheetData>
    <row r="1" ht="28" customHeight="1">
      <c r="A1" s="1" t="inlineStr">
        <is>
          <t>AI INSIGHTS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8" customHeight="1">
      <c r="A2" s="3" t="inlineStr">
        <is>
          <t>Renovation assistant  ·  budget, materials, schedule, contractor comparison, photo analysis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 ht="22" customHeight="1">
      <c r="A4" s="66" t="inlineStr">
        <is>
          <t>Insight ID</t>
        </is>
      </c>
      <c r="B4" s="66" t="inlineStr">
        <is>
          <t>Date</t>
        </is>
      </c>
      <c r="C4" s="66" t="inlineStr">
        <is>
          <t>Project ID</t>
        </is>
      </c>
      <c r="D4" s="66" t="inlineStr">
        <is>
          <t>Room ID</t>
        </is>
      </c>
      <c r="E4" s="66" t="inlineStr">
        <is>
          <t>Category</t>
        </is>
      </c>
      <c r="F4" s="66" t="inlineStr">
        <is>
          <t>Severity</t>
        </is>
      </c>
      <c r="G4" s="66" t="inlineStr">
        <is>
          <t>Insight</t>
        </is>
      </c>
      <c r="H4" s="66" t="inlineStr">
        <is>
          <t>Recommendation</t>
        </is>
      </c>
      <c r="I4" s="66" t="inlineStr">
        <is>
          <t>Est. Impact $</t>
        </is>
      </c>
      <c r="J4" s="66" t="inlineStr">
        <is>
          <t>Status</t>
        </is>
      </c>
      <c r="K4" s="66" t="inlineStr">
        <is>
          <t>Action Taken</t>
        </is>
      </c>
    </row>
    <row r="5" ht="18" customHeight="1">
      <c r="A5" s="67" t="inlineStr">
        <is>
          <t>AI-001</t>
        </is>
      </c>
      <c r="B5" s="70" t="n">
        <v>46254</v>
      </c>
      <c r="C5" s="67" t="inlineStr">
        <is>
          <t>PRJ-001</t>
        </is>
      </c>
      <c r="D5" s="67" t="inlineStr">
        <is>
          <t>RM-01</t>
        </is>
      </c>
      <c r="E5" s="68" t="inlineStr">
        <is>
          <t>Budget</t>
        </is>
      </c>
      <c r="F5" s="68" t="inlineStr">
        <is>
          <t>Warning</t>
        </is>
      </c>
      <c r="G5" s="68" t="inlineStr">
        <is>
          <t>Kitchen renovation is currently 12% over the planned budget.</t>
        </is>
      </c>
      <c r="H5" s="67" t="inlineStr">
        <is>
          <t>Switch remaining stone from marble to porcelain slab on the island only; keep quartz on perimeter.</t>
        </is>
      </c>
      <c r="I5" s="71" t="n">
        <v>2100</v>
      </c>
      <c r="J5" s="67" t="inlineStr">
        <is>
          <t>Accepted</t>
        </is>
      </c>
      <c r="K5" s="68" t="inlineStr">
        <is>
          <t>Quote requested from Heritage Tile</t>
        </is>
      </c>
    </row>
    <row r="6" ht="18" customHeight="1">
      <c r="A6" s="75" t="inlineStr">
        <is>
          <t>AI-002</t>
        </is>
      </c>
      <c r="B6" s="78" t="n">
        <v>46252</v>
      </c>
      <c r="C6" s="75" t="inlineStr">
        <is>
          <t>PRJ-001</t>
        </is>
      </c>
      <c r="D6" s="75" t="inlineStr">
        <is>
          <t>RM-03</t>
        </is>
      </c>
      <c r="E6" s="76" t="inlineStr">
        <is>
          <t>Materials</t>
        </is>
      </c>
      <c r="F6" s="76" t="inlineStr">
        <is>
          <t>Opportunity</t>
        </is>
      </c>
      <c r="G6" s="76" t="inlineStr">
        <is>
          <t>Porcelain tile alternative identified for primary bath floor.</t>
        </is>
      </c>
      <c r="H6" s="75" t="inlineStr">
        <is>
          <t>Heritage porcelain (SKU HT-8841) matches the approved palette and saves ~18% versus marble.</t>
        </is>
      </c>
      <c r="I6" s="79" t="n">
        <v>1640</v>
      </c>
      <c r="J6" s="75" t="inlineStr">
        <is>
          <t>Resolved</t>
        </is>
      </c>
      <c r="K6" s="76" t="inlineStr">
        <is>
          <t>Material swapped. Installed.</t>
        </is>
      </c>
    </row>
    <row r="7" ht="18" customHeight="1">
      <c r="A7" s="67" t="inlineStr">
        <is>
          <t>AI-003</t>
        </is>
      </c>
      <c r="B7" s="70" t="n">
        <v>46256</v>
      </c>
      <c r="C7" s="67" t="inlineStr">
        <is>
          <t>PRJ-001</t>
        </is>
      </c>
      <c r="D7" s="67" t="inlineStr">
        <is>
          <t>RM-01</t>
        </is>
      </c>
      <c r="E7" s="68" t="inlineStr">
        <is>
          <t>Schedule</t>
        </is>
      </c>
      <c r="F7" s="68" t="inlineStr">
        <is>
          <t>Warning</t>
        </is>
      </c>
      <c r="G7" s="68" t="inlineStr">
        <is>
          <t>Cabinet installation is on the critical path and hardware is still in transit.</t>
        </is>
      </c>
      <c r="H7" s="67" t="inlineStr">
        <is>
          <t>Confirm hardware ETA. If later than Aug 27, install doors without pulls and return for hardware day.</t>
        </is>
      </c>
      <c r="I7" s="71" t="n">
        <v>0</v>
      </c>
      <c r="J7" s="67" t="inlineStr">
        <is>
          <t>In Progress</t>
        </is>
      </c>
      <c r="K7" s="68" t="inlineStr">
        <is>
          <t>Maya tracking shipment</t>
        </is>
      </c>
    </row>
    <row r="8" ht="18" customHeight="1">
      <c r="A8" s="75" t="inlineStr">
        <is>
          <t>AI-004</t>
        </is>
      </c>
      <c r="B8" s="78" t="n">
        <v>46249</v>
      </c>
      <c r="C8" s="75" t="inlineStr">
        <is>
          <t>PRJ-001</t>
        </is>
      </c>
      <c r="D8" s="75" t="inlineStr"/>
      <c r="E8" s="76" t="inlineStr">
        <is>
          <t>Contractor</t>
        </is>
      </c>
      <c r="F8" s="76" t="inlineStr">
        <is>
          <t>Info</t>
        </is>
      </c>
      <c r="G8" s="76" t="inlineStr">
        <is>
          <t>Three lighting bids received. Spread is 22%.</t>
        </is>
      </c>
      <c r="H8" s="75" t="inlineStr">
        <is>
          <t>BrightPath is mid-price with the highest communication score. Accept unless value-engineering fixtures.</t>
        </is>
      </c>
      <c r="I8" s="79" t="n">
        <v>340</v>
      </c>
      <c r="J8" s="75" t="inlineStr">
        <is>
          <t>Accepted</t>
        </is>
      </c>
      <c r="K8" s="76" t="inlineStr">
        <is>
          <t>BrightPath awarded</t>
        </is>
      </c>
    </row>
    <row r="9" ht="18" customHeight="1">
      <c r="A9" s="67" t="inlineStr">
        <is>
          <t>AI-005</t>
        </is>
      </c>
      <c r="B9" s="70" t="n">
        <v>46257</v>
      </c>
      <c r="C9" s="67" t="inlineStr">
        <is>
          <t>PRJ-001</t>
        </is>
      </c>
      <c r="D9" s="67" t="inlineStr">
        <is>
          <t>RM-06</t>
        </is>
      </c>
      <c r="E9" s="68" t="inlineStr">
        <is>
          <t>Risk</t>
        </is>
      </c>
      <c r="F9" s="68" t="inlineStr">
        <is>
          <t>Critical</t>
        </is>
      </c>
      <c r="G9" s="68" t="inlineStr">
        <is>
          <t>Project contingency has fallen to 9.4%, below the 10% threshold.</t>
        </is>
      </c>
      <c r="H9" s="67" t="inlineStr">
        <is>
          <t>Freeze non-critical exterior extras (water feature) until kitchen close-out.</t>
        </is>
      </c>
      <c r="I9" s="71" t="n">
        <v>1800</v>
      </c>
      <c r="J9" s="67" t="inlineStr">
        <is>
          <t>New</t>
        </is>
      </c>
      <c r="K9" s="68" t="inlineStr"/>
    </row>
    <row r="10" ht="18" customHeight="1">
      <c r="A10" s="75" t="inlineStr">
        <is>
          <t>AI-006</t>
        </is>
      </c>
      <c r="B10" s="78" t="n">
        <v>46244</v>
      </c>
      <c r="C10" s="75" t="inlineStr">
        <is>
          <t>PRJ-001</t>
        </is>
      </c>
      <c r="D10" s="75" t="inlineStr">
        <is>
          <t>RM-02</t>
        </is>
      </c>
      <c r="E10" s="76" t="inlineStr">
        <is>
          <t>Design</t>
        </is>
      </c>
      <c r="F10" s="76" t="inlineStr">
        <is>
          <t>Opportunity</t>
        </is>
      </c>
      <c r="G10" s="76" t="inlineStr">
        <is>
          <t>Room photo analysis: north-facing living room reads cool and dim after 4pm.</t>
        </is>
      </c>
      <c r="H10" s="75" t="inlineStr">
        <is>
          <t>Specify 2700K lamps, add floor lamp at north corner, keep walls in Warm Sand not cool gray.</t>
        </is>
      </c>
      <c r="I10" s="79" t="n">
        <v>0</v>
      </c>
      <c r="J10" s="75" t="inlineStr">
        <is>
          <t>Resolved</t>
        </is>
      </c>
      <c r="K10" s="76" t="inlineStr">
        <is>
          <t>Palette updated</t>
        </is>
      </c>
    </row>
    <row r="11" ht="18" customHeight="1">
      <c r="A11" s="67" t="inlineStr">
        <is>
          <t>AI-007</t>
        </is>
      </c>
      <c r="B11" s="70" t="n">
        <v>46255</v>
      </c>
      <c r="C11" s="67" t="inlineStr">
        <is>
          <t>PRJ-001</t>
        </is>
      </c>
      <c r="D11" s="67" t="inlineStr"/>
      <c r="E11" s="68" t="inlineStr">
        <is>
          <t>Procurement</t>
        </is>
      </c>
      <c r="F11" s="68" t="inlineStr">
        <is>
          <t>Warning</t>
        </is>
      </c>
      <c r="G11" s="68" t="inlineStr">
        <is>
          <t>White oak stair nosing is backordered 11 days.</t>
        </is>
      </c>
      <c r="H11" s="67" t="inlineStr">
        <is>
          <t>Use matching leftover plank with site-cut nosing, or delay living-room furniture delivery.</t>
        </is>
      </c>
      <c r="I11" s="71" t="n">
        <v>0</v>
      </c>
      <c r="J11" s="67" t="inlineStr">
        <is>
          <t>Accepted</t>
        </is>
      </c>
      <c r="K11" s="68" t="inlineStr">
        <is>
          <t>Site-cut nosing approved</t>
        </is>
      </c>
    </row>
    <row r="12" ht="18" customHeight="1">
      <c r="A12" s="75" t="inlineStr">
        <is>
          <t>AI-008</t>
        </is>
      </c>
      <c r="B12" s="78" t="n">
        <v>46258</v>
      </c>
      <c r="C12" s="75" t="inlineStr">
        <is>
          <t>PRJ-001</t>
        </is>
      </c>
      <c r="D12" s="75" t="inlineStr"/>
      <c r="E12" s="76" t="inlineStr">
        <is>
          <t>Prediction</t>
        </is>
      </c>
      <c r="F12" s="76" t="inlineStr">
        <is>
          <t>Info</t>
        </is>
      </c>
      <c r="G12" s="76" t="inlineStr">
        <is>
          <t>Likely completion date given current float: 12 Nov 2026 (3 days ahead of target).</t>
        </is>
      </c>
      <c r="H12" s="75" t="inlineStr">
        <is>
          <t>Protect flooring cure time. Do not accelerate furniture move-in before Oct 20.</t>
        </is>
      </c>
      <c r="I12" s="79" t="n">
        <v>0</v>
      </c>
      <c r="J12" s="75" t="inlineStr">
        <is>
          <t>New</t>
        </is>
      </c>
      <c r="K12" s="76" t="inlineStr"/>
    </row>
    <row r="13">
      <c r="A13" s="82" t="n"/>
      <c r="B13" s="82" t="n"/>
      <c r="C13" s="82" t="n"/>
      <c r="D13" s="82" t="n"/>
      <c r="E13" s="82" t="n"/>
      <c r="F13" s="82" t="n"/>
      <c r="G13" s="82" t="n"/>
      <c r="H13" s="82" t="n"/>
      <c r="I13" s="82" t="n"/>
      <c r="J13" s="82" t="n"/>
      <c r="K13" s="82" t="n"/>
    </row>
    <row r="14">
      <c r="A14" s="82" t="n"/>
      <c r="B14" s="82" t="n"/>
      <c r="C14" s="82" t="n"/>
      <c r="D14" s="82" t="n"/>
      <c r="E14" s="82" t="n"/>
      <c r="F14" s="82" t="n"/>
      <c r="G14" s="82" t="n"/>
      <c r="H14" s="82" t="n"/>
      <c r="I14" s="82" t="n"/>
      <c r="J14" s="82" t="n"/>
      <c r="K14" s="82" t="n"/>
    </row>
    <row r="15">
      <c r="A15" s="82" t="n"/>
      <c r="B15" s="82" t="n"/>
      <c r="C15" s="82" t="n"/>
      <c r="D15" s="82" t="n"/>
      <c r="E15" s="82" t="n"/>
      <c r="F15" s="82" t="n"/>
      <c r="G15" s="82" t="n"/>
      <c r="H15" s="82" t="n"/>
      <c r="I15" s="82" t="n"/>
      <c r="J15" s="82" t="n"/>
      <c r="K15" s="82" t="n"/>
    </row>
    <row r="16">
      <c r="A16" s="82" t="n"/>
      <c r="B16" s="82" t="n"/>
      <c r="C16" s="82" t="n"/>
      <c r="D16" s="82" t="n"/>
      <c r="E16" s="82" t="n"/>
      <c r="F16" s="82" t="n"/>
      <c r="G16" s="82" t="n"/>
      <c r="H16" s="82" t="n"/>
      <c r="I16" s="82" t="n"/>
      <c r="J16" s="82" t="n"/>
      <c r="K16" s="82" t="n"/>
    </row>
    <row r="17">
      <c r="A17" s="82" t="n"/>
      <c r="B17" s="82" t="n"/>
      <c r="C17" s="82" t="n"/>
      <c r="D17" s="82" t="n"/>
      <c r="E17" s="82" t="n"/>
      <c r="F17" s="82" t="n"/>
      <c r="G17" s="82" t="n"/>
      <c r="H17" s="82" t="n"/>
      <c r="I17" s="82" t="n"/>
      <c r="J17" s="82" t="n"/>
      <c r="K17" s="82" t="n"/>
    </row>
    <row r="18">
      <c r="A18" s="82" t="n"/>
      <c r="B18" s="82" t="n"/>
      <c r="C18" s="82" t="n"/>
      <c r="D18" s="82" t="n"/>
      <c r="E18" s="82" t="n"/>
      <c r="F18" s="82" t="n"/>
      <c r="G18" s="82" t="n"/>
      <c r="H18" s="82" t="n"/>
      <c r="I18" s="82" t="n"/>
      <c r="J18" s="82" t="n"/>
      <c r="K18" s="82" t="n"/>
    </row>
    <row r="19">
      <c r="A19" s="82" t="n"/>
      <c r="B19" s="82" t="n"/>
      <c r="C19" s="82" t="n"/>
      <c r="D19" s="82" t="n"/>
      <c r="E19" s="82" t="n"/>
      <c r="F19" s="82" t="n"/>
      <c r="G19" s="82" t="n"/>
      <c r="H19" s="82" t="n"/>
      <c r="I19" s="82" t="n"/>
      <c r="J19" s="82" t="n"/>
      <c r="K19" s="82" t="n"/>
    </row>
    <row r="20">
      <c r="A20" s="82" t="n"/>
      <c r="B20" s="82" t="n"/>
      <c r="C20" s="82" t="n"/>
      <c r="D20" s="82" t="n"/>
      <c r="E20" s="82" t="n"/>
      <c r="F20" s="82" t="n"/>
      <c r="G20" s="82" t="n"/>
      <c r="H20" s="82" t="n"/>
      <c r="I20" s="82" t="n"/>
      <c r="J20" s="82" t="n"/>
      <c r="K20" s="82" t="n"/>
    </row>
    <row r="21">
      <c r="A21" s="82" t="n"/>
      <c r="B21" s="82" t="n"/>
      <c r="C21" s="82" t="n"/>
      <c r="D21" s="82" t="n"/>
      <c r="E21" s="82" t="n"/>
      <c r="F21" s="82" t="n"/>
      <c r="G21" s="82" t="n"/>
      <c r="H21" s="82" t="n"/>
      <c r="I21" s="82" t="n"/>
      <c r="J21" s="82" t="n"/>
      <c r="K21" s="82" t="n"/>
    </row>
    <row r="22">
      <c r="A22" s="82" t="n"/>
      <c r="B22" s="82" t="n"/>
      <c r="C22" s="82" t="n"/>
      <c r="D22" s="82" t="n"/>
      <c r="E22" s="82" t="n"/>
      <c r="F22" s="82" t="n"/>
      <c r="G22" s="82" t="n"/>
      <c r="H22" s="82" t="n"/>
      <c r="I22" s="82" t="n"/>
      <c r="J22" s="82" t="n"/>
      <c r="K22" s="82" t="n"/>
    </row>
    <row r="23">
      <c r="A23" s="82" t="n"/>
      <c r="B23" s="82" t="n"/>
      <c r="C23" s="82" t="n"/>
      <c r="D23" s="82" t="n"/>
      <c r="E23" s="82" t="n"/>
      <c r="F23" s="82" t="n"/>
      <c r="G23" s="82" t="n"/>
      <c r="H23" s="82" t="n"/>
      <c r="I23" s="82" t="n"/>
      <c r="J23" s="82" t="n"/>
      <c r="K23" s="82" t="n"/>
    </row>
    <row r="24">
      <c r="A24" s="82" t="n"/>
      <c r="B24" s="82" t="n"/>
      <c r="C24" s="82" t="n"/>
      <c r="D24" s="82" t="n"/>
      <c r="E24" s="82" t="n"/>
      <c r="F24" s="82" t="n"/>
      <c r="G24" s="82" t="n"/>
      <c r="H24" s="82" t="n"/>
      <c r="I24" s="82" t="n"/>
      <c r="J24" s="82" t="n"/>
      <c r="K24" s="82" t="n"/>
    </row>
    <row r="25">
      <c r="A25" s="82" t="n"/>
      <c r="B25" s="82" t="n"/>
      <c r="C25" s="82" t="n"/>
      <c r="D25" s="82" t="n"/>
      <c r="E25" s="82" t="n"/>
      <c r="F25" s="82" t="n"/>
      <c r="G25" s="82" t="n"/>
      <c r="H25" s="82" t="n"/>
      <c r="I25" s="82" t="n"/>
      <c r="J25" s="82" t="n"/>
      <c r="K25" s="82" t="n"/>
    </row>
    <row r="26">
      <c r="A26" s="82" t="n"/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</row>
    <row r="27">
      <c r="A27" s="82" t="n"/>
      <c r="B27" s="82" t="n"/>
      <c r="C27" s="82" t="n"/>
      <c r="D27" s="82" t="n"/>
      <c r="E27" s="82" t="n"/>
      <c r="F27" s="82" t="n"/>
      <c r="G27" s="82" t="n"/>
      <c r="H27" s="82" t="n"/>
      <c r="I27" s="82" t="n"/>
      <c r="J27" s="82" t="n"/>
      <c r="K27" s="82" t="n"/>
    </row>
    <row r="28">
      <c r="A28" s="82" t="n"/>
      <c r="B28" s="82" t="n"/>
      <c r="C28" s="82" t="n"/>
      <c r="D28" s="82" t="n"/>
      <c r="E28" s="82" t="n"/>
      <c r="F28" s="82" t="n"/>
      <c r="G28" s="82" t="n"/>
      <c r="H28" s="82" t="n"/>
      <c r="I28" s="82" t="n"/>
      <c r="J28" s="82" t="n"/>
      <c r="K28" s="82" t="n"/>
    </row>
    <row r="29">
      <c r="A29" s="82" t="n"/>
      <c r="B29" s="82" t="n"/>
      <c r="C29" s="82" t="n"/>
      <c r="D29" s="82" t="n"/>
      <c r="E29" s="82" t="n"/>
      <c r="F29" s="82" t="n"/>
      <c r="G29" s="82" t="n"/>
      <c r="H29" s="82" t="n"/>
      <c r="I29" s="82" t="n"/>
      <c r="J29" s="82" t="n"/>
      <c r="K29" s="82" t="n"/>
    </row>
    <row r="30">
      <c r="A30" s="82" t="n"/>
      <c r="B30" s="82" t="n"/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</row>
    <row r="31">
      <c r="A31" s="82" t="n"/>
      <c r="B31" s="82" t="n"/>
      <c r="C31" s="82" t="n"/>
      <c r="D31" s="82" t="n"/>
      <c r="E31" s="82" t="n"/>
      <c r="F31" s="82" t="n"/>
      <c r="G31" s="82" t="n"/>
      <c r="H31" s="82" t="n"/>
      <c r="I31" s="82" t="n"/>
      <c r="J31" s="82" t="n"/>
      <c r="K31" s="82" t="n"/>
    </row>
    <row r="32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</row>
    <row r="33">
      <c r="A33" s="82" t="n"/>
      <c r="B33" s="82" t="n"/>
      <c r="C33" s="82" t="n"/>
      <c r="D33" s="82" t="n"/>
      <c r="E33" s="82" t="n"/>
      <c r="F33" s="82" t="n"/>
      <c r="G33" s="82" t="n"/>
      <c r="H33" s="82" t="n"/>
      <c r="I33" s="82" t="n"/>
      <c r="J33" s="82" t="n"/>
      <c r="K33" s="82" t="n"/>
    </row>
    <row r="34">
      <c r="A34" s="82" t="n"/>
      <c r="B34" s="82" t="n"/>
      <c r="C34" s="82" t="n"/>
      <c r="D34" s="82" t="n"/>
      <c r="E34" s="82" t="n"/>
      <c r="F34" s="82" t="n"/>
      <c r="G34" s="82" t="n"/>
      <c r="H34" s="82" t="n"/>
      <c r="I34" s="82" t="n"/>
      <c r="J34" s="82" t="n"/>
      <c r="K34" s="82" t="n"/>
    </row>
    <row r="35">
      <c r="A35" s="82" t="n"/>
      <c r="B35" s="82" t="n"/>
      <c r="C35" s="82" t="n"/>
      <c r="D35" s="82" t="n"/>
      <c r="E35" s="82" t="n"/>
      <c r="F35" s="82" t="n"/>
      <c r="G35" s="82" t="n"/>
      <c r="H35" s="82" t="n"/>
      <c r="I35" s="82" t="n"/>
      <c r="J35" s="82" t="n"/>
      <c r="K35" s="82" t="n"/>
    </row>
    <row r="36">
      <c r="A36" s="82" t="n"/>
      <c r="B36" s="82" t="n"/>
      <c r="C36" s="82" t="n"/>
      <c r="D36" s="82" t="n"/>
      <c r="E36" s="82" t="n"/>
      <c r="F36" s="82" t="n"/>
      <c r="G36" s="82" t="n"/>
      <c r="H36" s="82" t="n"/>
      <c r="I36" s="82" t="n"/>
      <c r="J36" s="82" t="n"/>
      <c r="K36" s="82" t="n"/>
    </row>
    <row r="37">
      <c r="A37" s="82" t="n"/>
      <c r="B37" s="82" t="n"/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</row>
    <row r="38">
      <c r="A38" s="82" t="n"/>
      <c r="B38" s="82" t="n"/>
      <c r="C38" s="82" t="n"/>
      <c r="D38" s="82" t="n"/>
      <c r="E38" s="82" t="n"/>
      <c r="F38" s="82" t="n"/>
      <c r="G38" s="82" t="n"/>
      <c r="H38" s="82" t="n"/>
      <c r="I38" s="82" t="n"/>
      <c r="J38" s="82" t="n"/>
      <c r="K38" s="82" t="n"/>
    </row>
    <row r="39">
      <c r="A39" s="82" t="n"/>
      <c r="B39" s="82" t="n"/>
      <c r="C39" s="82" t="n"/>
      <c r="D39" s="82" t="n"/>
      <c r="E39" s="82" t="n"/>
      <c r="F39" s="82" t="n"/>
      <c r="G39" s="82" t="n"/>
      <c r="H39" s="82" t="n"/>
      <c r="I39" s="82" t="n"/>
      <c r="J39" s="82" t="n"/>
      <c r="K39" s="82" t="n"/>
    </row>
    <row r="40">
      <c r="A40" s="82" t="n"/>
      <c r="B40" s="82" t="n"/>
      <c r="C40" s="82" t="n"/>
      <c r="D40" s="82" t="n"/>
      <c r="E40" s="82" t="n"/>
      <c r="F40" s="82" t="n"/>
      <c r="G40" s="82" t="n"/>
      <c r="H40" s="82" t="n"/>
      <c r="I40" s="82" t="n"/>
      <c r="J40" s="82" t="n"/>
      <c r="K40" s="82" t="n"/>
    </row>
    <row r="41">
      <c r="A41" s="82" t="n"/>
      <c r="B41" s="82" t="n"/>
      <c r="C41" s="82" t="n"/>
      <c r="D41" s="82" t="n"/>
      <c r="E41" s="82" t="n"/>
      <c r="F41" s="82" t="n"/>
      <c r="G41" s="82" t="n"/>
      <c r="H41" s="82" t="n"/>
      <c r="I41" s="82" t="n"/>
      <c r="J41" s="82" t="n"/>
      <c r="K41" s="82" t="n"/>
    </row>
    <row r="42">
      <c r="A42" s="82" t="n"/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</row>
    <row r="43">
      <c r="A43" s="82" t="n"/>
      <c r="B43" s="82" t="n"/>
      <c r="C43" s="82" t="n"/>
      <c r="D43" s="82" t="n"/>
      <c r="E43" s="82" t="n"/>
      <c r="F43" s="82" t="n"/>
      <c r="G43" s="82" t="n"/>
      <c r="H43" s="82" t="n"/>
      <c r="I43" s="82" t="n"/>
      <c r="J43" s="82" t="n"/>
      <c r="K43" s="82" t="n"/>
    </row>
    <row r="44">
      <c r="A44" s="82" t="n"/>
      <c r="B44" s="82" t="n"/>
      <c r="C44" s="82" t="n"/>
      <c r="D44" s="82" t="n"/>
      <c r="E44" s="82" t="n"/>
      <c r="F44" s="82" t="n"/>
      <c r="G44" s="82" t="n"/>
      <c r="H44" s="82" t="n"/>
      <c r="I44" s="82" t="n"/>
      <c r="J44" s="82" t="n"/>
      <c r="K44" s="82" t="n"/>
    </row>
    <row r="45">
      <c r="A45" s="82" t="n"/>
      <c r="B45" s="82" t="n"/>
      <c r="C45" s="82" t="n"/>
      <c r="D45" s="82" t="n"/>
      <c r="E45" s="82" t="n"/>
      <c r="F45" s="82" t="n"/>
      <c r="G45" s="82" t="n"/>
      <c r="H45" s="82" t="n"/>
      <c r="I45" s="82" t="n"/>
      <c r="J45" s="82" t="n"/>
      <c r="K45" s="82" t="n"/>
    </row>
    <row r="46">
      <c r="A46" s="82" t="n"/>
      <c r="B46" s="82" t="n"/>
      <c r="C46" s="82" t="n"/>
      <c r="D46" s="82" t="n"/>
      <c r="E46" s="82" t="n"/>
      <c r="F46" s="82" t="n"/>
      <c r="G46" s="82" t="n"/>
      <c r="H46" s="82" t="n"/>
      <c r="I46" s="82" t="n"/>
      <c r="J46" s="82" t="n"/>
      <c r="K46" s="82" t="n"/>
    </row>
    <row r="47">
      <c r="A47" s="82" t="n"/>
      <c r="B47" s="82" t="n"/>
      <c r="C47" s="82" t="n"/>
      <c r="D47" s="82" t="n"/>
      <c r="E47" s="82" t="n"/>
      <c r="F47" s="82" t="n"/>
      <c r="G47" s="82" t="n"/>
      <c r="H47" s="82" t="n"/>
      <c r="I47" s="82" t="n"/>
      <c r="J47" s="82" t="n"/>
      <c r="K47" s="82" t="n"/>
    </row>
    <row r="48">
      <c r="A48" s="82" t="n"/>
      <c r="B48" s="82" t="n"/>
      <c r="C48" s="82" t="n"/>
      <c r="D48" s="82" t="n"/>
      <c r="E48" s="82" t="n"/>
      <c r="F48" s="82" t="n"/>
      <c r="G48" s="82" t="n"/>
      <c r="H48" s="82" t="n"/>
      <c r="I48" s="82" t="n"/>
      <c r="J48" s="82" t="n"/>
      <c r="K48" s="82" t="n"/>
    </row>
    <row r="49">
      <c r="A49" s="82" t="n"/>
      <c r="B49" s="82" t="n"/>
      <c r="C49" s="82" t="n"/>
      <c r="D49" s="82" t="n"/>
      <c r="E49" s="82" t="n"/>
      <c r="F49" s="82" t="n"/>
      <c r="G49" s="82" t="n"/>
      <c r="H49" s="82" t="n"/>
      <c r="I49" s="82" t="n"/>
      <c r="J49" s="82" t="n"/>
      <c r="K49" s="82" t="n"/>
    </row>
    <row r="50">
      <c r="A50" s="82" t="n"/>
      <c r="B50" s="82" t="n"/>
      <c r="C50" s="82" t="n"/>
      <c r="D50" s="82" t="n"/>
      <c r="E50" s="82" t="n"/>
      <c r="F50" s="82" t="n"/>
      <c r="G50" s="82" t="n"/>
      <c r="H50" s="82" t="n"/>
      <c r="I50" s="82" t="n"/>
      <c r="J50" s="82" t="n"/>
      <c r="K50" s="82" t="n"/>
    </row>
    <row r="51">
      <c r="A51" s="82" t="n"/>
      <c r="B51" s="82" t="n"/>
      <c r="C51" s="82" t="n"/>
      <c r="D51" s="82" t="n"/>
      <c r="E51" s="82" t="n"/>
      <c r="F51" s="82" t="n"/>
      <c r="G51" s="82" t="n"/>
      <c r="H51" s="82" t="n"/>
      <c r="I51" s="82" t="n"/>
      <c r="J51" s="82" t="n"/>
      <c r="K51" s="82" t="n"/>
    </row>
    <row r="52">
      <c r="A52" s="82" t="n"/>
      <c r="B52" s="82" t="n"/>
      <c r="C52" s="82" t="n"/>
      <c r="D52" s="82" t="n"/>
      <c r="E52" s="82" t="n"/>
      <c r="F52" s="82" t="n"/>
      <c r="G52" s="82" t="n"/>
      <c r="H52" s="82" t="n"/>
      <c r="I52" s="82" t="n"/>
      <c r="J52" s="82" t="n"/>
      <c r="K52" s="82" t="n"/>
    </row>
    <row r="53">
      <c r="A53" s="82" t="n"/>
      <c r="B53" s="82" t="n"/>
      <c r="C53" s="82" t="n"/>
      <c r="D53" s="82" t="n"/>
      <c r="E53" s="82" t="n"/>
      <c r="F53" s="82" t="n"/>
      <c r="G53" s="82" t="n"/>
      <c r="H53" s="82" t="n"/>
      <c r="I53" s="82" t="n"/>
      <c r="J53" s="82" t="n"/>
      <c r="K53" s="82" t="n"/>
    </row>
    <row r="54">
      <c r="A54" s="82" t="n"/>
      <c r="B54" s="82" t="n"/>
      <c r="C54" s="82" t="n"/>
      <c r="D54" s="82" t="n"/>
      <c r="E54" s="82" t="n"/>
      <c r="F54" s="82" t="n"/>
      <c r="G54" s="82" t="n"/>
      <c r="H54" s="82" t="n"/>
      <c r="I54" s="82" t="n"/>
      <c r="J54" s="82" t="n"/>
      <c r="K54" s="82" t="n"/>
    </row>
    <row r="55">
      <c r="A55" s="82" t="n"/>
      <c r="B55" s="82" t="n"/>
      <c r="C55" s="82" t="n"/>
      <c r="D55" s="82" t="n"/>
      <c r="E55" s="82" t="n"/>
      <c r="F55" s="82" t="n"/>
      <c r="G55" s="82" t="n"/>
      <c r="H55" s="82" t="n"/>
      <c r="I55" s="82" t="n"/>
      <c r="J55" s="82" t="n"/>
      <c r="K55" s="82" t="n"/>
    </row>
    <row r="56">
      <c r="A56" s="82" t="n"/>
      <c r="B56" s="82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2" t="n"/>
    </row>
    <row r="57">
      <c r="A57" s="82" t="n"/>
      <c r="B57" s="82" t="n"/>
      <c r="C57" s="82" t="n"/>
      <c r="D57" s="82" t="n"/>
      <c r="E57" s="82" t="n"/>
      <c r="F57" s="82" t="n"/>
      <c r="G57" s="82" t="n"/>
      <c r="H57" s="82" t="n"/>
      <c r="I57" s="82" t="n"/>
      <c r="J57" s="82" t="n"/>
      <c r="K57" s="82" t="n"/>
    </row>
    <row r="58">
      <c r="A58" s="82" t="n"/>
      <c r="B58" s="82" t="n"/>
      <c r="C58" s="82" t="n"/>
      <c r="D58" s="82" t="n"/>
      <c r="E58" s="82" t="n"/>
      <c r="F58" s="82" t="n"/>
      <c r="G58" s="82" t="n"/>
      <c r="H58" s="82" t="n"/>
      <c r="I58" s="82" t="n"/>
      <c r="J58" s="82" t="n"/>
      <c r="K58" s="82" t="n"/>
    </row>
    <row r="59">
      <c r="A59" s="82" t="n"/>
      <c r="B59" s="82" t="n"/>
      <c r="C59" s="82" t="n"/>
      <c r="D59" s="82" t="n"/>
      <c r="E59" s="82" t="n"/>
      <c r="F59" s="82" t="n"/>
      <c r="G59" s="82" t="n"/>
      <c r="H59" s="82" t="n"/>
      <c r="I59" s="82" t="n"/>
      <c r="J59" s="82" t="n"/>
      <c r="K59" s="82" t="n"/>
    </row>
    <row r="60">
      <c r="A60" s="82" t="n"/>
      <c r="B60" s="82" t="n"/>
      <c r="C60" s="82" t="n"/>
      <c r="D60" s="82" t="n"/>
      <c r="E60" s="82" t="n"/>
      <c r="F60" s="82" t="n"/>
      <c r="G60" s="82" t="n"/>
      <c r="H60" s="82" t="n"/>
      <c r="I60" s="82" t="n"/>
      <c r="J60" s="82" t="n"/>
      <c r="K60" s="82" t="n"/>
    </row>
    <row r="61">
      <c r="A61" s="82" t="n"/>
      <c r="B61" s="82" t="n"/>
      <c r="C61" s="82" t="n"/>
      <c r="D61" s="82" t="n"/>
      <c r="E61" s="82" t="n"/>
      <c r="F61" s="82" t="n"/>
      <c r="G61" s="82" t="n"/>
      <c r="H61" s="82" t="n"/>
      <c r="I61" s="82" t="n"/>
      <c r="J61" s="82" t="n"/>
      <c r="K61" s="82" t="n"/>
    </row>
    <row r="62">
      <c r="A62" s="82" t="n"/>
      <c r="B62" s="82" t="n"/>
      <c r="C62" s="82" t="n"/>
      <c r="D62" s="82" t="n"/>
      <c r="E62" s="82" t="n"/>
      <c r="F62" s="82" t="n"/>
      <c r="G62" s="82" t="n"/>
      <c r="H62" s="82" t="n"/>
      <c r="I62" s="82" t="n"/>
      <c r="J62" s="82" t="n"/>
      <c r="K62" s="82" t="n"/>
    </row>
    <row r="63">
      <c r="A63" s="82" t="n"/>
      <c r="B63" s="82" t="n"/>
      <c r="C63" s="82" t="n"/>
      <c r="D63" s="82" t="n"/>
      <c r="E63" s="82" t="n"/>
      <c r="F63" s="82" t="n"/>
      <c r="G63" s="82" t="n"/>
      <c r="H63" s="82" t="n"/>
      <c r="I63" s="82" t="n"/>
      <c r="J63" s="82" t="n"/>
      <c r="K63" s="82" t="n"/>
    </row>
    <row r="64">
      <c r="A64" s="82" t="n"/>
      <c r="B64" s="82" t="n"/>
      <c r="C64" s="82" t="n"/>
      <c r="D64" s="82" t="n"/>
      <c r="E64" s="82" t="n"/>
      <c r="F64" s="82" t="n"/>
      <c r="G64" s="82" t="n"/>
      <c r="H64" s="82" t="n"/>
      <c r="I64" s="82" t="n"/>
      <c r="J64" s="82" t="n"/>
      <c r="K64" s="82" t="n"/>
    </row>
    <row r="65">
      <c r="A65" s="82" t="n"/>
      <c r="B65" s="82" t="n"/>
      <c r="C65" s="82" t="n"/>
      <c r="D65" s="82" t="n"/>
      <c r="E65" s="82" t="n"/>
      <c r="F65" s="82" t="n"/>
      <c r="G65" s="82" t="n"/>
      <c r="H65" s="82" t="n"/>
      <c r="I65" s="82" t="n"/>
      <c r="J65" s="82" t="n"/>
      <c r="K65" s="82" t="n"/>
    </row>
    <row r="66">
      <c r="A66" s="82" t="n"/>
      <c r="B66" s="82" t="n"/>
      <c r="C66" s="82" t="n"/>
      <c r="D66" s="82" t="n"/>
      <c r="E66" s="82" t="n"/>
      <c r="F66" s="82" t="n"/>
      <c r="G66" s="82" t="n"/>
      <c r="H66" s="82" t="n"/>
      <c r="I66" s="82" t="n"/>
      <c r="J66" s="82" t="n"/>
      <c r="K66" s="82" t="n"/>
    </row>
    <row r="67">
      <c r="A67" s="82" t="n"/>
      <c r="B67" s="82" t="n"/>
      <c r="C67" s="82" t="n"/>
      <c r="D67" s="82" t="n"/>
      <c r="E67" s="82" t="n"/>
      <c r="F67" s="82" t="n"/>
      <c r="G67" s="82" t="n"/>
      <c r="H67" s="82" t="n"/>
      <c r="I67" s="82" t="n"/>
      <c r="J67" s="82" t="n"/>
      <c r="K67" s="82" t="n"/>
    </row>
    <row r="68">
      <c r="A68" s="82" t="n"/>
      <c r="B68" s="82" t="n"/>
      <c r="C68" s="82" t="n"/>
      <c r="D68" s="82" t="n"/>
      <c r="E68" s="82" t="n"/>
      <c r="F68" s="82" t="n"/>
      <c r="G68" s="82" t="n"/>
      <c r="H68" s="82" t="n"/>
      <c r="I68" s="82" t="n"/>
      <c r="J68" s="82" t="n"/>
      <c r="K68" s="82" t="n"/>
    </row>
    <row r="69">
      <c r="A69" s="82" t="n"/>
      <c r="B69" s="82" t="n"/>
      <c r="C69" s="82" t="n"/>
      <c r="D69" s="82" t="n"/>
      <c r="E69" s="82" t="n"/>
      <c r="F69" s="82" t="n"/>
      <c r="G69" s="82" t="n"/>
      <c r="H69" s="82" t="n"/>
      <c r="I69" s="82" t="n"/>
      <c r="J69" s="82" t="n"/>
      <c r="K69" s="82" t="n"/>
    </row>
    <row r="70">
      <c r="A70" s="82" t="n"/>
      <c r="B70" s="82" t="n"/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</row>
    <row r="71">
      <c r="A71" s="82" t="n"/>
      <c r="B71" s="82" t="n"/>
      <c r="C71" s="82" t="n"/>
      <c r="D71" s="82" t="n"/>
      <c r="E71" s="82" t="n"/>
      <c r="F71" s="82" t="n"/>
      <c r="G71" s="82" t="n"/>
      <c r="H71" s="82" t="n"/>
      <c r="I71" s="82" t="n"/>
      <c r="J71" s="82" t="n"/>
      <c r="K71" s="82" t="n"/>
    </row>
    <row r="72">
      <c r="A72" s="82" t="n"/>
      <c r="B72" s="82" t="n"/>
      <c r="C72" s="82" t="n"/>
      <c r="D72" s="82" t="n"/>
      <c r="E72" s="82" t="n"/>
      <c r="F72" s="82" t="n"/>
      <c r="G72" s="82" t="n"/>
      <c r="H72" s="82" t="n"/>
      <c r="I72" s="82" t="n"/>
      <c r="J72" s="82" t="n"/>
      <c r="K72" s="82" t="n"/>
    </row>
    <row r="73">
      <c r="A73" s="82" t="n"/>
      <c r="B73" s="82" t="n"/>
      <c r="C73" s="82" t="n"/>
      <c r="D73" s="82" t="n"/>
      <c r="E73" s="82" t="n"/>
      <c r="F73" s="82" t="n"/>
      <c r="G73" s="82" t="n"/>
      <c r="H73" s="82" t="n"/>
      <c r="I73" s="82" t="n"/>
      <c r="J73" s="82" t="n"/>
      <c r="K73" s="82" t="n"/>
    </row>
    <row r="74">
      <c r="A74" s="82" t="n"/>
      <c r="B74" s="82" t="n"/>
      <c r="C74" s="82" t="n"/>
      <c r="D74" s="82" t="n"/>
      <c r="E74" s="82" t="n"/>
      <c r="F74" s="82" t="n"/>
      <c r="G74" s="82" t="n"/>
      <c r="H74" s="82" t="n"/>
      <c r="I74" s="82" t="n"/>
      <c r="J74" s="82" t="n"/>
      <c r="K74" s="82" t="n"/>
    </row>
    <row r="75">
      <c r="A75" s="82" t="n"/>
      <c r="B75" s="82" t="n"/>
      <c r="C75" s="82" t="n"/>
      <c r="D75" s="82" t="n"/>
      <c r="E75" s="82" t="n"/>
      <c r="F75" s="82" t="n"/>
      <c r="G75" s="82" t="n"/>
      <c r="H75" s="82" t="n"/>
      <c r="I75" s="82" t="n"/>
      <c r="J75" s="82" t="n"/>
      <c r="K75" s="82" t="n"/>
    </row>
    <row r="76">
      <c r="A76" s="82" t="n"/>
      <c r="B76" s="82" t="n"/>
      <c r="C76" s="82" t="n"/>
      <c r="D76" s="82" t="n"/>
      <c r="E76" s="82" t="n"/>
      <c r="F76" s="82" t="n"/>
      <c r="G76" s="82" t="n"/>
      <c r="H76" s="82" t="n"/>
      <c r="I76" s="82" t="n"/>
      <c r="J76" s="82" t="n"/>
      <c r="K76" s="82" t="n"/>
    </row>
    <row r="77">
      <c r="A77" s="82" t="n"/>
      <c r="B77" s="82" t="n"/>
      <c r="C77" s="82" t="n"/>
      <c r="D77" s="82" t="n"/>
      <c r="E77" s="82" t="n"/>
      <c r="F77" s="82" t="n"/>
      <c r="G77" s="82" t="n"/>
      <c r="H77" s="82" t="n"/>
      <c r="I77" s="82" t="n"/>
      <c r="J77" s="82" t="n"/>
      <c r="K77" s="82" t="n"/>
    </row>
    <row r="78">
      <c r="A78" s="82" t="n"/>
      <c r="B78" s="82" t="n"/>
      <c r="C78" s="82" t="n"/>
      <c r="D78" s="82" t="n"/>
      <c r="E78" s="82" t="n"/>
      <c r="F78" s="82" t="n"/>
      <c r="G78" s="82" t="n"/>
      <c r="H78" s="82" t="n"/>
      <c r="I78" s="82" t="n"/>
      <c r="J78" s="82" t="n"/>
      <c r="K78" s="82" t="n"/>
    </row>
    <row r="79">
      <c r="A79" s="82" t="n"/>
      <c r="B79" s="82" t="n"/>
      <c r="C79" s="82" t="n"/>
      <c r="D79" s="82" t="n"/>
      <c r="E79" s="82" t="n"/>
      <c r="F79" s="82" t="n"/>
      <c r="G79" s="82" t="n"/>
      <c r="H79" s="82" t="n"/>
      <c r="I79" s="82" t="n"/>
      <c r="J79" s="82" t="n"/>
      <c r="K79" s="82" t="n"/>
    </row>
    <row r="80">
      <c r="A80" s="82" t="n"/>
      <c r="B80" s="82" t="n"/>
      <c r="C80" s="82" t="n"/>
      <c r="D80" s="82" t="n"/>
      <c r="E80" s="82" t="n"/>
      <c r="F80" s="82" t="n"/>
      <c r="G80" s="82" t="n"/>
      <c r="H80" s="82" t="n"/>
      <c r="I80" s="82" t="n"/>
      <c r="J80" s="82" t="n"/>
      <c r="K80" s="82" t="n"/>
    </row>
    <row r="81">
      <c r="A81" s="82" t="n"/>
      <c r="B81" s="82" t="n"/>
      <c r="C81" s="82" t="n"/>
      <c r="D81" s="82" t="n"/>
      <c r="E81" s="82" t="n"/>
      <c r="F81" s="82" t="n"/>
      <c r="G81" s="82" t="n"/>
      <c r="H81" s="82" t="n"/>
      <c r="I81" s="82" t="n"/>
      <c r="J81" s="82" t="n"/>
      <c r="K81" s="82" t="n"/>
    </row>
    <row r="82">
      <c r="A82" s="82" t="n"/>
      <c r="B82" s="82" t="n"/>
      <c r="C82" s="82" t="n"/>
      <c r="D82" s="82" t="n"/>
      <c r="E82" s="82" t="n"/>
      <c r="F82" s="82" t="n"/>
      <c r="G82" s="82" t="n"/>
      <c r="H82" s="82" t="n"/>
      <c r="I82" s="82" t="n"/>
      <c r="J82" s="82" t="n"/>
      <c r="K82" s="82" t="n"/>
    </row>
    <row r="83">
      <c r="A83" s="82" t="n"/>
      <c r="B83" s="82" t="n"/>
      <c r="C83" s="82" t="n"/>
      <c r="D83" s="82" t="n"/>
      <c r="E83" s="82" t="n"/>
      <c r="F83" s="82" t="n"/>
      <c r="G83" s="82" t="n"/>
      <c r="H83" s="82" t="n"/>
      <c r="I83" s="82" t="n"/>
      <c r="J83" s="82" t="n"/>
      <c r="K83" s="82" t="n"/>
    </row>
    <row r="84">
      <c r="A84" s="82" t="n"/>
      <c r="B84" s="82" t="n"/>
      <c r="C84" s="82" t="n"/>
      <c r="D84" s="82" t="n"/>
      <c r="E84" s="82" t="n"/>
      <c r="F84" s="82" t="n"/>
      <c r="G84" s="82" t="n"/>
      <c r="H84" s="82" t="n"/>
      <c r="I84" s="82" t="n"/>
      <c r="J84" s="82" t="n"/>
      <c r="K84" s="82" t="n"/>
    </row>
    <row r="85">
      <c r="A85" s="82" t="n"/>
      <c r="B85" s="82" t="n"/>
      <c r="C85" s="82" t="n"/>
      <c r="D85" s="82" t="n"/>
      <c r="E85" s="82" t="n"/>
      <c r="F85" s="82" t="n"/>
      <c r="G85" s="82" t="n"/>
      <c r="H85" s="82" t="n"/>
      <c r="I85" s="82" t="n"/>
      <c r="J85" s="82" t="n"/>
      <c r="K85" s="82" t="n"/>
    </row>
    <row r="86">
      <c r="A86" s="82" t="n"/>
      <c r="B86" s="82" t="n"/>
      <c r="C86" s="82" t="n"/>
      <c r="D86" s="82" t="n"/>
      <c r="E86" s="82" t="n"/>
      <c r="F86" s="82" t="n"/>
      <c r="G86" s="82" t="n"/>
      <c r="H86" s="82" t="n"/>
      <c r="I86" s="82" t="n"/>
      <c r="J86" s="82" t="n"/>
      <c r="K86" s="82" t="n"/>
    </row>
    <row r="87">
      <c r="A87" s="82" t="n"/>
      <c r="B87" s="82" t="n"/>
      <c r="C87" s="82" t="n"/>
      <c r="D87" s="82" t="n"/>
      <c r="E87" s="82" t="n"/>
      <c r="F87" s="82" t="n"/>
      <c r="G87" s="82" t="n"/>
      <c r="H87" s="82" t="n"/>
      <c r="I87" s="82" t="n"/>
      <c r="J87" s="82" t="n"/>
      <c r="K87" s="82" t="n"/>
    </row>
    <row r="88">
      <c r="A88" s="82" t="n"/>
      <c r="B88" s="82" t="n"/>
      <c r="C88" s="82" t="n"/>
      <c r="D88" s="82" t="n"/>
      <c r="E88" s="82" t="n"/>
      <c r="F88" s="82" t="n"/>
      <c r="G88" s="82" t="n"/>
      <c r="H88" s="82" t="n"/>
      <c r="I88" s="82" t="n"/>
      <c r="J88" s="82" t="n"/>
      <c r="K88" s="82" t="n"/>
    </row>
    <row r="89">
      <c r="A89" s="82" t="n"/>
      <c r="B89" s="82" t="n"/>
      <c r="C89" s="82" t="n"/>
      <c r="D89" s="82" t="n"/>
      <c r="E89" s="82" t="n"/>
      <c r="F89" s="82" t="n"/>
      <c r="G89" s="82" t="n"/>
      <c r="H89" s="82" t="n"/>
      <c r="I89" s="82" t="n"/>
      <c r="J89" s="82" t="n"/>
      <c r="K89" s="82" t="n"/>
    </row>
    <row r="90">
      <c r="A90" s="82" t="n"/>
      <c r="B90" s="82" t="n"/>
      <c r="C90" s="82" t="n"/>
      <c r="D90" s="82" t="n"/>
      <c r="E90" s="82" t="n"/>
      <c r="F90" s="82" t="n"/>
      <c r="G90" s="82" t="n"/>
      <c r="H90" s="82" t="n"/>
      <c r="I90" s="82" t="n"/>
      <c r="J90" s="82" t="n"/>
      <c r="K90" s="82" t="n"/>
    </row>
    <row r="91">
      <c r="A91" s="82" t="n"/>
      <c r="B91" s="82" t="n"/>
      <c r="C91" s="82" t="n"/>
      <c r="D91" s="82" t="n"/>
      <c r="E91" s="82" t="n"/>
      <c r="F91" s="82" t="n"/>
      <c r="G91" s="82" t="n"/>
      <c r="H91" s="82" t="n"/>
      <c r="I91" s="82" t="n"/>
      <c r="J91" s="82" t="n"/>
      <c r="K91" s="82" t="n"/>
    </row>
    <row r="92">
      <c r="A92" s="82" t="n"/>
      <c r="B92" s="82" t="n"/>
      <c r="C92" s="82" t="n"/>
      <c r="D92" s="82" t="n"/>
      <c r="E92" s="82" t="n"/>
      <c r="F92" s="82" t="n"/>
      <c r="G92" s="82" t="n"/>
      <c r="H92" s="82" t="n"/>
      <c r="I92" s="82" t="n"/>
      <c r="J92" s="82" t="n"/>
      <c r="K92" s="82" t="n"/>
    </row>
    <row r="93">
      <c r="A93" s="82" t="n"/>
      <c r="B93" s="82" t="n"/>
      <c r="C93" s="82" t="n"/>
      <c r="D93" s="82" t="n"/>
      <c r="E93" s="82" t="n"/>
      <c r="F93" s="82" t="n"/>
      <c r="G93" s="82" t="n"/>
      <c r="H93" s="82" t="n"/>
      <c r="I93" s="82" t="n"/>
      <c r="J93" s="82" t="n"/>
      <c r="K93" s="82" t="n"/>
    </row>
    <row r="94">
      <c r="A94" s="82" t="n"/>
      <c r="B94" s="82" t="n"/>
      <c r="C94" s="82" t="n"/>
      <c r="D94" s="82" t="n"/>
      <c r="E94" s="82" t="n"/>
      <c r="F94" s="82" t="n"/>
      <c r="G94" s="82" t="n"/>
      <c r="H94" s="82" t="n"/>
      <c r="I94" s="82" t="n"/>
      <c r="J94" s="82" t="n"/>
      <c r="K94" s="82" t="n"/>
    </row>
    <row r="95">
      <c r="A95" s="82" t="n"/>
      <c r="B95" s="82" t="n"/>
      <c r="C95" s="82" t="n"/>
      <c r="D95" s="82" t="n"/>
      <c r="E95" s="82" t="n"/>
      <c r="F95" s="82" t="n"/>
      <c r="G95" s="82" t="n"/>
      <c r="H95" s="82" t="n"/>
      <c r="I95" s="82" t="n"/>
      <c r="J95" s="82" t="n"/>
      <c r="K95" s="82" t="n"/>
    </row>
    <row r="96">
      <c r="A96" s="82" t="n"/>
      <c r="B96" s="82" t="n"/>
      <c r="C96" s="82" t="n"/>
      <c r="D96" s="82" t="n"/>
      <c r="E96" s="82" t="n"/>
      <c r="F96" s="82" t="n"/>
      <c r="G96" s="82" t="n"/>
      <c r="H96" s="82" t="n"/>
      <c r="I96" s="82" t="n"/>
      <c r="J96" s="82" t="n"/>
      <c r="K96" s="82" t="n"/>
    </row>
    <row r="97">
      <c r="A97" s="82" t="n"/>
      <c r="B97" s="82" t="n"/>
      <c r="C97" s="82" t="n"/>
      <c r="D97" s="82" t="n"/>
      <c r="E97" s="82" t="n"/>
      <c r="F97" s="82" t="n"/>
      <c r="G97" s="82" t="n"/>
      <c r="H97" s="82" t="n"/>
      <c r="I97" s="82" t="n"/>
      <c r="J97" s="82" t="n"/>
      <c r="K97" s="82" t="n"/>
    </row>
    <row r="98">
      <c r="A98" s="82" t="n"/>
      <c r="B98" s="82" t="n"/>
      <c r="C98" s="82" t="n"/>
      <c r="D98" s="82" t="n"/>
      <c r="E98" s="82" t="n"/>
      <c r="F98" s="82" t="n"/>
      <c r="G98" s="82" t="n"/>
      <c r="H98" s="82" t="n"/>
      <c r="I98" s="82" t="n"/>
      <c r="J98" s="82" t="n"/>
      <c r="K98" s="82" t="n"/>
    </row>
    <row r="99">
      <c r="A99" s="82" t="n"/>
      <c r="B99" s="82" t="n"/>
      <c r="C99" s="82" t="n"/>
      <c r="D99" s="82" t="n"/>
      <c r="E99" s="82" t="n"/>
      <c r="F99" s="82" t="n"/>
      <c r="G99" s="82" t="n"/>
      <c r="H99" s="82" t="n"/>
      <c r="I99" s="82" t="n"/>
      <c r="J99" s="82" t="n"/>
      <c r="K99" s="82" t="n"/>
    </row>
    <row r="100">
      <c r="A100" s="82" t="n"/>
      <c r="B100" s="82" t="n"/>
      <c r="C100" s="82" t="n"/>
      <c r="D100" s="82" t="n"/>
      <c r="E100" s="82" t="n"/>
      <c r="F100" s="82" t="n"/>
      <c r="G100" s="82" t="n"/>
      <c r="H100" s="82" t="n"/>
      <c r="I100" s="82" t="n"/>
      <c r="J100" s="82" t="n"/>
      <c r="K100" s="82" t="n"/>
    </row>
    <row r="101">
      <c r="A101" s="82" t="n"/>
      <c r="B101" s="82" t="n"/>
      <c r="C101" s="82" t="n"/>
      <c r="D101" s="82" t="n"/>
      <c r="E101" s="82" t="n"/>
      <c r="F101" s="82" t="n"/>
      <c r="G101" s="82" t="n"/>
      <c r="H101" s="82" t="n"/>
      <c r="I101" s="82" t="n"/>
      <c r="J101" s="82" t="n"/>
      <c r="K101" s="82" t="n"/>
    </row>
    <row r="102">
      <c r="A102" s="82" t="n"/>
      <c r="B102" s="82" t="n"/>
      <c r="C102" s="82" t="n"/>
      <c r="D102" s="82" t="n"/>
      <c r="E102" s="82" t="n"/>
      <c r="F102" s="82" t="n"/>
      <c r="G102" s="82" t="n"/>
      <c r="H102" s="82" t="n"/>
      <c r="I102" s="82" t="n"/>
      <c r="J102" s="82" t="n"/>
      <c r="K102" s="82" t="n"/>
    </row>
    <row r="103">
      <c r="A103" s="82" t="n"/>
      <c r="B103" s="82" t="n"/>
      <c r="C103" s="82" t="n"/>
      <c r="D103" s="82" t="n"/>
      <c r="E103" s="82" t="n"/>
      <c r="F103" s="82" t="n"/>
      <c r="G103" s="82" t="n"/>
      <c r="H103" s="82" t="n"/>
      <c r="I103" s="82" t="n"/>
      <c r="J103" s="82" t="n"/>
      <c r="K103" s="82" t="n"/>
    </row>
    <row r="104">
      <c r="A104" s="82" t="n"/>
      <c r="B104" s="82" t="n"/>
      <c r="C104" s="82" t="n"/>
      <c r="D104" s="82" t="n"/>
      <c r="E104" s="82" t="n"/>
      <c r="F104" s="82" t="n"/>
      <c r="G104" s="82" t="n"/>
      <c r="H104" s="82" t="n"/>
      <c r="I104" s="82" t="n"/>
      <c r="J104" s="82" t="n"/>
      <c r="K104" s="82" t="n"/>
    </row>
    <row r="105">
      <c r="A105" s="82" t="n"/>
      <c r="B105" s="82" t="n"/>
      <c r="C105" s="82" t="n"/>
      <c r="D105" s="82" t="n"/>
      <c r="E105" s="82" t="n"/>
      <c r="F105" s="82" t="n"/>
      <c r="G105" s="82" t="n"/>
      <c r="H105" s="82" t="n"/>
      <c r="I105" s="82" t="n"/>
      <c r="J105" s="82" t="n"/>
      <c r="K105" s="82" t="n"/>
    </row>
    <row r="106">
      <c r="A106" s="82" t="n"/>
      <c r="B106" s="82" t="n"/>
      <c r="C106" s="82" t="n"/>
      <c r="D106" s="82" t="n"/>
      <c r="E106" s="82" t="n"/>
      <c r="F106" s="82" t="n"/>
      <c r="G106" s="82" t="n"/>
      <c r="H106" s="82" t="n"/>
      <c r="I106" s="82" t="n"/>
      <c r="J106" s="82" t="n"/>
      <c r="K106" s="82" t="n"/>
    </row>
    <row r="107">
      <c r="A107" s="82" t="n"/>
      <c r="B107" s="82" t="n"/>
      <c r="C107" s="82" t="n"/>
      <c r="D107" s="82" t="n"/>
      <c r="E107" s="82" t="n"/>
      <c r="F107" s="82" t="n"/>
      <c r="G107" s="82" t="n"/>
      <c r="H107" s="82" t="n"/>
      <c r="I107" s="82" t="n"/>
      <c r="J107" s="82" t="n"/>
      <c r="K107" s="82" t="n"/>
    </row>
    <row r="108">
      <c r="A108" s="82" t="n"/>
      <c r="B108" s="82" t="n"/>
      <c r="C108" s="82" t="n"/>
      <c r="D108" s="82" t="n"/>
      <c r="E108" s="82" t="n"/>
      <c r="F108" s="82" t="n"/>
      <c r="G108" s="82" t="n"/>
      <c r="H108" s="82" t="n"/>
      <c r="I108" s="82" t="n"/>
      <c r="J108" s="82" t="n"/>
      <c r="K108" s="82" t="n"/>
    </row>
    <row r="109">
      <c r="A109" s="82" t="n"/>
      <c r="B109" s="82" t="n"/>
      <c r="C109" s="82" t="n"/>
      <c r="D109" s="82" t="n"/>
      <c r="E109" s="82" t="n"/>
      <c r="F109" s="82" t="n"/>
      <c r="G109" s="82" t="n"/>
      <c r="H109" s="82" t="n"/>
      <c r="I109" s="82" t="n"/>
      <c r="J109" s="82" t="n"/>
      <c r="K109" s="82" t="n"/>
    </row>
    <row r="110">
      <c r="A110" s="82" t="n"/>
      <c r="B110" s="82" t="n"/>
      <c r="C110" s="82" t="n"/>
      <c r="D110" s="82" t="n"/>
      <c r="E110" s="82" t="n"/>
      <c r="F110" s="82" t="n"/>
      <c r="G110" s="82" t="n"/>
      <c r="H110" s="82" t="n"/>
      <c r="I110" s="82" t="n"/>
      <c r="J110" s="82" t="n"/>
      <c r="K110" s="82" t="n"/>
    </row>
    <row r="111">
      <c r="A111" s="82" t="n"/>
      <c r="B111" s="82" t="n"/>
      <c r="C111" s="82" t="n"/>
      <c r="D111" s="82" t="n"/>
      <c r="E111" s="82" t="n"/>
      <c r="F111" s="82" t="n"/>
      <c r="G111" s="82" t="n"/>
      <c r="H111" s="82" t="n"/>
      <c r="I111" s="82" t="n"/>
      <c r="J111" s="82" t="n"/>
      <c r="K111" s="82" t="n"/>
    </row>
    <row r="112">
      <c r="A112" s="82" t="n"/>
      <c r="B112" s="82" t="n"/>
      <c r="C112" s="82" t="n"/>
      <c r="D112" s="82" t="n"/>
      <c r="E112" s="82" t="n"/>
      <c r="F112" s="82" t="n"/>
      <c r="G112" s="82" t="n"/>
      <c r="H112" s="82" t="n"/>
      <c r="I112" s="82" t="n"/>
      <c r="J112" s="82" t="n"/>
      <c r="K112" s="82" t="n"/>
    </row>
    <row r="113">
      <c r="A113" s="82" t="n"/>
      <c r="B113" s="82" t="n"/>
      <c r="C113" s="82" t="n"/>
      <c r="D113" s="82" t="n"/>
      <c r="E113" s="82" t="n"/>
      <c r="F113" s="82" t="n"/>
      <c r="G113" s="82" t="n"/>
      <c r="H113" s="82" t="n"/>
      <c r="I113" s="82" t="n"/>
      <c r="J113" s="82" t="n"/>
      <c r="K113" s="82" t="n"/>
    </row>
    <row r="114">
      <c r="A114" s="82" t="n"/>
      <c r="B114" s="82" t="n"/>
      <c r="C114" s="82" t="n"/>
      <c r="D114" s="82" t="n"/>
      <c r="E114" s="82" t="n"/>
      <c r="F114" s="82" t="n"/>
      <c r="G114" s="82" t="n"/>
      <c r="H114" s="82" t="n"/>
      <c r="I114" s="82" t="n"/>
      <c r="J114" s="82" t="n"/>
      <c r="K114" s="82" t="n"/>
    </row>
    <row r="115">
      <c r="A115" s="82" t="n"/>
      <c r="B115" s="82" t="n"/>
      <c r="C115" s="82" t="n"/>
      <c r="D115" s="82" t="n"/>
      <c r="E115" s="82" t="n"/>
      <c r="F115" s="82" t="n"/>
      <c r="G115" s="82" t="n"/>
      <c r="H115" s="82" t="n"/>
      <c r="I115" s="82" t="n"/>
      <c r="J115" s="82" t="n"/>
      <c r="K115" s="82" t="n"/>
    </row>
    <row r="116">
      <c r="A116" s="82" t="n"/>
      <c r="B116" s="82" t="n"/>
      <c r="C116" s="82" t="n"/>
      <c r="D116" s="82" t="n"/>
      <c r="E116" s="82" t="n"/>
      <c r="F116" s="82" t="n"/>
      <c r="G116" s="82" t="n"/>
      <c r="H116" s="82" t="n"/>
      <c r="I116" s="82" t="n"/>
      <c r="J116" s="82" t="n"/>
      <c r="K116" s="82" t="n"/>
    </row>
    <row r="117">
      <c r="A117" s="82" t="n"/>
      <c r="B117" s="82" t="n"/>
      <c r="C117" s="82" t="n"/>
      <c r="D117" s="82" t="n"/>
      <c r="E117" s="82" t="n"/>
      <c r="F117" s="82" t="n"/>
      <c r="G117" s="82" t="n"/>
      <c r="H117" s="82" t="n"/>
      <c r="I117" s="82" t="n"/>
      <c r="J117" s="82" t="n"/>
      <c r="K117" s="82" t="n"/>
    </row>
    <row r="118">
      <c r="A118" s="82" t="n"/>
      <c r="B118" s="82" t="n"/>
      <c r="C118" s="82" t="n"/>
      <c r="D118" s="82" t="n"/>
      <c r="E118" s="82" t="n"/>
      <c r="F118" s="82" t="n"/>
      <c r="G118" s="82" t="n"/>
      <c r="H118" s="82" t="n"/>
      <c r="I118" s="82" t="n"/>
      <c r="J118" s="82" t="n"/>
      <c r="K118" s="82" t="n"/>
    </row>
    <row r="119">
      <c r="A119" s="82" t="n"/>
      <c r="B119" s="82" t="n"/>
      <c r="C119" s="82" t="n"/>
      <c r="D119" s="82" t="n"/>
      <c r="E119" s="82" t="n"/>
      <c r="F119" s="82" t="n"/>
      <c r="G119" s="82" t="n"/>
      <c r="H119" s="82" t="n"/>
      <c r="I119" s="82" t="n"/>
      <c r="J119" s="82" t="n"/>
      <c r="K119" s="82" t="n"/>
    </row>
    <row r="120">
      <c r="A120" s="82" t="n"/>
      <c r="B120" s="82" t="n"/>
      <c r="C120" s="82" t="n"/>
      <c r="D120" s="82" t="n"/>
      <c r="E120" s="82" t="n"/>
      <c r="F120" s="82" t="n"/>
      <c r="G120" s="82" t="n"/>
      <c r="H120" s="82" t="n"/>
      <c r="I120" s="82" t="n"/>
      <c r="J120" s="82" t="n"/>
      <c r="K120" s="82" t="n"/>
    </row>
    <row r="121">
      <c r="A121" s="82" t="n"/>
      <c r="B121" s="82" t="n"/>
      <c r="C121" s="82" t="n"/>
      <c r="D121" s="82" t="n"/>
      <c r="E121" s="82" t="n"/>
      <c r="F121" s="82" t="n"/>
      <c r="G121" s="82" t="n"/>
      <c r="H121" s="82" t="n"/>
      <c r="I121" s="82" t="n"/>
      <c r="J121" s="82" t="n"/>
      <c r="K121" s="82" t="n"/>
    </row>
    <row r="122">
      <c r="A122" s="82" t="n"/>
      <c r="B122" s="82" t="n"/>
      <c r="C122" s="82" t="n"/>
      <c r="D122" s="82" t="n"/>
      <c r="E122" s="82" t="n"/>
      <c r="F122" s="82" t="n"/>
      <c r="G122" s="82" t="n"/>
      <c r="H122" s="82" t="n"/>
      <c r="I122" s="82" t="n"/>
      <c r="J122" s="82" t="n"/>
      <c r="K122" s="82" t="n"/>
    </row>
    <row r="123">
      <c r="A123" s="82" t="n"/>
      <c r="B123" s="82" t="n"/>
      <c r="C123" s="82" t="n"/>
      <c r="D123" s="82" t="n"/>
      <c r="E123" s="82" t="n"/>
      <c r="F123" s="82" t="n"/>
      <c r="G123" s="82" t="n"/>
      <c r="H123" s="82" t="n"/>
      <c r="I123" s="82" t="n"/>
      <c r="J123" s="82" t="n"/>
      <c r="K123" s="82" t="n"/>
    </row>
    <row r="124">
      <c r="A124" s="82" t="n"/>
      <c r="B124" s="82" t="n"/>
      <c r="C124" s="82" t="n"/>
      <c r="D124" s="82" t="n"/>
      <c r="E124" s="82" t="n"/>
      <c r="F124" s="82" t="n"/>
      <c r="G124" s="82" t="n"/>
      <c r="H124" s="82" t="n"/>
      <c r="I124" s="82" t="n"/>
      <c r="J124" s="82" t="n"/>
      <c r="K124" s="82" t="n"/>
    </row>
    <row r="125">
      <c r="A125" s="82" t="n"/>
      <c r="B125" s="82" t="n"/>
      <c r="C125" s="82" t="n"/>
      <c r="D125" s="82" t="n"/>
      <c r="E125" s="82" t="n"/>
      <c r="F125" s="82" t="n"/>
      <c r="G125" s="82" t="n"/>
      <c r="H125" s="82" t="n"/>
      <c r="I125" s="82" t="n"/>
      <c r="J125" s="82" t="n"/>
      <c r="K125" s="82" t="n"/>
    </row>
    <row r="126">
      <c r="A126" s="82" t="n"/>
      <c r="B126" s="82" t="n"/>
      <c r="C126" s="82" t="n"/>
      <c r="D126" s="82" t="n"/>
      <c r="E126" s="82" t="n"/>
      <c r="F126" s="82" t="n"/>
      <c r="G126" s="82" t="n"/>
      <c r="H126" s="82" t="n"/>
      <c r="I126" s="82" t="n"/>
      <c r="J126" s="82" t="n"/>
      <c r="K126" s="82" t="n"/>
    </row>
    <row r="127">
      <c r="A127" s="82" t="n"/>
      <c r="B127" s="82" t="n"/>
      <c r="C127" s="82" t="n"/>
      <c r="D127" s="82" t="n"/>
      <c r="E127" s="82" t="n"/>
      <c r="F127" s="82" t="n"/>
      <c r="G127" s="82" t="n"/>
      <c r="H127" s="82" t="n"/>
      <c r="I127" s="82" t="n"/>
      <c r="J127" s="82" t="n"/>
      <c r="K127" s="82" t="n"/>
    </row>
    <row r="128">
      <c r="A128" s="82" t="n"/>
      <c r="B128" s="82" t="n"/>
      <c r="C128" s="82" t="n"/>
      <c r="D128" s="82" t="n"/>
      <c r="E128" s="82" t="n"/>
      <c r="F128" s="82" t="n"/>
      <c r="G128" s="82" t="n"/>
      <c r="H128" s="82" t="n"/>
      <c r="I128" s="82" t="n"/>
      <c r="J128" s="82" t="n"/>
      <c r="K128" s="82" t="n"/>
    </row>
    <row r="129">
      <c r="A129" s="82" t="n"/>
      <c r="B129" s="82" t="n"/>
      <c r="C129" s="82" t="n"/>
      <c r="D129" s="82" t="n"/>
      <c r="E129" s="82" t="n"/>
      <c r="F129" s="82" t="n"/>
      <c r="G129" s="82" t="n"/>
      <c r="H129" s="82" t="n"/>
      <c r="I129" s="82" t="n"/>
      <c r="J129" s="82" t="n"/>
      <c r="K129" s="82" t="n"/>
    </row>
    <row r="130">
      <c r="A130" s="82" t="n"/>
      <c r="B130" s="82" t="n"/>
      <c r="C130" s="82" t="n"/>
      <c r="D130" s="82" t="n"/>
      <c r="E130" s="82" t="n"/>
      <c r="F130" s="82" t="n"/>
      <c r="G130" s="82" t="n"/>
      <c r="H130" s="82" t="n"/>
      <c r="I130" s="82" t="n"/>
      <c r="J130" s="82" t="n"/>
      <c r="K130" s="82" t="n"/>
    </row>
    <row r="131">
      <c r="A131" s="82" t="n"/>
      <c r="B131" s="82" t="n"/>
      <c r="C131" s="82" t="n"/>
      <c r="D131" s="82" t="n"/>
      <c r="E131" s="82" t="n"/>
      <c r="F131" s="82" t="n"/>
      <c r="G131" s="82" t="n"/>
      <c r="H131" s="82" t="n"/>
      <c r="I131" s="82" t="n"/>
      <c r="J131" s="82" t="n"/>
      <c r="K131" s="82" t="n"/>
    </row>
    <row r="132">
      <c r="A132" s="82" t="n"/>
      <c r="B132" s="82" t="n"/>
      <c r="C132" s="82" t="n"/>
      <c r="D132" s="82" t="n"/>
      <c r="E132" s="82" t="n"/>
      <c r="F132" s="82" t="n"/>
      <c r="G132" s="82" t="n"/>
      <c r="H132" s="82" t="n"/>
      <c r="I132" s="82" t="n"/>
      <c r="J132" s="82" t="n"/>
      <c r="K132" s="82" t="n"/>
    </row>
    <row r="133">
      <c r="A133" s="82" t="n"/>
      <c r="B133" s="82" t="n"/>
      <c r="C133" s="82" t="n"/>
      <c r="D133" s="82" t="n"/>
      <c r="E133" s="82" t="n"/>
      <c r="F133" s="82" t="n"/>
      <c r="G133" s="82" t="n"/>
      <c r="H133" s="82" t="n"/>
      <c r="I133" s="82" t="n"/>
      <c r="J133" s="82" t="n"/>
      <c r="K133" s="82" t="n"/>
    </row>
    <row r="134">
      <c r="A134" s="82" t="n"/>
      <c r="B134" s="82" t="n"/>
      <c r="C134" s="82" t="n"/>
      <c r="D134" s="82" t="n"/>
      <c r="E134" s="82" t="n"/>
      <c r="F134" s="82" t="n"/>
      <c r="G134" s="82" t="n"/>
      <c r="H134" s="82" t="n"/>
      <c r="I134" s="82" t="n"/>
      <c r="J134" s="82" t="n"/>
      <c r="K134" s="82" t="n"/>
    </row>
    <row r="135">
      <c r="A135" s="82" t="n"/>
      <c r="B135" s="82" t="n"/>
      <c r="C135" s="82" t="n"/>
      <c r="D135" s="82" t="n"/>
      <c r="E135" s="82" t="n"/>
      <c r="F135" s="82" t="n"/>
      <c r="G135" s="82" t="n"/>
      <c r="H135" s="82" t="n"/>
      <c r="I135" s="82" t="n"/>
      <c r="J135" s="82" t="n"/>
      <c r="K135" s="82" t="n"/>
    </row>
    <row r="136">
      <c r="A136" s="82" t="n"/>
      <c r="B136" s="82" t="n"/>
      <c r="C136" s="82" t="n"/>
      <c r="D136" s="82" t="n"/>
      <c r="E136" s="82" t="n"/>
      <c r="F136" s="82" t="n"/>
      <c r="G136" s="82" t="n"/>
      <c r="H136" s="82" t="n"/>
      <c r="I136" s="82" t="n"/>
      <c r="J136" s="82" t="n"/>
      <c r="K136" s="82" t="n"/>
    </row>
    <row r="137">
      <c r="A137" s="82" t="n"/>
      <c r="B137" s="82" t="n"/>
      <c r="C137" s="82" t="n"/>
      <c r="D137" s="82" t="n"/>
      <c r="E137" s="82" t="n"/>
      <c r="F137" s="82" t="n"/>
      <c r="G137" s="82" t="n"/>
      <c r="H137" s="82" t="n"/>
      <c r="I137" s="82" t="n"/>
      <c r="J137" s="82" t="n"/>
      <c r="K137" s="82" t="n"/>
    </row>
    <row r="138">
      <c r="A138" s="82" t="n"/>
      <c r="B138" s="82" t="n"/>
      <c r="C138" s="82" t="n"/>
      <c r="D138" s="82" t="n"/>
      <c r="E138" s="82" t="n"/>
      <c r="F138" s="82" t="n"/>
      <c r="G138" s="82" t="n"/>
      <c r="H138" s="82" t="n"/>
      <c r="I138" s="82" t="n"/>
      <c r="J138" s="82" t="n"/>
      <c r="K138" s="82" t="n"/>
    </row>
    <row r="139">
      <c r="A139" s="82" t="n"/>
      <c r="B139" s="82" t="n"/>
      <c r="C139" s="82" t="n"/>
      <c r="D139" s="82" t="n"/>
      <c r="E139" s="82" t="n"/>
      <c r="F139" s="82" t="n"/>
      <c r="G139" s="82" t="n"/>
      <c r="H139" s="82" t="n"/>
      <c r="I139" s="82" t="n"/>
      <c r="J139" s="82" t="n"/>
      <c r="K139" s="82" t="n"/>
    </row>
    <row r="140">
      <c r="A140" s="82" t="n"/>
      <c r="B140" s="82" t="n"/>
      <c r="C140" s="82" t="n"/>
      <c r="D140" s="82" t="n"/>
      <c r="E140" s="82" t="n"/>
      <c r="F140" s="82" t="n"/>
      <c r="G140" s="82" t="n"/>
      <c r="H140" s="82" t="n"/>
      <c r="I140" s="82" t="n"/>
      <c r="J140" s="82" t="n"/>
      <c r="K140" s="82" t="n"/>
    </row>
    <row r="141">
      <c r="A141" s="82" t="n"/>
      <c r="B141" s="82" t="n"/>
      <c r="C141" s="82" t="n"/>
      <c r="D141" s="82" t="n"/>
      <c r="E141" s="82" t="n"/>
      <c r="F141" s="82" t="n"/>
      <c r="G141" s="82" t="n"/>
      <c r="H141" s="82" t="n"/>
      <c r="I141" s="82" t="n"/>
      <c r="J141" s="82" t="n"/>
      <c r="K141" s="82" t="n"/>
    </row>
    <row r="142">
      <c r="A142" s="82" t="n"/>
      <c r="B142" s="82" t="n"/>
      <c r="C142" s="82" t="n"/>
      <c r="D142" s="82" t="n"/>
      <c r="E142" s="82" t="n"/>
      <c r="F142" s="82" t="n"/>
      <c r="G142" s="82" t="n"/>
      <c r="H142" s="82" t="n"/>
      <c r="I142" s="82" t="n"/>
      <c r="J142" s="82" t="n"/>
      <c r="K142" s="82" t="n"/>
    </row>
    <row r="143">
      <c r="A143" s="82" t="n"/>
      <c r="B143" s="82" t="n"/>
      <c r="C143" s="82" t="n"/>
      <c r="D143" s="82" t="n"/>
      <c r="E143" s="82" t="n"/>
      <c r="F143" s="82" t="n"/>
      <c r="G143" s="82" t="n"/>
      <c r="H143" s="82" t="n"/>
      <c r="I143" s="82" t="n"/>
      <c r="J143" s="82" t="n"/>
      <c r="K143" s="82" t="n"/>
    </row>
    <row r="144">
      <c r="A144" s="82" t="n"/>
      <c r="B144" s="82" t="n"/>
      <c r="C144" s="82" t="n"/>
      <c r="D144" s="82" t="n"/>
      <c r="E144" s="82" t="n"/>
      <c r="F144" s="82" t="n"/>
      <c r="G144" s="82" t="n"/>
      <c r="H144" s="82" t="n"/>
      <c r="I144" s="82" t="n"/>
      <c r="J144" s="82" t="n"/>
      <c r="K144" s="82" t="n"/>
    </row>
    <row r="145">
      <c r="A145" s="82" t="n"/>
      <c r="B145" s="82" t="n"/>
      <c r="C145" s="82" t="n"/>
      <c r="D145" s="82" t="n"/>
      <c r="E145" s="82" t="n"/>
      <c r="F145" s="82" t="n"/>
      <c r="G145" s="82" t="n"/>
      <c r="H145" s="82" t="n"/>
      <c r="I145" s="82" t="n"/>
      <c r="J145" s="82" t="n"/>
      <c r="K145" s="82" t="n"/>
    </row>
    <row r="146">
      <c r="A146" s="82" t="n"/>
      <c r="B146" s="82" t="n"/>
      <c r="C146" s="82" t="n"/>
      <c r="D146" s="82" t="n"/>
      <c r="E146" s="82" t="n"/>
      <c r="F146" s="82" t="n"/>
      <c r="G146" s="82" t="n"/>
      <c r="H146" s="82" t="n"/>
      <c r="I146" s="82" t="n"/>
      <c r="J146" s="82" t="n"/>
      <c r="K146" s="82" t="n"/>
    </row>
    <row r="147">
      <c r="A147" s="82" t="n"/>
      <c r="B147" s="82" t="n"/>
      <c r="C147" s="82" t="n"/>
      <c r="D147" s="82" t="n"/>
      <c r="E147" s="82" t="n"/>
      <c r="F147" s="82" t="n"/>
      <c r="G147" s="82" t="n"/>
      <c r="H147" s="82" t="n"/>
      <c r="I147" s="82" t="n"/>
      <c r="J147" s="82" t="n"/>
      <c r="K147" s="82" t="n"/>
    </row>
    <row r="148">
      <c r="A148" s="82" t="n"/>
      <c r="B148" s="82" t="n"/>
      <c r="C148" s="82" t="n"/>
      <c r="D148" s="82" t="n"/>
      <c r="E148" s="82" t="n"/>
      <c r="F148" s="82" t="n"/>
      <c r="G148" s="82" t="n"/>
      <c r="H148" s="82" t="n"/>
      <c r="I148" s="82" t="n"/>
      <c r="J148" s="82" t="n"/>
      <c r="K148" s="82" t="n"/>
    </row>
    <row r="149">
      <c r="A149" s="82" t="n"/>
      <c r="B149" s="82" t="n"/>
      <c r="C149" s="82" t="n"/>
      <c r="D149" s="82" t="n"/>
      <c r="E149" s="82" t="n"/>
      <c r="F149" s="82" t="n"/>
      <c r="G149" s="82" t="n"/>
      <c r="H149" s="82" t="n"/>
      <c r="I149" s="82" t="n"/>
      <c r="J149" s="82" t="n"/>
      <c r="K149" s="82" t="n"/>
    </row>
    <row r="150">
      <c r="A150" s="82" t="n"/>
      <c r="B150" s="82" t="n"/>
      <c r="C150" s="82" t="n"/>
      <c r="D150" s="82" t="n"/>
      <c r="E150" s="82" t="n"/>
      <c r="F150" s="82" t="n"/>
      <c r="G150" s="82" t="n"/>
      <c r="H150" s="82" t="n"/>
      <c r="I150" s="82" t="n"/>
      <c r="J150" s="82" t="n"/>
      <c r="K150" s="82" t="n"/>
    </row>
    <row r="151">
      <c r="A151" s="82" t="n"/>
      <c r="B151" s="82" t="n"/>
      <c r="C151" s="82" t="n"/>
      <c r="D151" s="82" t="n"/>
      <c r="E151" s="82" t="n"/>
      <c r="F151" s="82" t="n"/>
      <c r="G151" s="82" t="n"/>
      <c r="H151" s="82" t="n"/>
      <c r="I151" s="82" t="n"/>
      <c r="J151" s="82" t="n"/>
      <c r="K151" s="82" t="n"/>
    </row>
    <row r="152">
      <c r="A152" s="82" t="n"/>
      <c r="B152" s="82" t="n"/>
      <c r="C152" s="82" t="n"/>
      <c r="D152" s="82" t="n"/>
      <c r="E152" s="82" t="n"/>
      <c r="F152" s="82" t="n"/>
      <c r="G152" s="82" t="n"/>
      <c r="H152" s="82" t="n"/>
      <c r="I152" s="82" t="n"/>
      <c r="J152" s="82" t="n"/>
      <c r="K152" s="82" t="n"/>
    </row>
    <row r="153">
      <c r="A153" s="82" t="n"/>
      <c r="B153" s="82" t="n"/>
      <c r="C153" s="82" t="n"/>
      <c r="D153" s="82" t="n"/>
      <c r="E153" s="82" t="n"/>
      <c r="F153" s="82" t="n"/>
      <c r="G153" s="82" t="n"/>
      <c r="H153" s="82" t="n"/>
      <c r="I153" s="82" t="n"/>
      <c r="J153" s="82" t="n"/>
      <c r="K153" s="82" t="n"/>
    </row>
    <row r="154">
      <c r="A154" s="82" t="n"/>
      <c r="B154" s="82" t="n"/>
      <c r="C154" s="82" t="n"/>
      <c r="D154" s="82" t="n"/>
      <c r="E154" s="82" t="n"/>
      <c r="F154" s="82" t="n"/>
      <c r="G154" s="82" t="n"/>
      <c r="H154" s="82" t="n"/>
      <c r="I154" s="82" t="n"/>
      <c r="J154" s="82" t="n"/>
      <c r="K154" s="82" t="n"/>
    </row>
    <row r="155">
      <c r="A155" s="82" t="n"/>
      <c r="B155" s="82" t="n"/>
      <c r="C155" s="82" t="n"/>
      <c r="D155" s="82" t="n"/>
      <c r="E155" s="82" t="n"/>
      <c r="F155" s="82" t="n"/>
      <c r="G155" s="82" t="n"/>
      <c r="H155" s="82" t="n"/>
      <c r="I155" s="82" t="n"/>
      <c r="J155" s="82" t="n"/>
      <c r="K155" s="82" t="n"/>
    </row>
    <row r="156">
      <c r="A156" s="82" t="n"/>
      <c r="B156" s="82" t="n"/>
      <c r="C156" s="82" t="n"/>
      <c r="D156" s="82" t="n"/>
      <c r="E156" s="82" t="n"/>
      <c r="F156" s="82" t="n"/>
      <c r="G156" s="82" t="n"/>
      <c r="H156" s="82" t="n"/>
      <c r="I156" s="82" t="n"/>
      <c r="J156" s="82" t="n"/>
      <c r="K156" s="82" t="n"/>
    </row>
    <row r="157">
      <c r="A157" s="82" t="n"/>
      <c r="B157" s="82" t="n"/>
      <c r="C157" s="82" t="n"/>
      <c r="D157" s="82" t="n"/>
      <c r="E157" s="82" t="n"/>
      <c r="F157" s="82" t="n"/>
      <c r="G157" s="82" t="n"/>
      <c r="H157" s="82" t="n"/>
      <c r="I157" s="82" t="n"/>
      <c r="J157" s="82" t="n"/>
      <c r="K157" s="82" t="n"/>
    </row>
    <row r="158">
      <c r="A158" s="82" t="n"/>
      <c r="B158" s="82" t="n"/>
      <c r="C158" s="82" t="n"/>
      <c r="D158" s="82" t="n"/>
      <c r="E158" s="82" t="n"/>
      <c r="F158" s="82" t="n"/>
      <c r="G158" s="82" t="n"/>
      <c r="H158" s="82" t="n"/>
      <c r="I158" s="82" t="n"/>
      <c r="J158" s="82" t="n"/>
      <c r="K158" s="82" t="n"/>
    </row>
    <row r="159">
      <c r="A159" s="82" t="n"/>
      <c r="B159" s="82" t="n"/>
      <c r="C159" s="82" t="n"/>
      <c r="D159" s="82" t="n"/>
      <c r="E159" s="82" t="n"/>
      <c r="F159" s="82" t="n"/>
      <c r="G159" s="82" t="n"/>
      <c r="H159" s="82" t="n"/>
      <c r="I159" s="82" t="n"/>
      <c r="J159" s="82" t="n"/>
      <c r="K159" s="82" t="n"/>
    </row>
    <row r="160">
      <c r="A160" s="82" t="n"/>
      <c r="B160" s="82" t="n"/>
      <c r="C160" s="82" t="n"/>
      <c r="D160" s="82" t="n"/>
      <c r="E160" s="82" t="n"/>
      <c r="F160" s="82" t="n"/>
      <c r="G160" s="82" t="n"/>
      <c r="H160" s="82" t="n"/>
      <c r="I160" s="82" t="n"/>
      <c r="J160" s="82" t="n"/>
      <c r="K160" s="82" t="n"/>
    </row>
    <row r="161">
      <c r="A161" s="82" t="n"/>
      <c r="B161" s="82" t="n"/>
      <c r="C161" s="82" t="n"/>
      <c r="D161" s="82" t="n"/>
      <c r="E161" s="82" t="n"/>
      <c r="F161" s="82" t="n"/>
      <c r="G161" s="82" t="n"/>
      <c r="H161" s="82" t="n"/>
      <c r="I161" s="82" t="n"/>
      <c r="J161" s="82" t="n"/>
      <c r="K161" s="82" t="n"/>
    </row>
    <row r="162">
      <c r="A162" s="82" t="n"/>
      <c r="B162" s="82" t="n"/>
      <c r="C162" s="82" t="n"/>
      <c r="D162" s="82" t="n"/>
      <c r="E162" s="82" t="n"/>
      <c r="F162" s="82" t="n"/>
      <c r="G162" s="82" t="n"/>
      <c r="H162" s="82" t="n"/>
      <c r="I162" s="82" t="n"/>
      <c r="J162" s="82" t="n"/>
      <c r="K162" s="82" t="n"/>
    </row>
    <row r="163">
      <c r="A163" s="82" t="n"/>
      <c r="B163" s="82" t="n"/>
      <c r="C163" s="82" t="n"/>
      <c r="D163" s="82" t="n"/>
      <c r="E163" s="82" t="n"/>
      <c r="F163" s="82" t="n"/>
      <c r="G163" s="82" t="n"/>
      <c r="H163" s="82" t="n"/>
      <c r="I163" s="82" t="n"/>
      <c r="J163" s="82" t="n"/>
      <c r="K163" s="82" t="n"/>
    </row>
    <row r="164">
      <c r="A164" s="82" t="n"/>
      <c r="B164" s="82" t="n"/>
      <c r="C164" s="82" t="n"/>
      <c r="D164" s="82" t="n"/>
      <c r="E164" s="82" t="n"/>
      <c r="F164" s="82" t="n"/>
      <c r="G164" s="82" t="n"/>
      <c r="H164" s="82" t="n"/>
      <c r="I164" s="82" t="n"/>
      <c r="J164" s="82" t="n"/>
      <c r="K164" s="82" t="n"/>
    </row>
    <row r="165">
      <c r="A165" s="82" t="n"/>
      <c r="B165" s="82" t="n"/>
      <c r="C165" s="82" t="n"/>
      <c r="D165" s="82" t="n"/>
      <c r="E165" s="82" t="n"/>
      <c r="F165" s="82" t="n"/>
      <c r="G165" s="82" t="n"/>
      <c r="H165" s="82" t="n"/>
      <c r="I165" s="82" t="n"/>
      <c r="J165" s="82" t="n"/>
      <c r="K165" s="82" t="n"/>
    </row>
    <row r="166">
      <c r="A166" s="82" t="n"/>
      <c r="B166" s="82" t="n"/>
      <c r="C166" s="82" t="n"/>
      <c r="D166" s="82" t="n"/>
      <c r="E166" s="82" t="n"/>
      <c r="F166" s="82" t="n"/>
      <c r="G166" s="82" t="n"/>
      <c r="H166" s="82" t="n"/>
      <c r="I166" s="82" t="n"/>
      <c r="J166" s="82" t="n"/>
      <c r="K166" s="82" t="n"/>
    </row>
    <row r="167">
      <c r="A167" s="82" t="n"/>
      <c r="B167" s="82" t="n"/>
      <c r="C167" s="82" t="n"/>
      <c r="D167" s="82" t="n"/>
      <c r="E167" s="82" t="n"/>
      <c r="F167" s="82" t="n"/>
      <c r="G167" s="82" t="n"/>
      <c r="H167" s="82" t="n"/>
      <c r="I167" s="82" t="n"/>
      <c r="J167" s="82" t="n"/>
      <c r="K167" s="82" t="n"/>
    </row>
    <row r="168">
      <c r="A168" s="82" t="n"/>
      <c r="B168" s="82" t="n"/>
      <c r="C168" s="82" t="n"/>
      <c r="D168" s="82" t="n"/>
      <c r="E168" s="82" t="n"/>
      <c r="F168" s="82" t="n"/>
      <c r="G168" s="82" t="n"/>
      <c r="H168" s="82" t="n"/>
      <c r="I168" s="82" t="n"/>
      <c r="J168" s="82" t="n"/>
      <c r="K168" s="82" t="n"/>
    </row>
    <row r="169">
      <c r="A169" s="82" t="n"/>
      <c r="B169" s="82" t="n"/>
      <c r="C169" s="82" t="n"/>
      <c r="D169" s="82" t="n"/>
      <c r="E169" s="82" t="n"/>
      <c r="F169" s="82" t="n"/>
      <c r="G169" s="82" t="n"/>
      <c r="H169" s="82" t="n"/>
      <c r="I169" s="82" t="n"/>
      <c r="J169" s="82" t="n"/>
      <c r="K169" s="82" t="n"/>
    </row>
    <row r="170">
      <c r="A170" s="82" t="n"/>
      <c r="B170" s="82" t="n"/>
      <c r="C170" s="82" t="n"/>
      <c r="D170" s="82" t="n"/>
      <c r="E170" s="82" t="n"/>
      <c r="F170" s="82" t="n"/>
      <c r="G170" s="82" t="n"/>
      <c r="H170" s="82" t="n"/>
      <c r="I170" s="82" t="n"/>
      <c r="J170" s="82" t="n"/>
      <c r="K170" s="82" t="n"/>
    </row>
    <row r="171">
      <c r="A171" s="82" t="n"/>
      <c r="B171" s="82" t="n"/>
      <c r="C171" s="82" t="n"/>
      <c r="D171" s="82" t="n"/>
      <c r="E171" s="82" t="n"/>
      <c r="F171" s="82" t="n"/>
      <c r="G171" s="82" t="n"/>
      <c r="H171" s="82" t="n"/>
      <c r="I171" s="82" t="n"/>
      <c r="J171" s="82" t="n"/>
      <c r="K171" s="82" t="n"/>
    </row>
    <row r="172">
      <c r="A172" s="82" t="n"/>
      <c r="B172" s="82" t="n"/>
      <c r="C172" s="82" t="n"/>
      <c r="D172" s="82" t="n"/>
      <c r="E172" s="82" t="n"/>
      <c r="F172" s="82" t="n"/>
      <c r="G172" s="82" t="n"/>
      <c r="H172" s="82" t="n"/>
      <c r="I172" s="82" t="n"/>
      <c r="J172" s="82" t="n"/>
      <c r="K172" s="82" t="n"/>
    </row>
    <row r="173">
      <c r="A173" s="82" t="n"/>
      <c r="B173" s="82" t="n"/>
      <c r="C173" s="82" t="n"/>
      <c r="D173" s="82" t="n"/>
      <c r="E173" s="82" t="n"/>
      <c r="F173" s="82" t="n"/>
      <c r="G173" s="82" t="n"/>
      <c r="H173" s="82" t="n"/>
      <c r="I173" s="82" t="n"/>
      <c r="J173" s="82" t="n"/>
      <c r="K173" s="82" t="n"/>
    </row>
    <row r="174">
      <c r="A174" s="82" t="n"/>
      <c r="B174" s="82" t="n"/>
      <c r="C174" s="82" t="n"/>
      <c r="D174" s="82" t="n"/>
      <c r="E174" s="82" t="n"/>
      <c r="F174" s="82" t="n"/>
      <c r="G174" s="82" t="n"/>
      <c r="H174" s="82" t="n"/>
      <c r="I174" s="82" t="n"/>
      <c r="J174" s="82" t="n"/>
      <c r="K174" s="82" t="n"/>
    </row>
    <row r="175">
      <c r="A175" s="82" t="n"/>
      <c r="B175" s="82" t="n"/>
      <c r="C175" s="82" t="n"/>
      <c r="D175" s="82" t="n"/>
      <c r="E175" s="82" t="n"/>
      <c r="F175" s="82" t="n"/>
      <c r="G175" s="82" t="n"/>
      <c r="H175" s="82" t="n"/>
      <c r="I175" s="82" t="n"/>
      <c r="J175" s="82" t="n"/>
      <c r="K175" s="82" t="n"/>
    </row>
    <row r="176">
      <c r="A176" s="82" t="n"/>
      <c r="B176" s="82" t="n"/>
      <c r="C176" s="82" t="n"/>
      <c r="D176" s="82" t="n"/>
      <c r="E176" s="82" t="n"/>
      <c r="F176" s="82" t="n"/>
      <c r="G176" s="82" t="n"/>
      <c r="H176" s="82" t="n"/>
      <c r="I176" s="82" t="n"/>
      <c r="J176" s="82" t="n"/>
      <c r="K176" s="82" t="n"/>
    </row>
    <row r="177">
      <c r="A177" s="82" t="n"/>
      <c r="B177" s="82" t="n"/>
      <c r="C177" s="82" t="n"/>
      <c r="D177" s="82" t="n"/>
      <c r="E177" s="82" t="n"/>
      <c r="F177" s="82" t="n"/>
      <c r="G177" s="82" t="n"/>
      <c r="H177" s="82" t="n"/>
      <c r="I177" s="82" t="n"/>
      <c r="J177" s="82" t="n"/>
      <c r="K177" s="82" t="n"/>
    </row>
    <row r="178">
      <c r="A178" s="82" t="n"/>
      <c r="B178" s="82" t="n"/>
      <c r="C178" s="82" t="n"/>
      <c r="D178" s="82" t="n"/>
      <c r="E178" s="82" t="n"/>
      <c r="F178" s="82" t="n"/>
      <c r="G178" s="82" t="n"/>
      <c r="H178" s="82" t="n"/>
      <c r="I178" s="82" t="n"/>
      <c r="J178" s="82" t="n"/>
      <c r="K178" s="82" t="n"/>
    </row>
    <row r="179">
      <c r="A179" s="82" t="n"/>
      <c r="B179" s="82" t="n"/>
      <c r="C179" s="82" t="n"/>
      <c r="D179" s="82" t="n"/>
      <c r="E179" s="82" t="n"/>
      <c r="F179" s="82" t="n"/>
      <c r="G179" s="82" t="n"/>
      <c r="H179" s="82" t="n"/>
      <c r="I179" s="82" t="n"/>
      <c r="J179" s="82" t="n"/>
      <c r="K179" s="82" t="n"/>
    </row>
    <row r="180">
      <c r="A180" s="82" t="n"/>
      <c r="B180" s="82" t="n"/>
      <c r="C180" s="82" t="n"/>
      <c r="D180" s="82" t="n"/>
      <c r="E180" s="82" t="n"/>
      <c r="F180" s="82" t="n"/>
      <c r="G180" s="82" t="n"/>
      <c r="H180" s="82" t="n"/>
      <c r="I180" s="82" t="n"/>
      <c r="J180" s="82" t="n"/>
      <c r="K180" s="82" t="n"/>
    </row>
    <row r="181">
      <c r="A181" s="82" t="n"/>
      <c r="B181" s="82" t="n"/>
      <c r="C181" s="82" t="n"/>
      <c r="D181" s="82" t="n"/>
      <c r="E181" s="82" t="n"/>
      <c r="F181" s="82" t="n"/>
      <c r="G181" s="82" t="n"/>
      <c r="H181" s="82" t="n"/>
      <c r="I181" s="82" t="n"/>
      <c r="J181" s="82" t="n"/>
      <c r="K181" s="82" t="n"/>
    </row>
    <row r="182">
      <c r="A182" s="82" t="n"/>
      <c r="B182" s="82" t="n"/>
      <c r="C182" s="82" t="n"/>
      <c r="D182" s="82" t="n"/>
      <c r="E182" s="82" t="n"/>
      <c r="F182" s="82" t="n"/>
      <c r="G182" s="82" t="n"/>
      <c r="H182" s="82" t="n"/>
      <c r="I182" s="82" t="n"/>
      <c r="J182" s="82" t="n"/>
      <c r="K182" s="82" t="n"/>
    </row>
    <row r="183">
      <c r="A183" s="82" t="n"/>
      <c r="B183" s="82" t="n"/>
      <c r="C183" s="82" t="n"/>
      <c r="D183" s="82" t="n"/>
      <c r="E183" s="82" t="n"/>
      <c r="F183" s="82" t="n"/>
      <c r="G183" s="82" t="n"/>
      <c r="H183" s="82" t="n"/>
      <c r="I183" s="82" t="n"/>
      <c r="J183" s="82" t="n"/>
      <c r="K183" s="82" t="n"/>
    </row>
    <row r="184">
      <c r="A184" s="82" t="n"/>
      <c r="B184" s="82" t="n"/>
      <c r="C184" s="82" t="n"/>
      <c r="D184" s="82" t="n"/>
      <c r="E184" s="82" t="n"/>
      <c r="F184" s="82" t="n"/>
      <c r="G184" s="82" t="n"/>
      <c r="H184" s="82" t="n"/>
      <c r="I184" s="82" t="n"/>
      <c r="J184" s="82" t="n"/>
      <c r="K184" s="82" t="n"/>
    </row>
    <row r="185">
      <c r="A185" s="82" t="n"/>
      <c r="B185" s="82" t="n"/>
      <c r="C185" s="82" t="n"/>
      <c r="D185" s="82" t="n"/>
      <c r="E185" s="82" t="n"/>
      <c r="F185" s="82" t="n"/>
      <c r="G185" s="82" t="n"/>
      <c r="H185" s="82" t="n"/>
      <c r="I185" s="82" t="n"/>
      <c r="J185" s="82" t="n"/>
      <c r="K185" s="82" t="n"/>
    </row>
    <row r="186">
      <c r="A186" s="82" t="n"/>
      <c r="B186" s="82" t="n"/>
      <c r="C186" s="82" t="n"/>
      <c r="D186" s="82" t="n"/>
      <c r="E186" s="82" t="n"/>
      <c r="F186" s="82" t="n"/>
      <c r="G186" s="82" t="n"/>
      <c r="H186" s="82" t="n"/>
      <c r="I186" s="82" t="n"/>
      <c r="J186" s="82" t="n"/>
      <c r="K186" s="82" t="n"/>
    </row>
    <row r="187">
      <c r="A187" s="82" t="n"/>
      <c r="B187" s="82" t="n"/>
      <c r="C187" s="82" t="n"/>
      <c r="D187" s="82" t="n"/>
      <c r="E187" s="82" t="n"/>
      <c r="F187" s="82" t="n"/>
      <c r="G187" s="82" t="n"/>
      <c r="H187" s="82" t="n"/>
      <c r="I187" s="82" t="n"/>
      <c r="J187" s="82" t="n"/>
      <c r="K187" s="82" t="n"/>
    </row>
    <row r="188">
      <c r="A188" s="82" t="n"/>
      <c r="B188" s="82" t="n"/>
      <c r="C188" s="82" t="n"/>
      <c r="D188" s="82" t="n"/>
      <c r="E188" s="82" t="n"/>
      <c r="F188" s="82" t="n"/>
      <c r="G188" s="82" t="n"/>
      <c r="H188" s="82" t="n"/>
      <c r="I188" s="82" t="n"/>
      <c r="J188" s="82" t="n"/>
      <c r="K188" s="82" t="n"/>
    </row>
    <row r="189">
      <c r="A189" s="82" t="n"/>
      <c r="B189" s="82" t="n"/>
      <c r="C189" s="82" t="n"/>
      <c r="D189" s="82" t="n"/>
      <c r="E189" s="82" t="n"/>
      <c r="F189" s="82" t="n"/>
      <c r="G189" s="82" t="n"/>
      <c r="H189" s="82" t="n"/>
      <c r="I189" s="82" t="n"/>
      <c r="J189" s="82" t="n"/>
      <c r="K189" s="82" t="n"/>
    </row>
    <row r="190">
      <c r="A190" s="82" t="n"/>
      <c r="B190" s="82" t="n"/>
      <c r="C190" s="82" t="n"/>
      <c r="D190" s="82" t="n"/>
      <c r="E190" s="82" t="n"/>
      <c r="F190" s="82" t="n"/>
      <c r="G190" s="82" t="n"/>
      <c r="H190" s="82" t="n"/>
      <c r="I190" s="82" t="n"/>
      <c r="J190" s="82" t="n"/>
      <c r="K190" s="82" t="n"/>
    </row>
    <row r="191">
      <c r="A191" s="82" t="n"/>
      <c r="B191" s="82" t="n"/>
      <c r="C191" s="82" t="n"/>
      <c r="D191" s="82" t="n"/>
      <c r="E191" s="82" t="n"/>
      <c r="F191" s="82" t="n"/>
      <c r="G191" s="82" t="n"/>
      <c r="H191" s="82" t="n"/>
      <c r="I191" s="82" t="n"/>
      <c r="J191" s="82" t="n"/>
      <c r="K191" s="82" t="n"/>
    </row>
    <row r="192">
      <c r="A192" s="82" t="n"/>
      <c r="B192" s="82" t="n"/>
      <c r="C192" s="82" t="n"/>
      <c r="D192" s="82" t="n"/>
      <c r="E192" s="82" t="n"/>
      <c r="F192" s="82" t="n"/>
      <c r="G192" s="82" t="n"/>
      <c r="H192" s="82" t="n"/>
      <c r="I192" s="82" t="n"/>
      <c r="J192" s="82" t="n"/>
      <c r="K192" s="82" t="n"/>
    </row>
    <row r="193">
      <c r="A193" s="82" t="n"/>
      <c r="B193" s="82" t="n"/>
      <c r="C193" s="82" t="n"/>
      <c r="D193" s="82" t="n"/>
      <c r="E193" s="82" t="n"/>
      <c r="F193" s="82" t="n"/>
      <c r="G193" s="82" t="n"/>
      <c r="H193" s="82" t="n"/>
      <c r="I193" s="82" t="n"/>
      <c r="J193" s="82" t="n"/>
      <c r="K193" s="82" t="n"/>
    </row>
    <row r="194">
      <c r="A194" s="82" t="n"/>
      <c r="B194" s="82" t="n"/>
      <c r="C194" s="82" t="n"/>
      <c r="D194" s="82" t="n"/>
      <c r="E194" s="82" t="n"/>
      <c r="F194" s="82" t="n"/>
      <c r="G194" s="82" t="n"/>
      <c r="H194" s="82" t="n"/>
      <c r="I194" s="82" t="n"/>
      <c r="J194" s="82" t="n"/>
      <c r="K194" s="82" t="n"/>
    </row>
    <row r="195">
      <c r="A195" s="82" t="n"/>
      <c r="B195" s="82" t="n"/>
      <c r="C195" s="82" t="n"/>
      <c r="D195" s="82" t="n"/>
      <c r="E195" s="82" t="n"/>
      <c r="F195" s="82" t="n"/>
      <c r="G195" s="82" t="n"/>
      <c r="H195" s="82" t="n"/>
      <c r="I195" s="82" t="n"/>
      <c r="J195" s="82" t="n"/>
      <c r="K195" s="82" t="n"/>
    </row>
    <row r="196">
      <c r="A196" s="82" t="n"/>
      <c r="B196" s="82" t="n"/>
      <c r="C196" s="82" t="n"/>
      <c r="D196" s="82" t="n"/>
      <c r="E196" s="82" t="n"/>
      <c r="F196" s="82" t="n"/>
      <c r="G196" s="82" t="n"/>
      <c r="H196" s="82" t="n"/>
      <c r="I196" s="82" t="n"/>
      <c r="J196" s="82" t="n"/>
      <c r="K196" s="82" t="n"/>
    </row>
    <row r="197">
      <c r="A197" s="82" t="n"/>
      <c r="B197" s="82" t="n"/>
      <c r="C197" s="82" t="n"/>
      <c r="D197" s="82" t="n"/>
      <c r="E197" s="82" t="n"/>
      <c r="F197" s="82" t="n"/>
      <c r="G197" s="82" t="n"/>
      <c r="H197" s="82" t="n"/>
      <c r="I197" s="82" t="n"/>
      <c r="J197" s="82" t="n"/>
      <c r="K197" s="82" t="n"/>
    </row>
    <row r="198">
      <c r="A198" s="82" t="n"/>
      <c r="B198" s="82" t="n"/>
      <c r="C198" s="82" t="n"/>
      <c r="D198" s="82" t="n"/>
      <c r="E198" s="82" t="n"/>
      <c r="F198" s="82" t="n"/>
      <c r="G198" s="82" t="n"/>
      <c r="H198" s="82" t="n"/>
      <c r="I198" s="82" t="n"/>
      <c r="J198" s="82" t="n"/>
      <c r="K198" s="82" t="n"/>
    </row>
    <row r="199">
      <c r="A199" s="82" t="n"/>
      <c r="B199" s="82" t="n"/>
      <c r="C199" s="82" t="n"/>
      <c r="D199" s="82" t="n"/>
      <c r="E199" s="82" t="n"/>
      <c r="F199" s="82" t="n"/>
      <c r="G199" s="82" t="n"/>
      <c r="H199" s="82" t="n"/>
      <c r="I199" s="82" t="n"/>
      <c r="J199" s="82" t="n"/>
      <c r="K199" s="82" t="n"/>
    </row>
    <row r="200">
      <c r="A200" s="82" t="n"/>
      <c r="B200" s="82" t="n"/>
      <c r="C200" s="82" t="n"/>
      <c r="D200" s="82" t="n"/>
      <c r="E200" s="82" t="n"/>
      <c r="F200" s="82" t="n"/>
      <c r="G200" s="82" t="n"/>
      <c r="H200" s="82" t="n"/>
      <c r="I200" s="82" t="n"/>
      <c r="J200" s="82" t="n"/>
      <c r="K200" s="82" t="n"/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autoFilter ref="A4:K12"/>
  <mergeCells count="2">
    <mergeCell ref="A2:K2"/>
    <mergeCell ref="A1:K1"/>
  </mergeCells>
  <conditionalFormatting sqref="F5:F80">
    <cfRule type="expression" priority="1" dxfId="1">
      <formula>F5="Info"</formula>
    </cfRule>
    <cfRule type="expression" priority="2" dxfId="0">
      <formula>F5="Opportunity"</formula>
    </cfRule>
    <cfRule type="expression" priority="3" dxfId="2">
      <formula>F5="Warning"</formula>
    </cfRule>
    <cfRule type="expression" priority="4" dxfId="4">
      <formula>F5="Critical"</formula>
    </cfRule>
  </conditionalFormatting>
  <conditionalFormatting sqref="J5:J80">
    <cfRule type="expression" priority="5" dxfId="1">
      <formula>J5="New"</formula>
    </cfRule>
    <cfRule type="expression" priority="6" dxfId="0">
      <formula>J5="Accepted"</formula>
    </cfRule>
    <cfRule type="expression" priority="7" dxfId="9">
      <formula>J5="In Progress"</formula>
    </cfRule>
    <cfRule type="expression" priority="8" dxfId="8">
      <formula>J5="Dismissed"</formula>
    </cfRule>
    <cfRule type="expression" priority="9" dxfId="3">
      <formula>J5="Resolved"</formula>
    </cfRule>
  </conditionalFormatting>
  <dataValidations count="2">
    <dataValidation sqref="F5:F80" showDropDown="0" showInputMessage="0" showErrorMessage="1" allowBlank="1" errorTitle="Invalid value" error="Pick a value from the list." type="list">
      <formula1>=Insight_Severity</formula1>
    </dataValidation>
    <dataValidation sqref="J5:J80" showDropDown="0" showInputMessage="0" showErrorMessage="1" allowBlank="1" errorTitle="Invalid value" error="Pick a value from the list." type="list">
      <formula1>=Insight_Status</formula1>
    </dataValidation>
  </dataValidations>
  <pageMargins left="0.4" right="0.4" top="0.6" bottom="0.5" header="0.25" footer="0.25"/>
  <pageSetup orientation="landscape" paperSize="3" fitToHeight="0" fitToWidth="1"/>
  <headerFooter>
    <oddHeader>&amp;LNovality Store  ·  Home Renovation System&amp;RAI Insights</oddHeader>
    <oddFooter>&amp;LConfidential  ·  Digital twin of the home&amp;RPage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719B7A"/>
    <outlinePr summaryBelow="1" summaryRight="1"/>
    <pageSetUpPr fitToPage="1"/>
  </sheetPr>
  <dimension ref="A1:L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4" customWidth="1" min="4" max="4"/>
    <col width="3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 ht="28" customHeight="1">
      <c r="A1" s="1" t="inlineStr">
        <is>
          <t>BUDGET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Category + room budgets  ·  spent/committed live from Expenses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 ht="22" customHeight="1">
      <c r="A4" s="66" t="inlineStr">
        <is>
          <t>Line ID</t>
        </is>
      </c>
      <c r="B4" s="66" t="inlineStr">
        <is>
          <t>Project ID</t>
        </is>
      </c>
      <c r="C4" s="66" t="inlineStr">
        <is>
          <t>Room ID</t>
        </is>
      </c>
      <c r="D4" s="66" t="inlineStr">
        <is>
          <t>Category</t>
        </is>
      </c>
      <c r="E4" s="66" t="inlineStr">
        <is>
          <t>Subcategory</t>
        </is>
      </c>
      <c r="F4" s="66" t="inlineStr">
        <is>
          <t>Planned</t>
        </is>
      </c>
      <c r="G4" s="66" t="inlineStr">
        <is>
          <t>Spent (Paid)</t>
        </is>
      </c>
      <c r="H4" s="66" t="inlineStr">
        <is>
          <t>Committed</t>
        </is>
      </c>
      <c r="I4" s="66" t="inlineStr">
        <is>
          <t>Remaining</t>
        </is>
      </c>
      <c r="J4" s="66" t="inlineStr">
        <is>
          <t>Variance</t>
        </is>
      </c>
      <c r="K4" s="66" t="inlineStr">
        <is>
          <t>Variance %</t>
        </is>
      </c>
      <c r="L4" s="66" t="inlineStr">
        <is>
          <t>Alert</t>
        </is>
      </c>
    </row>
    <row r="5" ht="18" customHeight="1">
      <c r="A5" s="67" t="inlineStr">
        <is>
          <t>BL-001</t>
        </is>
      </c>
      <c r="B5" s="67" t="inlineStr">
        <is>
          <t>PRJ-001</t>
        </is>
      </c>
      <c r="C5" s="67" t="inlineStr">
        <is>
          <t>RM-01</t>
        </is>
      </c>
      <c r="D5" s="67" t="inlineStr">
        <is>
          <t>Materials</t>
        </is>
      </c>
      <c r="E5" s="68" t="inlineStr">
        <is>
          <t>Cabinetry &amp; hardware</t>
        </is>
      </c>
      <c r="F5" s="88" t="n">
        <v>14800</v>
      </c>
      <c r="G5" s="89">
        <f>IF($A5="","",IF($C5="",SUMIFS(Expenses!$H:$H,Expenses!$C:$C,$B5,Expenses!$E:$E,$D5,Expenses!$J:$J,"Paid"),SUMIFS(Expenses!$H:$H,Expenses!$C:$C,$B5,Expenses!$D:$D,$C5,Expenses!$E:$E,$D5,Expenses!$J:$J,"Paid")))</f>
        <v/>
      </c>
      <c r="H5" s="85">
        <f>IF($A5="","",IF($C5="",SUMIFS(Expenses!$H:$H,Expenses!$C:$C,$B5,Expenses!$E:$E,$D5,Expenses!$J:$J,"Committed"),SUMIFS(Expenses!$H:$H,Expenses!$C:$C,$B5,Expenses!$D:$D,$C5,Expenses!$E:$E,$D5,Expenses!$J:$J,"Committed")))</f>
        <v/>
      </c>
      <c r="I5" s="85">
        <f>IF($A5="","",$F5-$G5-$H5)</f>
        <v/>
      </c>
      <c r="J5" s="85">
        <f>IF($A5="","",$F5-($G5+$H5))</f>
        <v/>
      </c>
      <c r="K5" s="90">
        <f>IF(OR($A5="",$F5=0),"",($G5+$H5-$F5)/$F5)</f>
        <v/>
      </c>
      <c r="L5" s="91">
        <f>IF($A5="","",IF($F5=0,"",IF(($G5+$H5)&gt;$F5*(1+OverrunAlert),"Over",IF(($G5+$H5)&gt;$F5,"Watch",IF(($G5+$H5)&lt;$F5*0.85,"Under","On Track")))))</f>
        <v/>
      </c>
    </row>
    <row r="6" ht="18" customHeight="1">
      <c r="A6" s="75" t="inlineStr">
        <is>
          <t>BL-002</t>
        </is>
      </c>
      <c r="B6" s="75" t="inlineStr">
        <is>
          <t>PRJ-001</t>
        </is>
      </c>
      <c r="C6" s="75" t="inlineStr">
        <is>
          <t>RM-01</t>
        </is>
      </c>
      <c r="D6" s="75" t="inlineStr">
        <is>
          <t>Materials</t>
        </is>
      </c>
      <c r="E6" s="76" t="inlineStr">
        <is>
          <t>Counters &amp; backsplash</t>
        </is>
      </c>
      <c r="F6" s="88" t="n">
        <v>6200</v>
      </c>
      <c r="G6" s="89">
        <f>IF($A6="","",IF($C6="",SUMIFS(Expenses!$H:$H,Expenses!$C:$C,$B6,Expenses!$E:$E,$D6,Expenses!$J:$J,"Paid"),SUMIFS(Expenses!$H:$H,Expenses!$C:$C,$B6,Expenses!$D:$D,$C6,Expenses!$E:$E,$D6,Expenses!$J:$J,"Paid")))</f>
        <v/>
      </c>
      <c r="H6" s="85">
        <f>IF($A6="","",IF($C6="",SUMIFS(Expenses!$H:$H,Expenses!$C:$C,$B6,Expenses!$E:$E,$D6,Expenses!$J:$J,"Committed"),SUMIFS(Expenses!$H:$H,Expenses!$C:$C,$B6,Expenses!$D:$D,$C6,Expenses!$E:$E,$D6,Expenses!$J:$J,"Committed")))</f>
        <v/>
      </c>
      <c r="I6" s="85">
        <f>IF($A6="","",$F6-$G6-$H6)</f>
        <v/>
      </c>
      <c r="J6" s="85">
        <f>IF($A6="","",$F6-($G6+$H6))</f>
        <v/>
      </c>
      <c r="K6" s="90">
        <f>IF(OR($A6="",$F6=0),"",($G6+$H6-$F6)/$F6)</f>
        <v/>
      </c>
      <c r="L6" s="91">
        <f>IF($A6="","",IF($F6=0,"",IF(($G6+$H6)&gt;$F6*(1+OverrunAlert),"Over",IF(($G6+$H6)&gt;$F6,"Watch",IF(($G6+$H6)&lt;$F6*0.85,"Under","On Track")))))</f>
        <v/>
      </c>
    </row>
    <row r="7" ht="18" customHeight="1">
      <c r="A7" s="67" t="inlineStr">
        <is>
          <t>BL-003</t>
        </is>
      </c>
      <c r="B7" s="67" t="inlineStr">
        <is>
          <t>PRJ-001</t>
        </is>
      </c>
      <c r="C7" s="67" t="inlineStr">
        <is>
          <t>RM-01</t>
        </is>
      </c>
      <c r="D7" s="67" t="inlineStr">
        <is>
          <t>Materials</t>
        </is>
      </c>
      <c r="E7" s="68" t="inlineStr">
        <is>
          <t>Appliances</t>
        </is>
      </c>
      <c r="F7" s="88" t="n">
        <v>5400</v>
      </c>
      <c r="G7" s="89">
        <f>IF($A7="","",IF($C7="",SUMIFS(Expenses!$H:$H,Expenses!$C:$C,$B7,Expenses!$E:$E,$D7,Expenses!$J:$J,"Paid"),SUMIFS(Expenses!$H:$H,Expenses!$C:$C,$B7,Expenses!$D:$D,$C7,Expenses!$E:$E,$D7,Expenses!$J:$J,"Paid")))</f>
        <v/>
      </c>
      <c r="H7" s="85">
        <f>IF($A7="","",IF($C7="",SUMIFS(Expenses!$H:$H,Expenses!$C:$C,$B7,Expenses!$E:$E,$D7,Expenses!$J:$J,"Committed"),SUMIFS(Expenses!$H:$H,Expenses!$C:$C,$B7,Expenses!$D:$D,$C7,Expenses!$E:$E,$D7,Expenses!$J:$J,"Committed")))</f>
        <v/>
      </c>
      <c r="I7" s="85">
        <f>IF($A7="","",$F7-$G7-$H7)</f>
        <v/>
      </c>
      <c r="J7" s="85">
        <f>IF($A7="","",$F7-($G7+$H7))</f>
        <v/>
      </c>
      <c r="K7" s="90">
        <f>IF(OR($A7="",$F7=0),"",($G7+$H7-$F7)/$F7)</f>
        <v/>
      </c>
      <c r="L7" s="91">
        <f>IF($A7="","",IF($F7=0,"",IF(($G7+$H7)&gt;$F7*(1+OverrunAlert),"Over",IF(($G7+$H7)&gt;$F7,"Watch",IF(($G7+$H7)&lt;$F7*0.85,"Under","On Track")))))</f>
        <v/>
      </c>
    </row>
    <row r="8" ht="18" customHeight="1">
      <c r="A8" s="75" t="inlineStr">
        <is>
          <t>BL-004</t>
        </is>
      </c>
      <c r="B8" s="75" t="inlineStr">
        <is>
          <t>PRJ-001</t>
        </is>
      </c>
      <c r="C8" s="75" t="inlineStr">
        <is>
          <t>RM-01</t>
        </is>
      </c>
      <c r="D8" s="75" t="inlineStr">
        <is>
          <t>Labor</t>
        </is>
      </c>
      <c r="E8" s="76" t="inlineStr">
        <is>
          <t>Cabinet install + finish carpentry</t>
        </is>
      </c>
      <c r="F8" s="88" t="n">
        <v>3600</v>
      </c>
      <c r="G8" s="89">
        <f>IF($A8="","",IF($C8="",SUMIFS(Expenses!$H:$H,Expenses!$C:$C,$B8,Expenses!$E:$E,$D8,Expenses!$J:$J,"Paid"),SUMIFS(Expenses!$H:$H,Expenses!$C:$C,$B8,Expenses!$D:$D,$C8,Expenses!$E:$E,$D8,Expenses!$J:$J,"Paid")))</f>
        <v/>
      </c>
      <c r="H8" s="85">
        <f>IF($A8="","",IF($C8="",SUMIFS(Expenses!$H:$H,Expenses!$C:$C,$B8,Expenses!$E:$E,$D8,Expenses!$J:$J,"Committed"),SUMIFS(Expenses!$H:$H,Expenses!$C:$C,$B8,Expenses!$D:$D,$C8,Expenses!$E:$E,$D8,Expenses!$J:$J,"Committed")))</f>
        <v/>
      </c>
      <c r="I8" s="85">
        <f>IF($A8="","",$F8-$G8-$H8)</f>
        <v/>
      </c>
      <c r="J8" s="85">
        <f>IF($A8="","",$F8-($G8+$H8))</f>
        <v/>
      </c>
      <c r="K8" s="90">
        <f>IF(OR($A8="",$F8=0),"",($G8+$H8-$F8)/$F8)</f>
        <v/>
      </c>
      <c r="L8" s="91">
        <f>IF($A8="","",IF($F8=0,"",IF(($G8+$H8)&gt;$F8*(1+OverrunAlert),"Over",IF(($G8+$H8)&gt;$F8,"Watch",IF(($G8+$H8)&lt;$F8*0.85,"Under","On Track")))))</f>
        <v/>
      </c>
    </row>
    <row r="9" ht="18" customHeight="1">
      <c r="A9" s="67" t="inlineStr">
        <is>
          <t>BL-005</t>
        </is>
      </c>
      <c r="B9" s="67" t="inlineStr">
        <is>
          <t>PRJ-001</t>
        </is>
      </c>
      <c r="C9" s="67" t="inlineStr">
        <is>
          <t>RM-01</t>
        </is>
      </c>
      <c r="D9" s="67" t="inlineStr">
        <is>
          <t>Labor</t>
        </is>
      </c>
      <c r="E9" s="68" t="inlineStr">
        <is>
          <t>Plumbing relocate</t>
        </is>
      </c>
      <c r="F9" s="88" t="n">
        <v>1400</v>
      </c>
      <c r="G9" s="89">
        <f>IF($A9="","",IF($C9="",SUMIFS(Expenses!$H:$H,Expenses!$C:$C,$B9,Expenses!$E:$E,$D9,Expenses!$J:$J,"Paid"),SUMIFS(Expenses!$H:$H,Expenses!$C:$C,$B9,Expenses!$D:$D,$C9,Expenses!$E:$E,$D9,Expenses!$J:$J,"Paid")))</f>
        <v/>
      </c>
      <c r="H9" s="85">
        <f>IF($A9="","",IF($C9="",SUMIFS(Expenses!$H:$H,Expenses!$C:$C,$B9,Expenses!$E:$E,$D9,Expenses!$J:$J,"Committed"),SUMIFS(Expenses!$H:$H,Expenses!$C:$C,$B9,Expenses!$D:$D,$C9,Expenses!$E:$E,$D9,Expenses!$J:$J,"Committed")))</f>
        <v/>
      </c>
      <c r="I9" s="85">
        <f>IF($A9="","",$F9-$G9-$H9)</f>
        <v/>
      </c>
      <c r="J9" s="85">
        <f>IF($A9="","",$F9-($G9+$H9))</f>
        <v/>
      </c>
      <c r="K9" s="90">
        <f>IF(OR($A9="",$F9=0),"",($G9+$H9-$F9)/$F9)</f>
        <v/>
      </c>
      <c r="L9" s="91">
        <f>IF($A9="","",IF($F9=0,"",IF(($G9+$H9)&gt;$F9*(1+OverrunAlert),"Over",IF(($G9+$H9)&gt;$F9,"Watch",IF(($G9+$H9)&lt;$F9*0.85,"Under","On Track")))))</f>
        <v/>
      </c>
    </row>
    <row r="10" ht="18" customHeight="1">
      <c r="A10" s="75" t="inlineStr">
        <is>
          <t>BL-006</t>
        </is>
      </c>
      <c r="B10" s="75" t="inlineStr">
        <is>
          <t>PRJ-001</t>
        </is>
      </c>
      <c r="C10" s="75" t="inlineStr">
        <is>
          <t>RM-01</t>
        </is>
      </c>
      <c r="D10" s="75" t="inlineStr">
        <is>
          <t>Labor</t>
        </is>
      </c>
      <c r="E10" s="76" t="inlineStr">
        <is>
          <t>Electrical / lighting</t>
        </is>
      </c>
      <c r="F10" s="88" t="n">
        <v>600</v>
      </c>
      <c r="G10" s="89">
        <f>IF($A10="","",IF($C10="",SUMIFS(Expenses!$H:$H,Expenses!$C:$C,$B10,Expenses!$E:$E,$D10,Expenses!$J:$J,"Paid"),SUMIFS(Expenses!$H:$H,Expenses!$C:$C,$B10,Expenses!$D:$D,$C10,Expenses!$E:$E,$D10,Expenses!$J:$J,"Paid")))</f>
        <v/>
      </c>
      <c r="H10" s="85">
        <f>IF($A10="","",IF($C10="",SUMIFS(Expenses!$H:$H,Expenses!$C:$C,$B10,Expenses!$E:$E,$D10,Expenses!$J:$J,"Committed"),SUMIFS(Expenses!$H:$H,Expenses!$C:$C,$B10,Expenses!$D:$D,$C10,Expenses!$E:$E,$D10,Expenses!$J:$J,"Committed")))</f>
        <v/>
      </c>
      <c r="I10" s="85">
        <f>IF($A10="","",$F10-$G10-$H10)</f>
        <v/>
      </c>
      <c r="J10" s="85">
        <f>IF($A10="","",$F10-($G10+$H10))</f>
        <v/>
      </c>
      <c r="K10" s="90">
        <f>IF(OR($A10="",$F10=0),"",($G10+$H10-$F10)/$F10)</f>
        <v/>
      </c>
      <c r="L10" s="91">
        <f>IF($A10="","",IF($F10=0,"",IF(($G10+$H10)&gt;$F10*(1+OverrunAlert),"Over",IF(($G10+$H10)&gt;$F10,"Watch",IF(($G10+$H10)&lt;$F10*0.85,"Under","On Track")))))</f>
        <v/>
      </c>
    </row>
    <row r="11" ht="18" customHeight="1">
      <c r="A11" s="67" t="inlineStr">
        <is>
          <t>BL-007</t>
        </is>
      </c>
      <c r="B11" s="67" t="inlineStr">
        <is>
          <t>PRJ-001</t>
        </is>
      </c>
      <c r="C11" s="67" t="inlineStr">
        <is>
          <t>RM-02</t>
        </is>
      </c>
      <c r="D11" s="67" t="inlineStr">
        <is>
          <t>Materials</t>
        </is>
      </c>
      <c r="E11" s="68" t="inlineStr">
        <is>
          <t>White oak flooring (share)</t>
        </is>
      </c>
      <c r="F11" s="88" t="n">
        <v>2800</v>
      </c>
      <c r="G11" s="89">
        <f>IF($A11="","",IF($C11="",SUMIFS(Expenses!$H:$H,Expenses!$C:$C,$B11,Expenses!$E:$E,$D11,Expenses!$J:$J,"Paid"),SUMIFS(Expenses!$H:$H,Expenses!$C:$C,$B11,Expenses!$D:$D,$C11,Expenses!$E:$E,$D11,Expenses!$J:$J,"Paid")))</f>
        <v/>
      </c>
      <c r="H11" s="85">
        <f>IF($A11="","",IF($C11="",SUMIFS(Expenses!$H:$H,Expenses!$C:$C,$B11,Expenses!$E:$E,$D11,Expenses!$J:$J,"Committed"),SUMIFS(Expenses!$H:$H,Expenses!$C:$C,$B11,Expenses!$D:$D,$C11,Expenses!$E:$E,$D11,Expenses!$J:$J,"Committed")))</f>
        <v/>
      </c>
      <c r="I11" s="85">
        <f>IF($A11="","",$F11-$G11-$H11)</f>
        <v/>
      </c>
      <c r="J11" s="85">
        <f>IF($A11="","",$F11-($G11+$H11))</f>
        <v/>
      </c>
      <c r="K11" s="90">
        <f>IF(OR($A11="",$F11=0),"",($G11+$H11-$F11)/$F11)</f>
        <v/>
      </c>
      <c r="L11" s="91">
        <f>IF($A11="","",IF($F11=0,"",IF(($G11+$H11)&gt;$F11*(1+OverrunAlert),"Over",IF(($G11+$H11)&gt;$F11,"Watch",IF(($G11+$H11)&lt;$F11*0.85,"Under","On Track")))))</f>
        <v/>
      </c>
    </row>
    <row r="12" ht="18" customHeight="1">
      <c r="A12" s="75" t="inlineStr">
        <is>
          <t>BL-008</t>
        </is>
      </c>
      <c r="B12" s="75" t="inlineStr">
        <is>
          <t>PRJ-001</t>
        </is>
      </c>
      <c r="C12" s="75" t="inlineStr">
        <is>
          <t>RM-02</t>
        </is>
      </c>
      <c r="D12" s="75" t="inlineStr">
        <is>
          <t>Labor</t>
        </is>
      </c>
      <c r="E12" s="76" t="inlineStr">
        <is>
          <t>Floor install + finish</t>
        </is>
      </c>
      <c r="F12" s="88" t="n">
        <v>2200</v>
      </c>
      <c r="G12" s="89">
        <f>IF($A12="","",IF($C12="",SUMIFS(Expenses!$H:$H,Expenses!$C:$C,$B12,Expenses!$E:$E,$D12,Expenses!$J:$J,"Paid"),SUMIFS(Expenses!$H:$H,Expenses!$C:$C,$B12,Expenses!$D:$D,$C12,Expenses!$E:$E,$D12,Expenses!$J:$J,"Paid")))</f>
        <v/>
      </c>
      <c r="H12" s="85">
        <f>IF($A12="","",IF($C12="",SUMIFS(Expenses!$H:$H,Expenses!$C:$C,$B12,Expenses!$E:$E,$D12,Expenses!$J:$J,"Committed"),SUMIFS(Expenses!$H:$H,Expenses!$C:$C,$B12,Expenses!$D:$D,$C12,Expenses!$E:$E,$D12,Expenses!$J:$J,"Committed")))</f>
        <v/>
      </c>
      <c r="I12" s="85">
        <f>IF($A12="","",$F12-$G12-$H12)</f>
        <v/>
      </c>
      <c r="J12" s="85">
        <f>IF($A12="","",$F12-($G12+$H12))</f>
        <v/>
      </c>
      <c r="K12" s="90">
        <f>IF(OR($A12="",$F12=0),"",($G12+$H12-$F12)/$F12)</f>
        <v/>
      </c>
      <c r="L12" s="91">
        <f>IF($A12="","",IF($F12=0,"",IF(($G12+$H12)&gt;$F12*(1+OverrunAlert),"Over",IF(($G12+$H12)&gt;$F12,"Watch",IF(($G12+$H12)&lt;$F12*0.85,"Under","On Track")))))</f>
        <v/>
      </c>
    </row>
    <row r="13" ht="18" customHeight="1">
      <c r="A13" s="67" t="inlineStr">
        <is>
          <t>BL-009</t>
        </is>
      </c>
      <c r="B13" s="67" t="inlineStr">
        <is>
          <t>PRJ-001</t>
        </is>
      </c>
      <c r="C13" s="67" t="inlineStr">
        <is>
          <t>RM-02</t>
        </is>
      </c>
      <c r="D13" s="67" t="inlineStr">
        <is>
          <t>Furniture</t>
        </is>
      </c>
      <c r="E13" s="68" t="inlineStr">
        <is>
          <t>Sofa, table, lighting</t>
        </is>
      </c>
      <c r="F13" s="88" t="n">
        <v>4200</v>
      </c>
      <c r="G13" s="89">
        <f>IF($A13="","",IF($C13="",SUMIFS(Expenses!$H:$H,Expenses!$C:$C,$B13,Expenses!$E:$E,$D13,Expenses!$J:$J,"Paid"),SUMIFS(Expenses!$H:$H,Expenses!$C:$C,$B13,Expenses!$D:$D,$C13,Expenses!$E:$E,$D13,Expenses!$J:$J,"Paid")))</f>
        <v/>
      </c>
      <c r="H13" s="85">
        <f>IF($A13="","",IF($C13="",SUMIFS(Expenses!$H:$H,Expenses!$C:$C,$B13,Expenses!$E:$E,$D13,Expenses!$J:$J,"Committed"),SUMIFS(Expenses!$H:$H,Expenses!$C:$C,$B13,Expenses!$D:$D,$C13,Expenses!$E:$E,$D13,Expenses!$J:$J,"Committed")))</f>
        <v/>
      </c>
      <c r="I13" s="85">
        <f>IF($A13="","",$F13-$G13-$H13)</f>
        <v/>
      </c>
      <c r="J13" s="85">
        <f>IF($A13="","",$F13-($G13+$H13))</f>
        <v/>
      </c>
      <c r="K13" s="90">
        <f>IF(OR($A13="",$F13=0),"",($G13+$H13-$F13)/$F13)</f>
        <v/>
      </c>
      <c r="L13" s="91">
        <f>IF($A13="","",IF($F13=0,"",IF(($G13+$H13)&gt;$F13*(1+OverrunAlert),"Over",IF(($G13+$H13)&gt;$F13,"Watch",IF(($G13+$H13)&lt;$F13*0.85,"Under","On Track")))))</f>
        <v/>
      </c>
    </row>
    <row r="14" ht="18" customHeight="1">
      <c r="A14" s="75" t="inlineStr">
        <is>
          <t>BL-010</t>
        </is>
      </c>
      <c r="B14" s="75" t="inlineStr">
        <is>
          <t>PRJ-001</t>
        </is>
      </c>
      <c r="C14" s="75" t="inlineStr">
        <is>
          <t>RM-02</t>
        </is>
      </c>
      <c r="D14" s="75" t="inlineStr">
        <is>
          <t>Materials</t>
        </is>
      </c>
      <c r="E14" s="76" t="inlineStr">
        <is>
          <t>Paint &amp; plaster</t>
        </is>
      </c>
      <c r="F14" s="88" t="n">
        <v>900</v>
      </c>
      <c r="G14" s="89">
        <f>IF($A14="","",IF($C14="",SUMIFS(Expenses!$H:$H,Expenses!$C:$C,$B14,Expenses!$E:$E,$D14,Expenses!$J:$J,"Paid"),SUMIFS(Expenses!$H:$H,Expenses!$C:$C,$B14,Expenses!$D:$D,$C14,Expenses!$E:$E,$D14,Expenses!$J:$J,"Paid")))</f>
        <v/>
      </c>
      <c r="H14" s="85">
        <f>IF($A14="","",IF($C14="",SUMIFS(Expenses!$H:$H,Expenses!$C:$C,$B14,Expenses!$E:$E,$D14,Expenses!$J:$J,"Committed"),SUMIFS(Expenses!$H:$H,Expenses!$C:$C,$B14,Expenses!$D:$D,$C14,Expenses!$E:$E,$D14,Expenses!$J:$J,"Committed")))</f>
        <v/>
      </c>
      <c r="I14" s="85">
        <f>IF($A14="","",$F14-$G14-$H14)</f>
        <v/>
      </c>
      <c r="J14" s="85">
        <f>IF($A14="","",$F14-($G14+$H14))</f>
        <v/>
      </c>
      <c r="K14" s="90">
        <f>IF(OR($A14="",$F14=0),"",($G14+$H14-$F14)/$F14)</f>
        <v/>
      </c>
      <c r="L14" s="91">
        <f>IF($A14="","",IF($F14=0,"",IF(($G14+$H14)&gt;$F14*(1+OverrunAlert),"Over",IF(($G14+$H14)&gt;$F14,"Watch",IF(($G14+$H14)&lt;$F14*0.85,"Under","On Track")))))</f>
        <v/>
      </c>
    </row>
    <row r="15" ht="18" customHeight="1">
      <c r="A15" s="67" t="inlineStr">
        <is>
          <t>BL-011</t>
        </is>
      </c>
      <c r="B15" s="67" t="inlineStr">
        <is>
          <t>PRJ-001</t>
        </is>
      </c>
      <c r="C15" s="67" t="inlineStr">
        <is>
          <t>RM-02</t>
        </is>
      </c>
      <c r="D15" s="67" t="inlineStr">
        <is>
          <t>Labor</t>
        </is>
      </c>
      <c r="E15" s="68" t="inlineStr">
        <is>
          <t>Paint labor</t>
        </is>
      </c>
      <c r="F15" s="88" t="n">
        <v>1400</v>
      </c>
      <c r="G15" s="89">
        <f>IF($A15="","",IF($C15="",SUMIFS(Expenses!$H:$H,Expenses!$C:$C,$B15,Expenses!$E:$E,$D15,Expenses!$J:$J,"Paid"),SUMIFS(Expenses!$H:$H,Expenses!$C:$C,$B15,Expenses!$D:$D,$C15,Expenses!$E:$E,$D15,Expenses!$J:$J,"Paid")))</f>
        <v/>
      </c>
      <c r="H15" s="85">
        <f>IF($A15="","",IF($C15="",SUMIFS(Expenses!$H:$H,Expenses!$C:$C,$B15,Expenses!$E:$E,$D15,Expenses!$J:$J,"Committed"),SUMIFS(Expenses!$H:$H,Expenses!$C:$C,$B15,Expenses!$D:$D,$C15,Expenses!$E:$E,$D15,Expenses!$J:$J,"Committed")))</f>
        <v/>
      </c>
      <c r="I15" s="85">
        <f>IF($A15="","",$F15-$G15-$H15)</f>
        <v/>
      </c>
      <c r="J15" s="85">
        <f>IF($A15="","",$F15-($G15+$H15))</f>
        <v/>
      </c>
      <c r="K15" s="90">
        <f>IF(OR($A15="",$F15=0),"",($G15+$H15-$F15)/$F15)</f>
        <v/>
      </c>
      <c r="L15" s="91">
        <f>IF($A15="","",IF($F15=0,"",IF(($G15+$H15)&gt;$F15*(1+OverrunAlert),"Over",IF(($G15+$H15)&gt;$F15,"Watch",IF(($G15+$H15)&lt;$F15*0.85,"Under","On Track")))))</f>
        <v/>
      </c>
    </row>
    <row r="16" ht="18" customHeight="1">
      <c r="A16" s="75" t="inlineStr">
        <is>
          <t>BL-012</t>
        </is>
      </c>
      <c r="B16" s="75" t="inlineStr">
        <is>
          <t>PRJ-001</t>
        </is>
      </c>
      <c r="C16" s="75" t="inlineStr">
        <is>
          <t>RM-03</t>
        </is>
      </c>
      <c r="D16" s="75" t="inlineStr">
        <is>
          <t>Materials</t>
        </is>
      </c>
      <c r="E16" s="76" t="inlineStr">
        <is>
          <t>Tile, fixtures, vanity</t>
        </is>
      </c>
      <c r="F16" s="88" t="n">
        <v>9200</v>
      </c>
      <c r="G16" s="89">
        <f>IF($A16="","",IF($C16="",SUMIFS(Expenses!$H:$H,Expenses!$C:$C,$B16,Expenses!$E:$E,$D16,Expenses!$J:$J,"Paid"),SUMIFS(Expenses!$H:$H,Expenses!$C:$C,$B16,Expenses!$D:$D,$C16,Expenses!$E:$E,$D16,Expenses!$J:$J,"Paid")))</f>
        <v/>
      </c>
      <c r="H16" s="85">
        <f>IF($A16="","",IF($C16="",SUMIFS(Expenses!$H:$H,Expenses!$C:$C,$B16,Expenses!$E:$E,$D16,Expenses!$J:$J,"Committed"),SUMIFS(Expenses!$H:$H,Expenses!$C:$C,$B16,Expenses!$D:$D,$C16,Expenses!$E:$E,$D16,Expenses!$J:$J,"Committed")))</f>
        <v/>
      </c>
      <c r="I16" s="85">
        <f>IF($A16="","",$F16-$G16-$H16)</f>
        <v/>
      </c>
      <c r="J16" s="85">
        <f>IF($A16="","",$F16-($G16+$H16))</f>
        <v/>
      </c>
      <c r="K16" s="90">
        <f>IF(OR($A16="",$F16=0),"",($G16+$H16-$F16)/$F16)</f>
        <v/>
      </c>
      <c r="L16" s="91">
        <f>IF($A16="","",IF($F16=0,"",IF(($G16+$H16)&gt;$F16*(1+OverrunAlert),"Over",IF(($G16+$H16)&gt;$F16,"Watch",IF(($G16+$H16)&lt;$F16*0.85,"Under","On Track")))))</f>
        <v/>
      </c>
    </row>
    <row r="17" ht="18" customHeight="1">
      <c r="A17" s="67" t="inlineStr">
        <is>
          <t>BL-013</t>
        </is>
      </c>
      <c r="B17" s="67" t="inlineStr">
        <is>
          <t>PRJ-001</t>
        </is>
      </c>
      <c r="C17" s="67" t="inlineStr">
        <is>
          <t>RM-03</t>
        </is>
      </c>
      <c r="D17" s="67" t="inlineStr">
        <is>
          <t>Labor</t>
        </is>
      </c>
      <c r="E17" s="68" t="inlineStr">
        <is>
          <t>Tile + plumbing + electric</t>
        </is>
      </c>
      <c r="F17" s="88" t="n">
        <v>6800</v>
      </c>
      <c r="G17" s="89">
        <f>IF($A17="","",IF($C17="",SUMIFS(Expenses!$H:$H,Expenses!$C:$C,$B17,Expenses!$E:$E,$D17,Expenses!$J:$J,"Paid"),SUMIFS(Expenses!$H:$H,Expenses!$C:$C,$B17,Expenses!$D:$D,$C17,Expenses!$E:$E,$D17,Expenses!$J:$J,"Paid")))</f>
        <v/>
      </c>
      <c r="H17" s="85">
        <f>IF($A17="","",IF($C17="",SUMIFS(Expenses!$H:$H,Expenses!$C:$C,$B17,Expenses!$E:$E,$D17,Expenses!$J:$J,"Committed"),SUMIFS(Expenses!$H:$H,Expenses!$C:$C,$B17,Expenses!$D:$D,$C17,Expenses!$E:$E,$D17,Expenses!$J:$J,"Committed")))</f>
        <v/>
      </c>
      <c r="I17" s="85">
        <f>IF($A17="","",$F17-$G17-$H17)</f>
        <v/>
      </c>
      <c r="J17" s="85">
        <f>IF($A17="","",$F17-($G17+$H17))</f>
        <v/>
      </c>
      <c r="K17" s="90">
        <f>IF(OR($A17="",$F17=0),"",($G17+$H17-$F17)/$F17)</f>
        <v/>
      </c>
      <c r="L17" s="91">
        <f>IF($A17="","",IF($F17=0,"",IF(($G17+$H17)&gt;$F17*(1+OverrunAlert),"Over",IF(($G17+$H17)&gt;$F17,"Watch",IF(($G17+$H17)&lt;$F17*0.85,"Under","On Track")))))</f>
        <v/>
      </c>
    </row>
    <row r="18" ht="18" customHeight="1">
      <c r="A18" s="75" t="inlineStr">
        <is>
          <t>BL-014</t>
        </is>
      </c>
      <c r="B18" s="75" t="inlineStr">
        <is>
          <t>PRJ-001</t>
        </is>
      </c>
      <c r="C18" s="75" t="inlineStr">
        <is>
          <t>RM-03</t>
        </is>
      </c>
      <c r="D18" s="75" t="inlineStr">
        <is>
          <t>Materials</t>
        </is>
      </c>
      <c r="E18" s="76" t="inlineStr">
        <is>
          <t>Heated floor system</t>
        </is>
      </c>
      <c r="F18" s="88" t="n">
        <v>1800</v>
      </c>
      <c r="G18" s="89">
        <f>IF($A18="","",IF($C18="",SUMIFS(Expenses!$H:$H,Expenses!$C:$C,$B18,Expenses!$E:$E,$D18,Expenses!$J:$J,"Paid"),SUMIFS(Expenses!$H:$H,Expenses!$C:$C,$B18,Expenses!$D:$D,$C18,Expenses!$E:$E,$D18,Expenses!$J:$J,"Paid")))</f>
        <v/>
      </c>
      <c r="H18" s="85">
        <f>IF($A18="","",IF($C18="",SUMIFS(Expenses!$H:$H,Expenses!$C:$C,$B18,Expenses!$E:$E,$D18,Expenses!$J:$J,"Committed"),SUMIFS(Expenses!$H:$H,Expenses!$C:$C,$B18,Expenses!$D:$D,$C18,Expenses!$E:$E,$D18,Expenses!$J:$J,"Committed")))</f>
        <v/>
      </c>
      <c r="I18" s="85">
        <f>IF($A18="","",$F18-$G18-$H18)</f>
        <v/>
      </c>
      <c r="J18" s="85">
        <f>IF($A18="","",$F18-($G18+$H18))</f>
        <v/>
      </c>
      <c r="K18" s="90">
        <f>IF(OR($A18="",$F18=0),"",($G18+$H18-$F18)/$F18)</f>
        <v/>
      </c>
      <c r="L18" s="91">
        <f>IF($A18="","",IF($F18=0,"",IF(($G18+$H18)&gt;$F18*(1+OverrunAlert),"Over",IF(($G18+$H18)&gt;$F18,"Watch",IF(($G18+$H18)&lt;$F18*0.85,"Under","On Track")))))</f>
        <v/>
      </c>
    </row>
    <row r="19" ht="18" customHeight="1">
      <c r="A19" s="67" t="inlineStr">
        <is>
          <t>BL-015</t>
        </is>
      </c>
      <c r="B19" s="67" t="inlineStr">
        <is>
          <t>PRJ-001</t>
        </is>
      </c>
      <c r="C19" s="67" t="inlineStr">
        <is>
          <t>RM-04</t>
        </is>
      </c>
      <c r="D19" s="67" t="inlineStr">
        <is>
          <t>Materials</t>
        </is>
      </c>
      <c r="E19" s="68" t="inlineStr">
        <is>
          <t>Paint, lighting, wardrobe</t>
        </is>
      </c>
      <c r="F19" s="88" t="n">
        <v>2800</v>
      </c>
      <c r="G19" s="89">
        <f>IF($A19="","",IF($C19="",SUMIFS(Expenses!$H:$H,Expenses!$C:$C,$B19,Expenses!$E:$E,$D19,Expenses!$J:$J,"Paid"),SUMIFS(Expenses!$H:$H,Expenses!$C:$C,$B19,Expenses!$D:$D,$C19,Expenses!$E:$E,$D19,Expenses!$J:$J,"Paid")))</f>
        <v/>
      </c>
      <c r="H19" s="85">
        <f>IF($A19="","",IF($C19="",SUMIFS(Expenses!$H:$H,Expenses!$C:$C,$B19,Expenses!$E:$E,$D19,Expenses!$J:$J,"Committed"),SUMIFS(Expenses!$H:$H,Expenses!$C:$C,$B19,Expenses!$D:$D,$C19,Expenses!$E:$E,$D19,Expenses!$J:$J,"Committed")))</f>
        <v/>
      </c>
      <c r="I19" s="85">
        <f>IF($A19="","",$F19-$G19-$H19)</f>
        <v/>
      </c>
      <c r="J19" s="85">
        <f>IF($A19="","",$F19-($G19+$H19))</f>
        <v/>
      </c>
      <c r="K19" s="90">
        <f>IF(OR($A19="",$F19=0),"",($G19+$H19-$F19)/$F19)</f>
        <v/>
      </c>
      <c r="L19" s="91">
        <f>IF($A19="","",IF($F19=0,"",IF(($G19+$H19)&gt;$F19*(1+OverrunAlert),"Over",IF(($G19+$H19)&gt;$F19,"Watch",IF(($G19+$H19)&lt;$F19*0.85,"Under","On Track")))))</f>
        <v/>
      </c>
    </row>
    <row r="20" ht="18" customHeight="1">
      <c r="A20" s="75" t="inlineStr">
        <is>
          <t>BL-016</t>
        </is>
      </c>
      <c r="B20" s="75" t="inlineStr">
        <is>
          <t>PRJ-001</t>
        </is>
      </c>
      <c r="C20" s="75" t="inlineStr">
        <is>
          <t>RM-04</t>
        </is>
      </c>
      <c r="D20" s="75" t="inlineStr">
        <is>
          <t>Labor</t>
        </is>
      </c>
      <c r="E20" s="76" t="inlineStr">
        <is>
          <t>Paint + carpentry</t>
        </is>
      </c>
      <c r="F20" s="88" t="n">
        <v>2200</v>
      </c>
      <c r="G20" s="89">
        <f>IF($A20="","",IF($C20="",SUMIFS(Expenses!$H:$H,Expenses!$C:$C,$B20,Expenses!$E:$E,$D20,Expenses!$J:$J,"Paid"),SUMIFS(Expenses!$H:$H,Expenses!$C:$C,$B20,Expenses!$D:$D,$C20,Expenses!$E:$E,$D20,Expenses!$J:$J,"Paid")))</f>
        <v/>
      </c>
      <c r="H20" s="85">
        <f>IF($A20="","",IF($C20="",SUMIFS(Expenses!$H:$H,Expenses!$C:$C,$B20,Expenses!$E:$E,$D20,Expenses!$J:$J,"Committed"),SUMIFS(Expenses!$H:$H,Expenses!$C:$C,$B20,Expenses!$D:$D,$C20,Expenses!$E:$E,$D20,Expenses!$J:$J,"Committed")))</f>
        <v/>
      </c>
      <c r="I20" s="85">
        <f>IF($A20="","",$F20-$G20-$H20)</f>
        <v/>
      </c>
      <c r="J20" s="85">
        <f>IF($A20="","",$F20-($G20+$H20))</f>
        <v/>
      </c>
      <c r="K20" s="90">
        <f>IF(OR($A20="",$F20=0),"",($G20+$H20-$F20)/$F20)</f>
        <v/>
      </c>
      <c r="L20" s="91">
        <f>IF($A20="","",IF($F20=0,"",IF(($G20+$H20)&gt;$F20*(1+OverrunAlert),"Over",IF(($G20+$H20)&gt;$F20,"Watch",IF(($G20+$H20)&lt;$F20*0.85,"Under","On Track")))))</f>
        <v/>
      </c>
    </row>
    <row r="21" ht="18" customHeight="1">
      <c r="A21" s="67" t="inlineStr">
        <is>
          <t>BL-017</t>
        </is>
      </c>
      <c r="B21" s="67" t="inlineStr">
        <is>
          <t>PRJ-001</t>
        </is>
      </c>
      <c r="C21" s="67" t="inlineStr">
        <is>
          <t>RM-04</t>
        </is>
      </c>
      <c r="D21" s="67" t="inlineStr">
        <is>
          <t>Furniture</t>
        </is>
      </c>
      <c r="E21" s="68" t="inlineStr">
        <is>
          <t>Bed + textiles</t>
        </is>
      </c>
      <c r="F21" s="88" t="n">
        <v>1200</v>
      </c>
      <c r="G21" s="89">
        <f>IF($A21="","",IF($C21="",SUMIFS(Expenses!$H:$H,Expenses!$C:$C,$B21,Expenses!$E:$E,$D21,Expenses!$J:$J,"Paid"),SUMIFS(Expenses!$H:$H,Expenses!$C:$C,$B21,Expenses!$D:$D,$C21,Expenses!$E:$E,$D21,Expenses!$J:$J,"Paid")))</f>
        <v/>
      </c>
      <c r="H21" s="85">
        <f>IF($A21="","",IF($C21="",SUMIFS(Expenses!$H:$H,Expenses!$C:$C,$B21,Expenses!$E:$E,$D21,Expenses!$J:$J,"Committed"),SUMIFS(Expenses!$H:$H,Expenses!$C:$C,$B21,Expenses!$D:$D,$C21,Expenses!$E:$E,$D21,Expenses!$J:$J,"Committed")))</f>
        <v/>
      </c>
      <c r="I21" s="85">
        <f>IF($A21="","",$F21-$G21-$H21)</f>
        <v/>
      </c>
      <c r="J21" s="85">
        <f>IF($A21="","",$F21-($G21+$H21))</f>
        <v/>
      </c>
      <c r="K21" s="90">
        <f>IF(OR($A21="",$F21=0),"",($G21+$H21-$F21)/$F21)</f>
        <v/>
      </c>
      <c r="L21" s="91">
        <f>IF($A21="","",IF($F21=0,"",IF(($G21+$H21)&gt;$F21*(1+OverrunAlert),"Over",IF(($G21+$H21)&gt;$F21,"Watch",IF(($G21+$H21)&lt;$F21*0.85,"Under","On Track")))))</f>
        <v/>
      </c>
    </row>
    <row r="22" ht="18" customHeight="1">
      <c r="A22" s="75" t="inlineStr">
        <is>
          <t>BL-018</t>
        </is>
      </c>
      <c r="B22" s="75" t="inlineStr">
        <is>
          <t>PRJ-001</t>
        </is>
      </c>
      <c r="C22" s="75" t="inlineStr">
        <is>
          <t>RM-05</t>
        </is>
      </c>
      <c r="D22" s="75" t="inlineStr">
        <is>
          <t>Materials</t>
        </is>
      </c>
      <c r="E22" s="76" t="inlineStr">
        <is>
          <t>Lighting + plaster</t>
        </is>
      </c>
      <c r="F22" s="88" t="n">
        <v>1600</v>
      </c>
      <c r="G22" s="89">
        <f>IF($A22="","",IF($C22="",SUMIFS(Expenses!$H:$H,Expenses!$C:$C,$B22,Expenses!$E:$E,$D22,Expenses!$J:$J,"Paid"),SUMIFS(Expenses!$H:$H,Expenses!$C:$C,$B22,Expenses!$D:$D,$C22,Expenses!$E:$E,$D22,Expenses!$J:$J,"Paid")))</f>
        <v/>
      </c>
      <c r="H22" s="85">
        <f>IF($A22="","",IF($C22="",SUMIFS(Expenses!$H:$H,Expenses!$C:$C,$B22,Expenses!$E:$E,$D22,Expenses!$J:$J,"Committed"),SUMIFS(Expenses!$H:$H,Expenses!$C:$C,$B22,Expenses!$D:$D,$C22,Expenses!$E:$E,$D22,Expenses!$J:$J,"Committed")))</f>
        <v/>
      </c>
      <c r="I22" s="85">
        <f>IF($A22="","",$F22-$G22-$H22)</f>
        <v/>
      </c>
      <c r="J22" s="85">
        <f>IF($A22="","",$F22-($G22+$H22))</f>
        <v/>
      </c>
      <c r="K22" s="90">
        <f>IF(OR($A22="",$F22=0),"",($G22+$H22-$F22)/$F22)</f>
        <v/>
      </c>
      <c r="L22" s="91">
        <f>IF($A22="","",IF($F22=0,"",IF(($G22+$H22)&gt;$F22*(1+OverrunAlert),"Over",IF(($G22+$H22)&gt;$F22,"Watch",IF(($G22+$H22)&lt;$F22*0.85,"Under","On Track")))))</f>
        <v/>
      </c>
    </row>
    <row r="23" ht="18" customHeight="1">
      <c r="A23" s="67" t="inlineStr">
        <is>
          <t>BL-019</t>
        </is>
      </c>
      <c r="B23" s="67" t="inlineStr">
        <is>
          <t>PRJ-001</t>
        </is>
      </c>
      <c r="C23" s="67" t="inlineStr">
        <is>
          <t>RM-05</t>
        </is>
      </c>
      <c r="D23" s="67" t="inlineStr">
        <is>
          <t>Labor</t>
        </is>
      </c>
      <c r="E23" s="68" t="inlineStr">
        <is>
          <t>Paint + electric</t>
        </is>
      </c>
      <c r="F23" s="88" t="n">
        <v>2000</v>
      </c>
      <c r="G23" s="89">
        <f>IF($A23="","",IF($C23="",SUMIFS(Expenses!$H:$H,Expenses!$C:$C,$B23,Expenses!$E:$E,$D23,Expenses!$J:$J,"Paid"),SUMIFS(Expenses!$H:$H,Expenses!$C:$C,$B23,Expenses!$D:$D,$C23,Expenses!$E:$E,$D23,Expenses!$J:$J,"Paid")))</f>
        <v/>
      </c>
      <c r="H23" s="85">
        <f>IF($A23="","",IF($C23="",SUMIFS(Expenses!$H:$H,Expenses!$C:$C,$B23,Expenses!$E:$E,$D23,Expenses!$J:$J,"Committed"),SUMIFS(Expenses!$H:$H,Expenses!$C:$C,$B23,Expenses!$D:$D,$C23,Expenses!$E:$E,$D23,Expenses!$J:$J,"Committed")))</f>
        <v/>
      </c>
      <c r="I23" s="85">
        <f>IF($A23="","",$F23-$G23-$H23)</f>
        <v/>
      </c>
      <c r="J23" s="85">
        <f>IF($A23="","",$F23-($G23+$H23))</f>
        <v/>
      </c>
      <c r="K23" s="90">
        <f>IF(OR($A23="",$F23=0),"",($G23+$H23-$F23)/$F23)</f>
        <v/>
      </c>
      <c r="L23" s="91">
        <f>IF($A23="","",IF($F23=0,"",IF(($G23+$H23)&gt;$F23*(1+OverrunAlert),"Over",IF(($G23+$H23)&gt;$F23,"Watch",IF(($G23+$H23)&lt;$F23*0.85,"Under","On Track")))))</f>
        <v/>
      </c>
    </row>
    <row r="24" ht="18" customHeight="1">
      <c r="A24" s="75" t="inlineStr">
        <is>
          <t>BL-020</t>
        </is>
      </c>
      <c r="B24" s="75" t="inlineStr">
        <is>
          <t>PRJ-001</t>
        </is>
      </c>
      <c r="C24" s="75" t="inlineStr">
        <is>
          <t>RM-05</t>
        </is>
      </c>
      <c r="D24" s="75" t="inlineStr">
        <is>
          <t>Furniture</t>
        </is>
      </c>
      <c r="E24" s="76" t="inlineStr">
        <is>
          <t>Dining table remainder</t>
        </is>
      </c>
      <c r="F24" s="88" t="n">
        <v>1200</v>
      </c>
      <c r="G24" s="89">
        <f>IF($A24="","",IF($C24="",SUMIFS(Expenses!$H:$H,Expenses!$C:$C,$B24,Expenses!$E:$E,$D24,Expenses!$J:$J,"Paid"),SUMIFS(Expenses!$H:$H,Expenses!$C:$C,$B24,Expenses!$D:$D,$C24,Expenses!$E:$E,$D24,Expenses!$J:$J,"Paid")))</f>
        <v/>
      </c>
      <c r="H24" s="85">
        <f>IF($A24="","",IF($C24="",SUMIFS(Expenses!$H:$H,Expenses!$C:$C,$B24,Expenses!$E:$E,$D24,Expenses!$J:$J,"Committed"),SUMIFS(Expenses!$H:$H,Expenses!$C:$C,$B24,Expenses!$D:$D,$C24,Expenses!$E:$E,$D24,Expenses!$J:$J,"Committed")))</f>
        <v/>
      </c>
      <c r="I24" s="85">
        <f>IF($A24="","",$F24-$G24-$H24)</f>
        <v/>
      </c>
      <c r="J24" s="85">
        <f>IF($A24="","",$F24-($G24+$H24))</f>
        <v/>
      </c>
      <c r="K24" s="90">
        <f>IF(OR($A24="",$F24=0),"",($G24+$H24-$F24)/$F24)</f>
        <v/>
      </c>
      <c r="L24" s="91">
        <f>IF($A24="","",IF($F24=0,"",IF(($G24+$H24)&gt;$F24*(1+OverrunAlert),"Over",IF(($G24+$H24)&gt;$F24,"Watch",IF(($G24+$H24)&lt;$F24*0.85,"Under","On Track")))))</f>
        <v/>
      </c>
    </row>
    <row r="25" ht="18" customHeight="1">
      <c r="A25" s="67" t="inlineStr">
        <is>
          <t>BL-021</t>
        </is>
      </c>
      <c r="B25" s="67" t="inlineStr">
        <is>
          <t>PRJ-001</t>
        </is>
      </c>
      <c r="C25" s="67" t="inlineStr">
        <is>
          <t>RM-06</t>
        </is>
      </c>
      <c r="D25" s="67" t="inlineStr">
        <is>
          <t>Materials</t>
        </is>
      </c>
      <c r="E25" s="68" t="inlineStr">
        <is>
          <t>Path, stain, fixtures</t>
        </is>
      </c>
      <c r="F25" s="88" t="n">
        <v>3400</v>
      </c>
      <c r="G25" s="89">
        <f>IF($A25="","",IF($C25="",SUMIFS(Expenses!$H:$H,Expenses!$C:$C,$B25,Expenses!$E:$E,$D25,Expenses!$J:$J,"Paid"),SUMIFS(Expenses!$H:$H,Expenses!$C:$C,$B25,Expenses!$D:$D,$C25,Expenses!$E:$E,$D25,Expenses!$J:$J,"Paid")))</f>
        <v/>
      </c>
      <c r="H25" s="85">
        <f>IF($A25="","",IF($C25="",SUMIFS(Expenses!$H:$H,Expenses!$C:$C,$B25,Expenses!$E:$E,$D25,Expenses!$J:$J,"Committed"),SUMIFS(Expenses!$H:$H,Expenses!$C:$C,$B25,Expenses!$D:$D,$C25,Expenses!$E:$E,$D25,Expenses!$J:$J,"Committed")))</f>
        <v/>
      </c>
      <c r="I25" s="85">
        <f>IF($A25="","",$F25-$G25-$H25)</f>
        <v/>
      </c>
      <c r="J25" s="85">
        <f>IF($A25="","",$F25-($G25+$H25))</f>
        <v/>
      </c>
      <c r="K25" s="90">
        <f>IF(OR($A25="",$F25=0),"",($G25+$H25-$F25)/$F25)</f>
        <v/>
      </c>
      <c r="L25" s="91">
        <f>IF($A25="","",IF($F25=0,"",IF(($G25+$H25)&gt;$F25*(1+OverrunAlert),"Over",IF(($G25+$H25)&gt;$F25,"Watch",IF(($G25+$H25)&lt;$F25*0.85,"Under","On Track")))))</f>
        <v/>
      </c>
    </row>
    <row r="26" ht="18" customHeight="1">
      <c r="A26" s="75" t="inlineStr">
        <is>
          <t>BL-022</t>
        </is>
      </c>
      <c r="B26" s="75" t="inlineStr">
        <is>
          <t>PRJ-001</t>
        </is>
      </c>
      <c r="C26" s="75" t="inlineStr">
        <is>
          <t>RM-06</t>
        </is>
      </c>
      <c r="D26" s="75" t="inlineStr">
        <is>
          <t>Labor</t>
        </is>
      </c>
      <c r="E26" s="76" t="inlineStr">
        <is>
          <t>Landscape + paint</t>
        </is>
      </c>
      <c r="F26" s="88" t="n">
        <v>4000</v>
      </c>
      <c r="G26" s="89">
        <f>IF($A26="","",IF($C26="",SUMIFS(Expenses!$H:$H,Expenses!$C:$C,$B26,Expenses!$E:$E,$D26,Expenses!$J:$J,"Paid"),SUMIFS(Expenses!$H:$H,Expenses!$C:$C,$B26,Expenses!$D:$D,$C26,Expenses!$E:$E,$D26,Expenses!$J:$J,"Paid")))</f>
        <v/>
      </c>
      <c r="H26" s="85">
        <f>IF($A26="","",IF($C26="",SUMIFS(Expenses!$H:$H,Expenses!$C:$C,$B26,Expenses!$E:$E,$D26,Expenses!$J:$J,"Committed"),SUMIFS(Expenses!$H:$H,Expenses!$C:$C,$B26,Expenses!$D:$D,$C26,Expenses!$E:$E,$D26,Expenses!$J:$J,"Committed")))</f>
        <v/>
      </c>
      <c r="I26" s="85">
        <f>IF($A26="","",$F26-$G26-$H26)</f>
        <v/>
      </c>
      <c r="J26" s="85">
        <f>IF($A26="","",$F26-($G26+$H26))</f>
        <v/>
      </c>
      <c r="K26" s="90">
        <f>IF(OR($A26="",$F26=0),"",($G26+$H26-$F26)/$F26)</f>
        <v/>
      </c>
      <c r="L26" s="91">
        <f>IF($A26="","",IF($F26=0,"",IF(($G26+$H26)&gt;$F26*(1+OverrunAlert),"Over",IF(($G26+$H26)&gt;$F26,"Watch",IF(($G26+$H26)&lt;$F26*0.85,"Under","On Track")))))</f>
        <v/>
      </c>
    </row>
    <row r="27" ht="18" customHeight="1">
      <c r="A27" s="67" t="inlineStr">
        <is>
          <t>BL-023</t>
        </is>
      </c>
      <c r="B27" s="67" t="inlineStr">
        <is>
          <t>PRJ-001</t>
        </is>
      </c>
      <c r="C27" s="67" t="inlineStr">
        <is>
          <t>RM-07</t>
        </is>
      </c>
      <c r="D27" s="67" t="inlineStr">
        <is>
          <t>Materials</t>
        </is>
      </c>
      <c r="E27" s="68" t="inlineStr">
        <is>
          <t>Tile + sink</t>
        </is>
      </c>
      <c r="F27" s="88" t="n">
        <v>900</v>
      </c>
      <c r="G27" s="89">
        <f>IF($A27="","",IF($C27="",SUMIFS(Expenses!$H:$H,Expenses!$C:$C,$B27,Expenses!$E:$E,$D27,Expenses!$J:$J,"Paid"),SUMIFS(Expenses!$H:$H,Expenses!$C:$C,$B27,Expenses!$D:$D,$C27,Expenses!$E:$E,$D27,Expenses!$J:$J,"Paid")))</f>
        <v/>
      </c>
      <c r="H27" s="85">
        <f>IF($A27="","",IF($C27="",SUMIFS(Expenses!$H:$H,Expenses!$C:$C,$B27,Expenses!$E:$E,$D27,Expenses!$J:$J,"Committed"),SUMIFS(Expenses!$H:$H,Expenses!$C:$C,$B27,Expenses!$D:$D,$C27,Expenses!$E:$E,$D27,Expenses!$J:$J,"Committed")))</f>
        <v/>
      </c>
      <c r="I27" s="85">
        <f>IF($A27="","",$F27-$G27-$H27)</f>
        <v/>
      </c>
      <c r="J27" s="85">
        <f>IF($A27="","",$F27-($G27+$H27))</f>
        <v/>
      </c>
      <c r="K27" s="90">
        <f>IF(OR($A27="",$F27=0),"",($G27+$H27-$F27)/$F27)</f>
        <v/>
      </c>
      <c r="L27" s="91">
        <f>IF($A27="","",IF($F27=0,"",IF(($G27+$H27)&gt;$F27*(1+OverrunAlert),"Over",IF(($G27+$H27)&gt;$F27,"Watch",IF(($G27+$H27)&lt;$F27*0.85,"Under","On Track")))))</f>
        <v/>
      </c>
    </row>
    <row r="28" ht="18" customHeight="1">
      <c r="A28" s="75" t="inlineStr">
        <is>
          <t>BL-024</t>
        </is>
      </c>
      <c r="B28" s="75" t="inlineStr">
        <is>
          <t>PRJ-001</t>
        </is>
      </c>
      <c r="C28" s="75" t="inlineStr">
        <is>
          <t>RM-07</t>
        </is>
      </c>
      <c r="D28" s="75" t="inlineStr">
        <is>
          <t>Labor</t>
        </is>
      </c>
      <c r="E28" s="76" t="inlineStr">
        <is>
          <t>Install</t>
        </is>
      </c>
      <c r="F28" s="88" t="n">
        <v>1200</v>
      </c>
      <c r="G28" s="89">
        <f>IF($A28="","",IF($C28="",SUMIFS(Expenses!$H:$H,Expenses!$C:$C,$B28,Expenses!$E:$E,$D28,Expenses!$J:$J,"Paid"),SUMIFS(Expenses!$H:$H,Expenses!$C:$C,$B28,Expenses!$D:$D,$C28,Expenses!$E:$E,$D28,Expenses!$J:$J,"Paid")))</f>
        <v/>
      </c>
      <c r="H28" s="85">
        <f>IF($A28="","",IF($C28="",SUMIFS(Expenses!$H:$H,Expenses!$C:$C,$B28,Expenses!$E:$E,$D28,Expenses!$J:$J,"Committed"),SUMIFS(Expenses!$H:$H,Expenses!$C:$C,$B28,Expenses!$D:$D,$C28,Expenses!$E:$E,$D28,Expenses!$J:$J,"Committed")))</f>
        <v/>
      </c>
      <c r="I28" s="85">
        <f>IF($A28="","",$F28-$G28-$H28)</f>
        <v/>
      </c>
      <c r="J28" s="85">
        <f>IF($A28="","",$F28-($G28+$H28))</f>
        <v/>
      </c>
      <c r="K28" s="90">
        <f>IF(OR($A28="",$F28=0),"",($G28+$H28-$F28)/$F28)</f>
        <v/>
      </c>
      <c r="L28" s="91">
        <f>IF($A28="","",IF($F28=0,"",IF(($G28+$H28)&gt;$F28*(1+OverrunAlert),"Over",IF(($G28+$H28)&gt;$F28,"Watch",IF(($G28+$H28)&lt;$F28*0.85,"Under","On Track")))))</f>
        <v/>
      </c>
    </row>
    <row r="29" ht="18" customHeight="1">
      <c r="A29" s="67" t="inlineStr">
        <is>
          <t>BL-025</t>
        </is>
      </c>
      <c r="B29" s="67" t="inlineStr">
        <is>
          <t>PRJ-001</t>
        </is>
      </c>
      <c r="C29" s="67" t="inlineStr">
        <is>
          <t>RM-08</t>
        </is>
      </c>
      <c r="D29" s="67" t="inlineStr">
        <is>
          <t>Materials</t>
        </is>
      </c>
      <c r="E29" s="68" t="inlineStr">
        <is>
          <t>Bench + rail + paint</t>
        </is>
      </c>
      <c r="F29" s="88" t="n">
        <v>700</v>
      </c>
      <c r="G29" s="89">
        <f>IF($A29="","",IF($C29="",SUMIFS(Expenses!$H:$H,Expenses!$C:$C,$B29,Expenses!$E:$E,$D29,Expenses!$J:$J,"Paid"),SUMIFS(Expenses!$H:$H,Expenses!$C:$C,$B29,Expenses!$D:$D,$C29,Expenses!$E:$E,$D29,Expenses!$J:$J,"Paid")))</f>
        <v/>
      </c>
      <c r="H29" s="85">
        <f>IF($A29="","",IF($C29="",SUMIFS(Expenses!$H:$H,Expenses!$C:$C,$B29,Expenses!$E:$E,$D29,Expenses!$J:$J,"Committed"),SUMIFS(Expenses!$H:$H,Expenses!$C:$C,$B29,Expenses!$D:$D,$C29,Expenses!$E:$E,$D29,Expenses!$J:$J,"Committed")))</f>
        <v/>
      </c>
      <c r="I29" s="85">
        <f>IF($A29="","",$F29-$G29-$H29)</f>
        <v/>
      </c>
      <c r="J29" s="85">
        <f>IF($A29="","",$F29-($G29+$H29))</f>
        <v/>
      </c>
      <c r="K29" s="90">
        <f>IF(OR($A29="",$F29=0),"",($G29+$H29-$F29)/$F29)</f>
        <v/>
      </c>
      <c r="L29" s="91">
        <f>IF($A29="","",IF($F29=0,"",IF(($G29+$H29)&gt;$F29*(1+OverrunAlert),"Over",IF(($G29+$H29)&gt;$F29,"Watch",IF(($G29+$H29)&lt;$F29*0.85,"Under","On Track")))))</f>
        <v/>
      </c>
    </row>
    <row r="30" ht="18" customHeight="1">
      <c r="A30" s="75" t="inlineStr">
        <is>
          <t>BL-026</t>
        </is>
      </c>
      <c r="B30" s="75" t="inlineStr">
        <is>
          <t>PRJ-001</t>
        </is>
      </c>
      <c r="C30" s="75" t="inlineStr">
        <is>
          <t>RM-08</t>
        </is>
      </c>
      <c r="D30" s="75" t="inlineStr">
        <is>
          <t>Labor</t>
        </is>
      </c>
      <c r="E30" s="76" t="inlineStr">
        <is>
          <t>Carpentry + paint</t>
        </is>
      </c>
      <c r="F30" s="88" t="n">
        <v>800</v>
      </c>
      <c r="G30" s="89">
        <f>IF($A30="","",IF($C30="",SUMIFS(Expenses!$H:$H,Expenses!$C:$C,$B30,Expenses!$E:$E,$D30,Expenses!$J:$J,"Paid"),SUMIFS(Expenses!$H:$H,Expenses!$C:$C,$B30,Expenses!$D:$D,$C30,Expenses!$E:$E,$D30,Expenses!$J:$J,"Paid")))</f>
        <v/>
      </c>
      <c r="H30" s="85">
        <f>IF($A30="","",IF($C30="",SUMIFS(Expenses!$H:$H,Expenses!$C:$C,$B30,Expenses!$E:$E,$D30,Expenses!$J:$J,"Committed"),SUMIFS(Expenses!$H:$H,Expenses!$C:$C,$B30,Expenses!$D:$D,$C30,Expenses!$E:$E,$D30,Expenses!$J:$J,"Committed")))</f>
        <v/>
      </c>
      <c r="I30" s="85">
        <f>IF($A30="","",$F30-$G30-$H30)</f>
        <v/>
      </c>
      <c r="J30" s="85">
        <f>IF($A30="","",$F30-($G30+$H30))</f>
        <v/>
      </c>
      <c r="K30" s="90">
        <f>IF(OR($A30="",$F30=0),"",($G30+$H30-$F30)/$F30)</f>
        <v/>
      </c>
      <c r="L30" s="91">
        <f>IF($A30="","",IF($F30=0,"",IF(($G30+$H30)&gt;$F30*(1+OverrunAlert),"Over",IF(($G30+$H30)&gt;$F30,"Watch",IF(($G30+$H30)&lt;$F30*0.85,"Under","On Track")))))</f>
        <v/>
      </c>
    </row>
    <row r="31" ht="18" customHeight="1">
      <c r="A31" s="67" t="inlineStr">
        <is>
          <t>BL-027</t>
        </is>
      </c>
      <c r="B31" s="67" t="inlineStr">
        <is>
          <t>PRJ-001</t>
        </is>
      </c>
      <c r="C31" s="67" t="inlineStr"/>
      <c r="D31" s="67" t="inlineStr">
        <is>
          <t>Design</t>
        </is>
      </c>
      <c r="E31" s="68" t="inlineStr">
        <is>
          <t>Luna Interiors retainer + hours</t>
        </is>
      </c>
      <c r="F31" s="88" t="n">
        <v>4800</v>
      </c>
      <c r="G31" s="89">
        <f>IF($A31="","",IF($C31="",SUMIFS(Expenses!$H:$H,Expenses!$C:$C,$B31,Expenses!$E:$E,$D31,Expenses!$J:$J,"Paid"),SUMIFS(Expenses!$H:$H,Expenses!$C:$C,$B31,Expenses!$D:$D,$C31,Expenses!$E:$E,$D31,Expenses!$J:$J,"Paid")))</f>
        <v/>
      </c>
      <c r="H31" s="85">
        <f>IF($A31="","",IF($C31="",SUMIFS(Expenses!$H:$H,Expenses!$C:$C,$B31,Expenses!$E:$E,$D31,Expenses!$J:$J,"Committed"),SUMIFS(Expenses!$H:$H,Expenses!$C:$C,$B31,Expenses!$D:$D,$C31,Expenses!$E:$E,$D31,Expenses!$J:$J,"Committed")))</f>
        <v/>
      </c>
      <c r="I31" s="85">
        <f>IF($A31="","",$F31-$G31-$H31)</f>
        <v/>
      </c>
      <c r="J31" s="85">
        <f>IF($A31="","",$F31-($G31+$H31))</f>
        <v/>
      </c>
      <c r="K31" s="90">
        <f>IF(OR($A31="",$F31=0),"",($G31+$H31-$F31)/$F31)</f>
        <v/>
      </c>
      <c r="L31" s="91">
        <f>IF($A31="","",IF($F31=0,"",IF(($G31+$H31)&gt;$F31*(1+OverrunAlert),"Over",IF(($G31+$H31)&gt;$F31,"Watch",IF(($G31+$H31)&lt;$F31*0.85,"Under","On Track")))))</f>
        <v/>
      </c>
    </row>
    <row r="32" ht="18" customHeight="1">
      <c r="A32" s="75" t="inlineStr">
        <is>
          <t>BL-028</t>
        </is>
      </c>
      <c r="B32" s="75" t="inlineStr">
        <is>
          <t>PRJ-001</t>
        </is>
      </c>
      <c r="C32" s="75" t="inlineStr"/>
      <c r="D32" s="75" t="inlineStr">
        <is>
          <t>Permits</t>
        </is>
      </c>
      <c r="E32" s="76" t="inlineStr">
        <is>
          <t>Building, electrical, plumbing</t>
        </is>
      </c>
      <c r="F32" s="88" t="n">
        <v>1850</v>
      </c>
      <c r="G32" s="89">
        <f>IF($A32="","",IF($C32="",SUMIFS(Expenses!$H:$H,Expenses!$C:$C,$B32,Expenses!$E:$E,$D32,Expenses!$J:$J,"Paid"),SUMIFS(Expenses!$H:$H,Expenses!$C:$C,$B32,Expenses!$D:$D,$C32,Expenses!$E:$E,$D32,Expenses!$J:$J,"Paid")))</f>
        <v/>
      </c>
      <c r="H32" s="85">
        <f>IF($A32="","",IF($C32="",SUMIFS(Expenses!$H:$H,Expenses!$C:$C,$B32,Expenses!$E:$E,$D32,Expenses!$J:$J,"Committed"),SUMIFS(Expenses!$H:$H,Expenses!$C:$C,$B32,Expenses!$D:$D,$C32,Expenses!$E:$E,$D32,Expenses!$J:$J,"Committed")))</f>
        <v/>
      </c>
      <c r="I32" s="85">
        <f>IF($A32="","",$F32-$G32-$H32)</f>
        <v/>
      </c>
      <c r="J32" s="85">
        <f>IF($A32="","",$F32-($G32+$H32))</f>
        <v/>
      </c>
      <c r="K32" s="90">
        <f>IF(OR($A32="",$F32=0),"",($G32+$H32-$F32)/$F32)</f>
        <v/>
      </c>
      <c r="L32" s="91">
        <f>IF($A32="","",IF($F32=0,"",IF(($G32+$H32)&gt;$F32*(1+OverrunAlert),"Over",IF(($G32+$H32)&gt;$F32,"Watch",IF(($G32+$H32)&lt;$F32*0.85,"Under","On Track")))))</f>
        <v/>
      </c>
    </row>
    <row r="33" ht="18" customHeight="1">
      <c r="A33" s="67" t="inlineStr">
        <is>
          <t>BL-029</t>
        </is>
      </c>
      <c r="B33" s="67" t="inlineStr">
        <is>
          <t>PRJ-001</t>
        </is>
      </c>
      <c r="C33" s="67" t="inlineStr"/>
      <c r="D33" s="67" t="inlineStr">
        <is>
          <t>Delivery</t>
        </is>
      </c>
      <c r="E33" s="68" t="inlineStr">
        <is>
          <t>Freight &amp; white-glove</t>
        </is>
      </c>
      <c r="F33" s="88" t="n">
        <v>900</v>
      </c>
      <c r="G33" s="89">
        <f>IF($A33="","",IF($C33="",SUMIFS(Expenses!$H:$H,Expenses!$C:$C,$B33,Expenses!$E:$E,$D33,Expenses!$J:$J,"Paid"),SUMIFS(Expenses!$H:$H,Expenses!$C:$C,$B33,Expenses!$D:$D,$C33,Expenses!$E:$E,$D33,Expenses!$J:$J,"Paid")))</f>
        <v/>
      </c>
      <c r="H33" s="85">
        <f>IF($A33="","",IF($C33="",SUMIFS(Expenses!$H:$H,Expenses!$C:$C,$B33,Expenses!$E:$E,$D33,Expenses!$J:$J,"Committed"),SUMIFS(Expenses!$H:$H,Expenses!$C:$C,$B33,Expenses!$D:$D,$C33,Expenses!$E:$E,$D33,Expenses!$J:$J,"Committed")))</f>
        <v/>
      </c>
      <c r="I33" s="85">
        <f>IF($A33="","",$F33-$G33-$H33)</f>
        <v/>
      </c>
      <c r="J33" s="85">
        <f>IF($A33="","",$F33-($G33+$H33))</f>
        <v/>
      </c>
      <c r="K33" s="90">
        <f>IF(OR($A33="",$F33=0),"",($G33+$H33-$F33)/$F33)</f>
        <v/>
      </c>
      <c r="L33" s="91">
        <f>IF($A33="","",IF($F33=0,"",IF(($G33+$H33)&gt;$F33*(1+OverrunAlert),"Over",IF(($G33+$H33)&gt;$F33,"Watch",IF(($G33+$H33)&lt;$F33*0.85,"Under","On Track")))))</f>
        <v/>
      </c>
    </row>
    <row r="34" ht="18" customHeight="1">
      <c r="A34" s="75" t="inlineStr">
        <is>
          <t>BL-030</t>
        </is>
      </c>
      <c r="B34" s="75" t="inlineStr">
        <is>
          <t>PRJ-001</t>
        </is>
      </c>
      <c r="C34" s="75" t="inlineStr"/>
      <c r="D34" s="75" t="inlineStr">
        <is>
          <t>Inspections</t>
        </is>
      </c>
      <c r="E34" s="76" t="inlineStr">
        <is>
          <t>City + independent</t>
        </is>
      </c>
      <c r="F34" s="88" t="n">
        <v>650</v>
      </c>
      <c r="G34" s="89">
        <f>IF($A34="","",IF($C34="",SUMIFS(Expenses!$H:$H,Expenses!$C:$C,$B34,Expenses!$E:$E,$D34,Expenses!$J:$J,"Paid"),SUMIFS(Expenses!$H:$H,Expenses!$C:$C,$B34,Expenses!$D:$D,$C34,Expenses!$E:$E,$D34,Expenses!$J:$J,"Paid")))</f>
        <v/>
      </c>
      <c r="H34" s="85">
        <f>IF($A34="","",IF($C34="",SUMIFS(Expenses!$H:$H,Expenses!$C:$C,$B34,Expenses!$E:$E,$D34,Expenses!$J:$J,"Committed"),SUMIFS(Expenses!$H:$H,Expenses!$C:$C,$B34,Expenses!$D:$D,$C34,Expenses!$E:$E,$D34,Expenses!$J:$J,"Committed")))</f>
        <v/>
      </c>
      <c r="I34" s="85">
        <f>IF($A34="","",$F34-$G34-$H34)</f>
        <v/>
      </c>
      <c r="J34" s="85">
        <f>IF($A34="","",$F34-($G34+$H34))</f>
        <v/>
      </c>
      <c r="K34" s="90">
        <f>IF(OR($A34="",$F34=0),"",($G34+$H34-$F34)/$F34)</f>
        <v/>
      </c>
      <c r="L34" s="91">
        <f>IF($A34="","",IF($F34=0,"",IF(($G34+$H34)&gt;$F34*(1+OverrunAlert),"Over",IF(($G34+$H34)&gt;$F34,"Watch",IF(($G34+$H34)&lt;$F34*0.85,"Under","On Track")))))</f>
        <v/>
      </c>
    </row>
    <row r="35" ht="18" customHeight="1">
      <c r="A35" s="67" t="inlineStr">
        <is>
          <t>BL-031</t>
        </is>
      </c>
      <c r="B35" s="67" t="inlineStr">
        <is>
          <t>PRJ-001</t>
        </is>
      </c>
      <c r="C35" s="67" t="inlineStr"/>
      <c r="D35" s="67" t="inlineStr">
        <is>
          <t>Contingency</t>
        </is>
      </c>
      <c r="E35" s="68" t="inlineStr">
        <is>
          <t>10% project reserve</t>
        </is>
      </c>
      <c r="F35" s="88" t="n">
        <v>8500</v>
      </c>
      <c r="G35" s="89">
        <f>IF($A35="","",IF($C35="",SUMIFS(Expenses!$H:$H,Expenses!$C:$C,$B35,Expenses!$E:$E,$D35,Expenses!$J:$J,"Paid"),SUMIFS(Expenses!$H:$H,Expenses!$C:$C,$B35,Expenses!$D:$D,$C35,Expenses!$E:$E,$D35,Expenses!$J:$J,"Paid")))</f>
        <v/>
      </c>
      <c r="H35" s="85">
        <f>IF($A35="","",IF($C35="",SUMIFS(Expenses!$H:$H,Expenses!$C:$C,$B35,Expenses!$E:$E,$D35,Expenses!$J:$J,"Committed"),SUMIFS(Expenses!$H:$H,Expenses!$C:$C,$B35,Expenses!$D:$D,$C35,Expenses!$E:$E,$D35,Expenses!$J:$J,"Committed")))</f>
        <v/>
      </c>
      <c r="I35" s="85">
        <f>IF($A35="","",$F35-$G35-$H35)</f>
        <v/>
      </c>
      <c r="J35" s="85">
        <f>IF($A35="","",$F35-($G35+$H35))</f>
        <v/>
      </c>
      <c r="K35" s="90">
        <f>IF(OR($A35="",$F35=0),"",($G35+$H35-$F35)/$F35)</f>
        <v/>
      </c>
      <c r="L35" s="91">
        <f>IF($A35="","",IF($F35=0,"",IF(($G35+$H35)&gt;$F35*(1+OverrunAlert),"Over",IF(($G35+$H35)&gt;$F35,"Watch",IF(($G35+$H35)&lt;$F35*0.85,"Under","On Track")))))</f>
        <v/>
      </c>
    </row>
    <row r="36" ht="18" customHeight="1">
      <c r="A36" s="75" t="inlineStr">
        <is>
          <t>BL-032</t>
        </is>
      </c>
      <c r="B36" s="75" t="inlineStr">
        <is>
          <t>PRJ-001</t>
        </is>
      </c>
      <c r="C36" s="75" t="inlineStr">
        <is>
          <t>RM-01</t>
        </is>
      </c>
      <c r="D36" s="75" t="inlineStr">
        <is>
          <t>Labor</t>
        </is>
      </c>
      <c r="E36" s="76" t="inlineStr">
        <is>
          <t>Demolition (kitchen share)</t>
        </is>
      </c>
      <c r="F36" s="88" t="n">
        <v>0</v>
      </c>
      <c r="G36" s="89">
        <f>IF($A36="","",IF($C36="",SUMIFS(Expenses!$H:$H,Expenses!$C:$C,$B36,Expenses!$E:$E,$D36,Expenses!$J:$J,"Paid"),SUMIFS(Expenses!$H:$H,Expenses!$C:$C,$B36,Expenses!$D:$D,$C36,Expenses!$E:$E,$D36,Expenses!$J:$J,"Paid")))</f>
        <v/>
      </c>
      <c r="H36" s="85">
        <f>IF($A36="","",IF($C36="",SUMIFS(Expenses!$H:$H,Expenses!$C:$C,$B36,Expenses!$E:$E,$D36,Expenses!$J:$J,"Committed"),SUMIFS(Expenses!$H:$H,Expenses!$C:$C,$B36,Expenses!$D:$D,$C36,Expenses!$E:$E,$D36,Expenses!$J:$J,"Committed")))</f>
        <v/>
      </c>
      <c r="I36" s="85">
        <f>IF($A36="","",$F36-$G36-$H36)</f>
        <v/>
      </c>
      <c r="J36" s="85">
        <f>IF($A36="","",$F36-($G36+$H36))</f>
        <v/>
      </c>
      <c r="K36" s="90">
        <f>IF(OR($A36="",$F36=0),"",($G36+$H36-$F36)/$F36)</f>
        <v/>
      </c>
      <c r="L36" s="91">
        <f>IF($A36="","",IF($F36=0,"",IF(($G36+$H36)&gt;$F36*(1+OverrunAlert),"Over",IF(($G36+$H36)&gt;$F36,"Watch",IF(($G36+$H36)&lt;$F36*0.85,"Under","On Track")))))</f>
        <v/>
      </c>
    </row>
    <row r="37" ht="18" customHeight="1">
      <c r="A37" s="67" t="inlineStr">
        <is>
          <t>BL-033</t>
        </is>
      </c>
      <c r="B37" s="67" t="inlineStr">
        <is>
          <t>PRJ-001</t>
        </is>
      </c>
      <c r="C37" s="67" t="inlineStr"/>
      <c r="D37" s="67" t="inlineStr">
        <is>
          <t>Labor</t>
        </is>
      </c>
      <c r="E37" s="68" t="inlineStr">
        <is>
          <t>General contractor / PM</t>
        </is>
      </c>
      <c r="F37" s="88" t="n">
        <v>6200</v>
      </c>
      <c r="G37" s="89">
        <f>IF($A37="","",IF($C37="",SUMIFS(Expenses!$H:$H,Expenses!$C:$C,$B37,Expenses!$E:$E,$D37,Expenses!$J:$J,"Paid"),SUMIFS(Expenses!$H:$H,Expenses!$C:$C,$B37,Expenses!$D:$D,$C37,Expenses!$E:$E,$D37,Expenses!$J:$J,"Paid")))</f>
        <v/>
      </c>
      <c r="H37" s="85">
        <f>IF($A37="","",IF($C37="",SUMIFS(Expenses!$H:$H,Expenses!$C:$C,$B37,Expenses!$E:$E,$D37,Expenses!$J:$J,"Committed"),SUMIFS(Expenses!$H:$H,Expenses!$C:$C,$B37,Expenses!$D:$D,$C37,Expenses!$E:$E,$D37,Expenses!$J:$J,"Committed")))</f>
        <v/>
      </c>
      <c r="I37" s="85">
        <f>IF($A37="","",$F37-$G37-$H37)</f>
        <v/>
      </c>
      <c r="J37" s="85">
        <f>IF($A37="","",$F37-($G37+$H37))</f>
        <v/>
      </c>
      <c r="K37" s="90">
        <f>IF(OR($A37="",$F37=0),"",($G37+$H37-$F37)/$F37)</f>
        <v/>
      </c>
      <c r="L37" s="91">
        <f>IF($A37="","",IF($F37=0,"",IF(($G37+$H37)&gt;$F37*(1+OverrunAlert),"Over",IF(($G37+$H37)&gt;$F37,"Watch",IF(($G37+$H37)&lt;$F37*0.85,"Under","On Track")))))</f>
        <v/>
      </c>
    </row>
    <row r="38" ht="18" customHeight="1">
      <c r="A38" s="75" t="inlineStr">
        <is>
          <t>BL-034</t>
        </is>
      </c>
      <c r="B38" s="75" t="inlineStr">
        <is>
          <t>PRJ-002</t>
        </is>
      </c>
      <c r="C38" s="75" t="inlineStr">
        <is>
          <t>RM-09</t>
        </is>
      </c>
      <c r="D38" s="75" t="inlineStr">
        <is>
          <t>Materials</t>
        </is>
      </c>
      <c r="E38" s="76" t="inlineStr">
        <is>
          <t>Cabin bath package</t>
        </is>
      </c>
      <c r="F38" s="88" t="n">
        <v>9200</v>
      </c>
      <c r="G38" s="89">
        <f>IF($A38="","",IF($C38="",SUMIFS(Expenses!$H:$H,Expenses!$C:$C,$B38,Expenses!$E:$E,$D38,Expenses!$J:$J,"Paid"),SUMIFS(Expenses!$H:$H,Expenses!$C:$C,$B38,Expenses!$D:$D,$C38,Expenses!$E:$E,$D38,Expenses!$J:$J,"Paid")))</f>
        <v/>
      </c>
      <c r="H38" s="85">
        <f>IF($A38="","",IF($C38="",SUMIFS(Expenses!$H:$H,Expenses!$C:$C,$B38,Expenses!$E:$E,$D38,Expenses!$J:$J,"Committed"),SUMIFS(Expenses!$H:$H,Expenses!$C:$C,$B38,Expenses!$D:$D,$C38,Expenses!$E:$E,$D38,Expenses!$J:$J,"Committed")))</f>
        <v/>
      </c>
      <c r="I38" s="85">
        <f>IF($A38="","",$F38-$G38-$H38)</f>
        <v/>
      </c>
      <c r="J38" s="85">
        <f>IF($A38="","",$F38-($G38+$H38))</f>
        <v/>
      </c>
      <c r="K38" s="90">
        <f>IF(OR($A38="",$F38=0),"",($G38+$H38-$F38)/$F38)</f>
        <v/>
      </c>
      <c r="L38" s="91">
        <f>IF($A38="","",IF($F38=0,"",IF(($G38+$H38)&gt;$F38*(1+OverrunAlert),"Over",IF(($G38+$H38)&gt;$F38,"Watch",IF(($G38+$H38)&lt;$F38*0.85,"Under","On Track")))))</f>
        <v/>
      </c>
    </row>
    <row r="39" ht="18" customHeight="1">
      <c r="A39" s="67" t="inlineStr">
        <is>
          <t>BL-035</t>
        </is>
      </c>
      <c r="B39" s="67" t="inlineStr">
        <is>
          <t>PRJ-002</t>
        </is>
      </c>
      <c r="C39" s="67" t="inlineStr">
        <is>
          <t>RM-09</t>
        </is>
      </c>
      <c r="D39" s="67" t="inlineStr">
        <is>
          <t>Labor</t>
        </is>
      </c>
      <c r="E39" s="68" t="inlineStr">
        <is>
          <t>Gut and reset</t>
        </is>
      </c>
      <c r="F39" s="88" t="n">
        <v>6800</v>
      </c>
      <c r="G39" s="89">
        <f>IF($A39="","",IF($C39="",SUMIFS(Expenses!$H:$H,Expenses!$C:$C,$B39,Expenses!$E:$E,$D39,Expenses!$J:$J,"Paid"),SUMIFS(Expenses!$H:$H,Expenses!$C:$C,$B39,Expenses!$D:$D,$C39,Expenses!$E:$E,$D39,Expenses!$J:$J,"Paid")))</f>
        <v/>
      </c>
      <c r="H39" s="85">
        <f>IF($A39="","",IF($C39="",SUMIFS(Expenses!$H:$H,Expenses!$C:$C,$B39,Expenses!$E:$E,$D39,Expenses!$J:$J,"Committed"),SUMIFS(Expenses!$H:$H,Expenses!$C:$C,$B39,Expenses!$D:$D,$C39,Expenses!$E:$E,$D39,Expenses!$J:$J,"Committed")))</f>
        <v/>
      </c>
      <c r="I39" s="85">
        <f>IF($A39="","",$F39-$G39-$H39)</f>
        <v/>
      </c>
      <c r="J39" s="85">
        <f>IF($A39="","",$F39-($G39+$H39))</f>
        <v/>
      </c>
      <c r="K39" s="90">
        <f>IF(OR($A39="",$F39=0),"",($G39+$H39-$F39)/$F39)</f>
        <v/>
      </c>
      <c r="L39" s="91">
        <f>IF($A39="","",IF($F39=0,"",IF(($G39+$H39)&gt;$F39*(1+OverrunAlert),"Over",IF(($G39+$H39)&gt;$F39,"Watch",IF(($G39+$H39)&lt;$F39*0.85,"Under","On Track")))))</f>
        <v/>
      </c>
    </row>
    <row r="40" ht="18" customHeight="1">
      <c r="A40" s="75" t="inlineStr">
        <is>
          <t>BL-036</t>
        </is>
      </c>
      <c r="B40" s="75" t="inlineStr">
        <is>
          <t>PRJ-002</t>
        </is>
      </c>
      <c r="C40" s="75" t="inlineStr"/>
      <c r="D40" s="75" t="inlineStr">
        <is>
          <t>Design</t>
        </is>
      </c>
      <c r="E40" s="76" t="inlineStr">
        <is>
          <t>Concept + drawings</t>
        </is>
      </c>
      <c r="F40" s="88" t="n">
        <v>1200</v>
      </c>
      <c r="G40" s="89">
        <f>IF($A40="","",IF($C40="",SUMIFS(Expenses!$H:$H,Expenses!$C:$C,$B40,Expenses!$E:$E,$D40,Expenses!$J:$J,"Paid"),SUMIFS(Expenses!$H:$H,Expenses!$C:$C,$B40,Expenses!$D:$D,$C40,Expenses!$E:$E,$D40,Expenses!$J:$J,"Paid")))</f>
        <v/>
      </c>
      <c r="H40" s="85">
        <f>IF($A40="","",IF($C40="",SUMIFS(Expenses!$H:$H,Expenses!$C:$C,$B40,Expenses!$E:$E,$D40,Expenses!$J:$J,"Committed"),SUMIFS(Expenses!$H:$H,Expenses!$C:$C,$B40,Expenses!$D:$D,$C40,Expenses!$E:$E,$D40,Expenses!$J:$J,"Committed")))</f>
        <v/>
      </c>
      <c r="I40" s="85">
        <f>IF($A40="","",$F40-$G40-$H40)</f>
        <v/>
      </c>
      <c r="J40" s="85">
        <f>IF($A40="","",$F40-($G40+$H40))</f>
        <v/>
      </c>
      <c r="K40" s="90">
        <f>IF(OR($A40="",$F40=0),"",($G40+$H40-$F40)/$F40)</f>
        <v/>
      </c>
      <c r="L40" s="91">
        <f>IF($A40="","",IF($F40=0,"",IF(($G40+$H40)&gt;$F40*(1+OverrunAlert),"Over",IF(($G40+$H40)&gt;$F40,"Watch",IF(($G40+$H40)&lt;$F40*0.85,"Under","On Track")))))</f>
        <v/>
      </c>
    </row>
    <row r="41" ht="18" customHeight="1">
      <c r="A41" s="67" t="inlineStr">
        <is>
          <t>BL-037</t>
        </is>
      </c>
      <c r="B41" s="67" t="inlineStr">
        <is>
          <t>PRJ-002</t>
        </is>
      </c>
      <c r="C41" s="67" t="inlineStr"/>
      <c r="D41" s="67" t="inlineStr">
        <is>
          <t>Contingency</t>
        </is>
      </c>
      <c r="E41" s="68" t="inlineStr">
        <is>
          <t>10% reserve</t>
        </is>
      </c>
      <c r="F41" s="88" t="n">
        <v>1300</v>
      </c>
      <c r="G41" s="89">
        <f>IF($A41="","",IF($C41="",SUMIFS(Expenses!$H:$H,Expenses!$C:$C,$B41,Expenses!$E:$E,$D41,Expenses!$J:$J,"Paid"),SUMIFS(Expenses!$H:$H,Expenses!$C:$C,$B41,Expenses!$D:$D,$C41,Expenses!$E:$E,$D41,Expenses!$J:$J,"Paid")))</f>
        <v/>
      </c>
      <c r="H41" s="85">
        <f>IF($A41="","",IF($C41="",SUMIFS(Expenses!$H:$H,Expenses!$C:$C,$B41,Expenses!$E:$E,$D41,Expenses!$J:$J,"Committed"),SUMIFS(Expenses!$H:$H,Expenses!$C:$C,$B41,Expenses!$D:$D,$C41,Expenses!$E:$E,$D41,Expenses!$J:$J,"Committed")))</f>
        <v/>
      </c>
      <c r="I41" s="85">
        <f>IF($A41="","",$F41-$G41-$H41)</f>
        <v/>
      </c>
      <c r="J41" s="85">
        <f>IF($A41="","",$F41-($G41+$H41))</f>
        <v/>
      </c>
      <c r="K41" s="90">
        <f>IF(OR($A41="",$F41=0),"",($G41+$H41-$F41)/$F41)</f>
        <v/>
      </c>
      <c r="L41" s="91">
        <f>IF($A41="","",IF($F41=0,"",IF(($G41+$H41)&gt;$F41*(1+OverrunAlert),"Over",IF(($G41+$H41)&gt;$F41,"Watch",IF(($G41+$H41)&lt;$F41*0.85,"Under","On Track")))))</f>
        <v/>
      </c>
    </row>
    <row r="42">
      <c r="A42" s="82" t="n"/>
      <c r="B42" s="82" t="n"/>
      <c r="C42" s="82" t="n"/>
      <c r="D42" s="82" t="n"/>
      <c r="E42" s="82" t="n"/>
    </row>
    <row r="43">
      <c r="A43" s="82" t="n"/>
      <c r="B43" s="82" t="n"/>
      <c r="C43" s="82" t="n"/>
      <c r="D43" s="82" t="n"/>
      <c r="E43" s="92" t="inlineStr">
        <is>
          <t>TOTAL (all lines)</t>
        </is>
      </c>
      <c r="F43" s="93">
        <f>SUM(F5:F41)</f>
        <v/>
      </c>
      <c r="G43" s="93">
        <f>SUM(G5:G41)</f>
        <v/>
      </c>
      <c r="H43" s="93">
        <f>SUM(H5:H41)</f>
        <v/>
      </c>
      <c r="I43" s="93">
        <f>SUM(I5:I41)</f>
        <v/>
      </c>
      <c r="J43" s="93">
        <f>F43-G43-H43</f>
        <v/>
      </c>
    </row>
    <row r="44">
      <c r="A44" s="82" t="n"/>
      <c r="B44" s="82" t="n"/>
      <c r="C44" s="82" t="n"/>
      <c r="D44" s="82" t="n"/>
      <c r="E44" s="82" t="n"/>
    </row>
    <row r="45">
      <c r="A45" s="82" t="n"/>
      <c r="B45" s="82" t="n"/>
      <c r="C45" s="82" t="n"/>
      <c r="D45" s="82" t="n"/>
      <c r="E45" s="82" t="n"/>
    </row>
    <row r="46">
      <c r="A46" s="82" t="n"/>
      <c r="B46" s="82" t="n"/>
      <c r="C46" s="82" t="n"/>
      <c r="D46" s="82" t="n"/>
      <c r="E46" s="82" t="n"/>
    </row>
    <row r="47">
      <c r="A47" s="82" t="n"/>
      <c r="B47" s="82" t="n"/>
      <c r="C47" s="82" t="n"/>
      <c r="D47" s="82" t="n"/>
      <c r="E47" s="82" t="n"/>
    </row>
    <row r="48">
      <c r="A48" s="82" t="n"/>
      <c r="B48" s="82" t="n"/>
      <c r="C48" s="82" t="n"/>
      <c r="D48" s="82" t="n"/>
      <c r="E48" s="82" t="n"/>
    </row>
    <row r="49">
      <c r="A49" s="82" t="n"/>
      <c r="B49" s="82" t="n"/>
      <c r="C49" s="82" t="n"/>
      <c r="D49" s="82" t="n"/>
      <c r="E49" s="82" t="n"/>
    </row>
    <row r="50">
      <c r="A50" s="82" t="n"/>
      <c r="B50" s="82" t="n"/>
      <c r="C50" s="82" t="n"/>
      <c r="D50" s="82" t="n"/>
      <c r="E50" s="82" t="n"/>
    </row>
    <row r="51">
      <c r="A51" s="82" t="n"/>
      <c r="B51" s="82" t="n"/>
      <c r="C51" s="82" t="n"/>
      <c r="D51" s="82" t="n"/>
      <c r="E51" s="82" t="n"/>
    </row>
    <row r="52">
      <c r="A52" s="82" t="n"/>
      <c r="B52" s="82" t="n"/>
      <c r="C52" s="82" t="n"/>
      <c r="D52" s="82" t="n"/>
      <c r="E52" s="82" t="n"/>
    </row>
    <row r="53">
      <c r="A53" s="82" t="n"/>
      <c r="B53" s="82" t="n"/>
      <c r="C53" s="82" t="n"/>
      <c r="D53" s="82" t="n"/>
      <c r="E53" s="82" t="n"/>
    </row>
    <row r="54">
      <c r="A54" s="82" t="n"/>
      <c r="B54" s="82" t="n"/>
      <c r="C54" s="82" t="n"/>
      <c r="D54" s="82" t="n"/>
      <c r="E54" s="82" t="n"/>
    </row>
    <row r="55">
      <c r="A55" s="82" t="n"/>
      <c r="B55" s="82" t="n"/>
      <c r="C55" s="82" t="n"/>
      <c r="D55" s="82" t="n"/>
      <c r="E55" s="82" t="n"/>
    </row>
    <row r="56">
      <c r="A56" s="82" t="n"/>
      <c r="B56" s="82" t="n"/>
      <c r="C56" s="82" t="n"/>
      <c r="D56" s="82" t="n"/>
      <c r="E56" s="82" t="n"/>
    </row>
    <row r="57">
      <c r="A57" s="82" t="n"/>
      <c r="B57" s="82" t="n"/>
      <c r="C57" s="82" t="n"/>
      <c r="D57" s="82" t="n"/>
      <c r="E57" s="82" t="n"/>
    </row>
    <row r="58">
      <c r="A58" s="82" t="n"/>
      <c r="B58" s="82" t="n"/>
      <c r="C58" s="82" t="n"/>
      <c r="D58" s="82" t="n"/>
      <c r="E58" s="82" t="n"/>
    </row>
    <row r="59">
      <c r="A59" s="82" t="n"/>
      <c r="B59" s="82" t="n"/>
      <c r="C59" s="82" t="n"/>
      <c r="D59" s="82" t="n"/>
      <c r="E59" s="82" t="n"/>
    </row>
    <row r="60">
      <c r="A60" s="82" t="n"/>
      <c r="B60" s="82" t="n"/>
      <c r="C60" s="82" t="n"/>
      <c r="D60" s="82" t="n"/>
      <c r="E60" s="82" t="n"/>
    </row>
    <row r="61">
      <c r="A61" s="82" t="n"/>
      <c r="B61" s="82" t="n"/>
      <c r="C61" s="82" t="n"/>
      <c r="D61" s="82" t="n"/>
      <c r="E61" s="82" t="n"/>
    </row>
    <row r="62">
      <c r="A62" s="82" t="n"/>
      <c r="B62" s="82" t="n"/>
      <c r="C62" s="82" t="n"/>
      <c r="D62" s="82" t="n"/>
      <c r="E62" s="82" t="n"/>
    </row>
    <row r="63">
      <c r="A63" s="82" t="n"/>
      <c r="B63" s="82" t="n"/>
      <c r="C63" s="82" t="n"/>
      <c r="D63" s="82" t="n"/>
      <c r="E63" s="82" t="n"/>
    </row>
    <row r="64">
      <c r="A64" s="82" t="n"/>
      <c r="B64" s="82" t="n"/>
      <c r="C64" s="82" t="n"/>
      <c r="D64" s="82" t="n"/>
      <c r="E64" s="82" t="n"/>
    </row>
    <row r="65">
      <c r="A65" s="82" t="n"/>
      <c r="B65" s="82" t="n"/>
      <c r="C65" s="82" t="n"/>
      <c r="D65" s="82" t="n"/>
      <c r="E65" s="82" t="n"/>
    </row>
    <row r="66">
      <c r="A66" s="82" t="n"/>
      <c r="B66" s="82" t="n"/>
      <c r="C66" s="82" t="n"/>
      <c r="D66" s="82" t="n"/>
      <c r="E66" s="82" t="n"/>
    </row>
    <row r="67">
      <c r="A67" s="82" t="n"/>
      <c r="B67" s="82" t="n"/>
      <c r="C67" s="82" t="n"/>
      <c r="D67" s="82" t="n"/>
      <c r="E67" s="82" t="n"/>
    </row>
    <row r="68">
      <c r="A68" s="82" t="n"/>
      <c r="B68" s="82" t="n"/>
      <c r="C68" s="82" t="n"/>
      <c r="D68" s="82" t="n"/>
      <c r="E68" s="82" t="n"/>
    </row>
    <row r="69">
      <c r="A69" s="82" t="n"/>
      <c r="B69" s="82" t="n"/>
      <c r="C69" s="82" t="n"/>
      <c r="D69" s="82" t="n"/>
      <c r="E69" s="82" t="n"/>
    </row>
    <row r="70">
      <c r="A70" s="82" t="n"/>
      <c r="B70" s="82" t="n"/>
      <c r="C70" s="82" t="n"/>
      <c r="D70" s="82" t="n"/>
      <c r="E70" s="82" t="n"/>
    </row>
    <row r="71">
      <c r="A71" s="82" t="n"/>
      <c r="B71" s="82" t="n"/>
      <c r="C71" s="82" t="n"/>
      <c r="D71" s="82" t="n"/>
      <c r="E71" s="82" t="n"/>
    </row>
    <row r="72">
      <c r="A72" s="82" t="n"/>
      <c r="B72" s="82" t="n"/>
      <c r="C72" s="82" t="n"/>
      <c r="D72" s="82" t="n"/>
      <c r="E72" s="82" t="n"/>
    </row>
    <row r="73">
      <c r="A73" s="82" t="n"/>
      <c r="B73" s="82" t="n"/>
      <c r="C73" s="82" t="n"/>
      <c r="D73" s="82" t="n"/>
      <c r="E73" s="82" t="n"/>
    </row>
    <row r="74">
      <c r="A74" s="82" t="n"/>
      <c r="B74" s="82" t="n"/>
      <c r="C74" s="82" t="n"/>
      <c r="D74" s="82" t="n"/>
      <c r="E74" s="82" t="n"/>
    </row>
    <row r="75">
      <c r="A75" s="82" t="n"/>
      <c r="B75" s="82" t="n"/>
      <c r="C75" s="82" t="n"/>
      <c r="D75" s="82" t="n"/>
      <c r="E75" s="82" t="n"/>
    </row>
    <row r="76">
      <c r="A76" s="82" t="n"/>
      <c r="B76" s="82" t="n"/>
      <c r="C76" s="82" t="n"/>
      <c r="D76" s="82" t="n"/>
      <c r="E76" s="82" t="n"/>
    </row>
    <row r="77">
      <c r="A77" s="82" t="n"/>
      <c r="B77" s="82" t="n"/>
      <c r="C77" s="82" t="n"/>
      <c r="D77" s="82" t="n"/>
      <c r="E77" s="82" t="n"/>
    </row>
    <row r="78">
      <c r="A78" s="82" t="n"/>
      <c r="B78" s="82" t="n"/>
      <c r="C78" s="82" t="n"/>
      <c r="D78" s="82" t="n"/>
      <c r="E78" s="82" t="n"/>
    </row>
    <row r="79">
      <c r="A79" s="82" t="n"/>
      <c r="B79" s="82" t="n"/>
      <c r="C79" s="82" t="n"/>
      <c r="D79" s="82" t="n"/>
      <c r="E79" s="82" t="n"/>
    </row>
    <row r="80">
      <c r="A80" s="82" t="n"/>
      <c r="B80" s="82" t="n"/>
      <c r="C80" s="82" t="n"/>
      <c r="D80" s="82" t="n"/>
      <c r="E80" s="82" t="n"/>
    </row>
    <row r="81">
      <c r="A81" s="82" t="n"/>
      <c r="B81" s="82" t="n"/>
      <c r="C81" s="82" t="n"/>
      <c r="D81" s="82" t="n"/>
      <c r="E81" s="82" t="n"/>
    </row>
    <row r="82">
      <c r="A82" s="82" t="n"/>
      <c r="B82" s="82" t="n"/>
      <c r="C82" s="82" t="n"/>
      <c r="D82" s="82" t="n"/>
      <c r="E82" s="82" t="n"/>
    </row>
    <row r="83">
      <c r="A83" s="82" t="n"/>
      <c r="B83" s="82" t="n"/>
      <c r="C83" s="82" t="n"/>
      <c r="D83" s="82" t="n"/>
      <c r="E83" s="82" t="n"/>
    </row>
    <row r="84">
      <c r="A84" s="82" t="n"/>
      <c r="B84" s="82" t="n"/>
      <c r="C84" s="82" t="n"/>
      <c r="D84" s="82" t="n"/>
      <c r="E84" s="82" t="n"/>
    </row>
    <row r="85">
      <c r="A85" s="82" t="n"/>
      <c r="B85" s="82" t="n"/>
      <c r="C85" s="82" t="n"/>
      <c r="D85" s="82" t="n"/>
      <c r="E85" s="82" t="n"/>
    </row>
    <row r="86">
      <c r="A86" s="82" t="n"/>
      <c r="B86" s="82" t="n"/>
      <c r="C86" s="82" t="n"/>
      <c r="D86" s="82" t="n"/>
      <c r="E86" s="82" t="n"/>
    </row>
    <row r="87">
      <c r="A87" s="82" t="n"/>
      <c r="B87" s="82" t="n"/>
      <c r="C87" s="82" t="n"/>
      <c r="D87" s="82" t="n"/>
      <c r="E87" s="82" t="n"/>
    </row>
    <row r="88">
      <c r="A88" s="82" t="n"/>
      <c r="B88" s="82" t="n"/>
      <c r="C88" s="82" t="n"/>
      <c r="D88" s="82" t="n"/>
      <c r="E88" s="82" t="n"/>
    </row>
    <row r="89">
      <c r="A89" s="82" t="n"/>
      <c r="B89" s="82" t="n"/>
      <c r="C89" s="82" t="n"/>
      <c r="D89" s="82" t="n"/>
      <c r="E89" s="82" t="n"/>
    </row>
    <row r="90">
      <c r="A90" s="82" t="n"/>
      <c r="B90" s="82" t="n"/>
      <c r="C90" s="82" t="n"/>
      <c r="D90" s="82" t="n"/>
      <c r="E90" s="82" t="n"/>
    </row>
    <row r="91">
      <c r="A91" s="82" t="n"/>
      <c r="B91" s="82" t="n"/>
      <c r="C91" s="82" t="n"/>
      <c r="D91" s="82" t="n"/>
      <c r="E91" s="82" t="n"/>
    </row>
    <row r="92">
      <c r="A92" s="82" t="n"/>
      <c r="B92" s="82" t="n"/>
      <c r="C92" s="82" t="n"/>
      <c r="D92" s="82" t="n"/>
      <c r="E92" s="82" t="n"/>
    </row>
    <row r="93">
      <c r="A93" s="82" t="n"/>
      <c r="B93" s="82" t="n"/>
      <c r="C93" s="82" t="n"/>
      <c r="D93" s="82" t="n"/>
      <c r="E93" s="82" t="n"/>
    </row>
    <row r="94">
      <c r="A94" s="82" t="n"/>
      <c r="B94" s="82" t="n"/>
      <c r="C94" s="82" t="n"/>
      <c r="D94" s="82" t="n"/>
      <c r="E94" s="82" t="n"/>
    </row>
    <row r="95">
      <c r="A95" s="82" t="n"/>
      <c r="B95" s="82" t="n"/>
      <c r="C95" s="82" t="n"/>
      <c r="D95" s="82" t="n"/>
      <c r="E95" s="82" t="n"/>
    </row>
    <row r="96">
      <c r="A96" s="82" t="n"/>
      <c r="B96" s="82" t="n"/>
      <c r="C96" s="82" t="n"/>
      <c r="D96" s="82" t="n"/>
      <c r="E96" s="82" t="n"/>
    </row>
    <row r="97">
      <c r="A97" s="82" t="n"/>
      <c r="B97" s="82" t="n"/>
      <c r="C97" s="82" t="n"/>
      <c r="D97" s="82" t="n"/>
      <c r="E97" s="82" t="n"/>
    </row>
    <row r="98">
      <c r="A98" s="82" t="n"/>
      <c r="B98" s="82" t="n"/>
      <c r="C98" s="82" t="n"/>
      <c r="D98" s="82" t="n"/>
      <c r="E98" s="82" t="n"/>
    </row>
    <row r="99">
      <c r="A99" s="82" t="n"/>
      <c r="B99" s="82" t="n"/>
      <c r="C99" s="82" t="n"/>
      <c r="D99" s="82" t="n"/>
      <c r="E99" s="82" t="n"/>
    </row>
    <row r="100">
      <c r="A100" s="82" t="n"/>
      <c r="B100" s="82" t="n"/>
      <c r="C100" s="82" t="n"/>
      <c r="D100" s="82" t="n"/>
      <c r="E100" s="82" t="n"/>
    </row>
    <row r="101">
      <c r="A101" s="82" t="n"/>
      <c r="B101" s="82" t="n"/>
      <c r="C101" s="82" t="n"/>
      <c r="D101" s="82" t="n"/>
      <c r="E101" s="82" t="n"/>
    </row>
    <row r="102">
      <c r="A102" s="82" t="n"/>
      <c r="B102" s="82" t="n"/>
      <c r="C102" s="82" t="n"/>
      <c r="D102" s="82" t="n"/>
      <c r="E102" s="82" t="n"/>
    </row>
    <row r="103">
      <c r="A103" s="82" t="n"/>
      <c r="B103" s="82" t="n"/>
      <c r="C103" s="82" t="n"/>
      <c r="D103" s="82" t="n"/>
      <c r="E103" s="82" t="n"/>
    </row>
    <row r="104">
      <c r="A104" s="82" t="n"/>
      <c r="B104" s="82" t="n"/>
      <c r="C104" s="82" t="n"/>
      <c r="D104" s="82" t="n"/>
      <c r="E104" s="82" t="n"/>
    </row>
    <row r="105">
      <c r="A105" s="82" t="n"/>
      <c r="B105" s="82" t="n"/>
      <c r="C105" s="82" t="n"/>
      <c r="D105" s="82" t="n"/>
      <c r="E105" s="82" t="n"/>
    </row>
    <row r="106">
      <c r="A106" s="82" t="n"/>
      <c r="B106" s="82" t="n"/>
      <c r="C106" s="82" t="n"/>
      <c r="D106" s="82" t="n"/>
      <c r="E106" s="82" t="n"/>
    </row>
    <row r="107">
      <c r="A107" s="82" t="n"/>
      <c r="B107" s="82" t="n"/>
      <c r="C107" s="82" t="n"/>
      <c r="D107" s="82" t="n"/>
      <c r="E107" s="82" t="n"/>
    </row>
    <row r="108">
      <c r="A108" s="82" t="n"/>
      <c r="B108" s="82" t="n"/>
      <c r="C108" s="82" t="n"/>
      <c r="D108" s="82" t="n"/>
      <c r="E108" s="82" t="n"/>
    </row>
    <row r="109">
      <c r="A109" s="82" t="n"/>
      <c r="B109" s="82" t="n"/>
      <c r="C109" s="82" t="n"/>
      <c r="D109" s="82" t="n"/>
      <c r="E109" s="82" t="n"/>
    </row>
    <row r="110">
      <c r="A110" s="82" t="n"/>
      <c r="B110" s="82" t="n"/>
      <c r="C110" s="82" t="n"/>
      <c r="D110" s="82" t="n"/>
      <c r="E110" s="82" t="n"/>
    </row>
    <row r="111">
      <c r="A111" s="82" t="n"/>
      <c r="B111" s="82" t="n"/>
      <c r="C111" s="82" t="n"/>
      <c r="D111" s="82" t="n"/>
      <c r="E111" s="82" t="n"/>
    </row>
    <row r="112">
      <c r="A112" s="82" t="n"/>
      <c r="B112" s="82" t="n"/>
      <c r="C112" s="82" t="n"/>
      <c r="D112" s="82" t="n"/>
      <c r="E112" s="82" t="n"/>
    </row>
    <row r="113">
      <c r="A113" s="82" t="n"/>
      <c r="B113" s="82" t="n"/>
      <c r="C113" s="82" t="n"/>
      <c r="D113" s="82" t="n"/>
      <c r="E113" s="82" t="n"/>
    </row>
    <row r="114">
      <c r="A114" s="82" t="n"/>
      <c r="B114" s="82" t="n"/>
      <c r="C114" s="82" t="n"/>
      <c r="D114" s="82" t="n"/>
      <c r="E114" s="82" t="n"/>
    </row>
    <row r="115">
      <c r="A115" s="82" t="n"/>
      <c r="B115" s="82" t="n"/>
      <c r="C115" s="82" t="n"/>
      <c r="D115" s="82" t="n"/>
      <c r="E115" s="82" t="n"/>
    </row>
    <row r="116">
      <c r="A116" s="82" t="n"/>
      <c r="B116" s="82" t="n"/>
      <c r="C116" s="82" t="n"/>
      <c r="D116" s="82" t="n"/>
      <c r="E116" s="82" t="n"/>
    </row>
    <row r="117">
      <c r="A117" s="82" t="n"/>
      <c r="B117" s="82" t="n"/>
      <c r="C117" s="82" t="n"/>
      <c r="D117" s="82" t="n"/>
      <c r="E117" s="82" t="n"/>
    </row>
    <row r="118">
      <c r="A118" s="82" t="n"/>
      <c r="B118" s="82" t="n"/>
      <c r="C118" s="82" t="n"/>
      <c r="D118" s="82" t="n"/>
      <c r="E118" s="82" t="n"/>
    </row>
    <row r="119">
      <c r="A119" s="82" t="n"/>
      <c r="B119" s="82" t="n"/>
      <c r="C119" s="82" t="n"/>
      <c r="D119" s="82" t="n"/>
      <c r="E119" s="82" t="n"/>
    </row>
    <row r="120">
      <c r="A120" s="82" t="n"/>
      <c r="B120" s="82" t="n"/>
      <c r="C120" s="82" t="n"/>
      <c r="D120" s="82" t="n"/>
      <c r="E120" s="82" t="n"/>
    </row>
    <row r="121">
      <c r="A121" s="82" t="n"/>
      <c r="B121" s="82" t="n"/>
      <c r="C121" s="82" t="n"/>
      <c r="D121" s="82" t="n"/>
      <c r="E121" s="82" t="n"/>
    </row>
    <row r="122">
      <c r="A122" s="82" t="n"/>
      <c r="B122" s="82" t="n"/>
      <c r="C122" s="82" t="n"/>
      <c r="D122" s="82" t="n"/>
      <c r="E122" s="82" t="n"/>
    </row>
    <row r="123">
      <c r="A123" s="82" t="n"/>
      <c r="B123" s="82" t="n"/>
      <c r="C123" s="82" t="n"/>
      <c r="D123" s="82" t="n"/>
      <c r="E123" s="82" t="n"/>
    </row>
    <row r="124">
      <c r="A124" s="82" t="n"/>
      <c r="B124" s="82" t="n"/>
      <c r="C124" s="82" t="n"/>
      <c r="D124" s="82" t="n"/>
      <c r="E124" s="82" t="n"/>
    </row>
    <row r="125">
      <c r="A125" s="82" t="n"/>
      <c r="B125" s="82" t="n"/>
      <c r="C125" s="82" t="n"/>
      <c r="D125" s="82" t="n"/>
      <c r="E125" s="82" t="n"/>
    </row>
    <row r="126">
      <c r="A126" s="82" t="n"/>
      <c r="B126" s="82" t="n"/>
      <c r="C126" s="82" t="n"/>
      <c r="D126" s="82" t="n"/>
      <c r="E126" s="82" t="n"/>
    </row>
    <row r="127">
      <c r="A127" s="82" t="n"/>
      <c r="B127" s="82" t="n"/>
      <c r="C127" s="82" t="n"/>
      <c r="D127" s="82" t="n"/>
      <c r="E127" s="82" t="n"/>
    </row>
    <row r="128">
      <c r="A128" s="82" t="n"/>
      <c r="B128" s="82" t="n"/>
      <c r="C128" s="82" t="n"/>
      <c r="D128" s="82" t="n"/>
      <c r="E128" s="82" t="n"/>
    </row>
    <row r="129">
      <c r="A129" s="82" t="n"/>
      <c r="B129" s="82" t="n"/>
      <c r="C129" s="82" t="n"/>
      <c r="D129" s="82" t="n"/>
      <c r="E129" s="82" t="n"/>
    </row>
    <row r="130">
      <c r="A130" s="82" t="n"/>
      <c r="B130" s="82" t="n"/>
      <c r="C130" s="82" t="n"/>
      <c r="D130" s="82" t="n"/>
      <c r="E130" s="82" t="n"/>
    </row>
    <row r="131">
      <c r="A131" s="82" t="n"/>
      <c r="B131" s="82" t="n"/>
      <c r="C131" s="82" t="n"/>
      <c r="D131" s="82" t="n"/>
      <c r="E131" s="82" t="n"/>
    </row>
    <row r="132">
      <c r="A132" s="82" t="n"/>
      <c r="B132" s="82" t="n"/>
      <c r="C132" s="82" t="n"/>
      <c r="D132" s="82" t="n"/>
      <c r="E132" s="82" t="n"/>
    </row>
    <row r="133">
      <c r="A133" s="82" t="n"/>
      <c r="B133" s="82" t="n"/>
      <c r="C133" s="82" t="n"/>
      <c r="D133" s="82" t="n"/>
      <c r="E133" s="82" t="n"/>
    </row>
    <row r="134">
      <c r="A134" s="82" t="n"/>
      <c r="B134" s="82" t="n"/>
      <c r="C134" s="82" t="n"/>
      <c r="D134" s="82" t="n"/>
      <c r="E134" s="82" t="n"/>
    </row>
    <row r="135">
      <c r="A135" s="82" t="n"/>
      <c r="B135" s="82" t="n"/>
      <c r="C135" s="82" t="n"/>
      <c r="D135" s="82" t="n"/>
      <c r="E135" s="82" t="n"/>
    </row>
    <row r="136">
      <c r="A136" s="82" t="n"/>
      <c r="B136" s="82" t="n"/>
      <c r="C136" s="82" t="n"/>
      <c r="D136" s="82" t="n"/>
      <c r="E136" s="82" t="n"/>
    </row>
    <row r="137">
      <c r="A137" s="82" t="n"/>
      <c r="B137" s="82" t="n"/>
      <c r="C137" s="82" t="n"/>
      <c r="D137" s="82" t="n"/>
      <c r="E137" s="82" t="n"/>
    </row>
    <row r="138">
      <c r="A138" s="82" t="n"/>
      <c r="B138" s="82" t="n"/>
      <c r="C138" s="82" t="n"/>
      <c r="D138" s="82" t="n"/>
      <c r="E138" s="82" t="n"/>
    </row>
    <row r="139">
      <c r="A139" s="82" t="n"/>
      <c r="B139" s="82" t="n"/>
      <c r="C139" s="82" t="n"/>
      <c r="D139" s="82" t="n"/>
      <c r="E139" s="82" t="n"/>
    </row>
    <row r="140">
      <c r="A140" s="82" t="n"/>
      <c r="B140" s="82" t="n"/>
      <c r="C140" s="82" t="n"/>
      <c r="D140" s="82" t="n"/>
      <c r="E140" s="82" t="n"/>
    </row>
    <row r="141">
      <c r="A141" s="82" t="n"/>
      <c r="B141" s="82" t="n"/>
      <c r="C141" s="82" t="n"/>
      <c r="D141" s="82" t="n"/>
      <c r="E141" s="82" t="n"/>
    </row>
    <row r="142">
      <c r="A142" s="82" t="n"/>
      <c r="B142" s="82" t="n"/>
      <c r="C142" s="82" t="n"/>
      <c r="D142" s="82" t="n"/>
      <c r="E142" s="82" t="n"/>
    </row>
    <row r="143">
      <c r="A143" s="82" t="n"/>
      <c r="B143" s="82" t="n"/>
      <c r="C143" s="82" t="n"/>
      <c r="D143" s="82" t="n"/>
      <c r="E143" s="82" t="n"/>
    </row>
    <row r="144">
      <c r="A144" s="82" t="n"/>
      <c r="B144" s="82" t="n"/>
      <c r="C144" s="82" t="n"/>
      <c r="D144" s="82" t="n"/>
      <c r="E144" s="82" t="n"/>
    </row>
    <row r="145">
      <c r="A145" s="82" t="n"/>
      <c r="B145" s="82" t="n"/>
      <c r="C145" s="82" t="n"/>
      <c r="D145" s="82" t="n"/>
      <c r="E145" s="82" t="n"/>
    </row>
    <row r="146">
      <c r="A146" s="82" t="n"/>
      <c r="B146" s="82" t="n"/>
      <c r="C146" s="82" t="n"/>
      <c r="D146" s="82" t="n"/>
      <c r="E146" s="82" t="n"/>
    </row>
    <row r="147">
      <c r="A147" s="82" t="n"/>
      <c r="B147" s="82" t="n"/>
      <c r="C147" s="82" t="n"/>
      <c r="D147" s="82" t="n"/>
      <c r="E147" s="82" t="n"/>
    </row>
    <row r="148">
      <c r="A148" s="82" t="n"/>
      <c r="B148" s="82" t="n"/>
      <c r="C148" s="82" t="n"/>
      <c r="D148" s="82" t="n"/>
      <c r="E148" s="82" t="n"/>
    </row>
    <row r="149">
      <c r="A149" s="82" t="n"/>
      <c r="B149" s="82" t="n"/>
      <c r="C149" s="82" t="n"/>
      <c r="D149" s="82" t="n"/>
      <c r="E149" s="82" t="n"/>
    </row>
    <row r="150">
      <c r="A150" s="82" t="n"/>
      <c r="B150" s="82" t="n"/>
      <c r="C150" s="82" t="n"/>
      <c r="D150" s="82" t="n"/>
      <c r="E150" s="82" t="n"/>
    </row>
    <row r="151">
      <c r="A151" s="82" t="n"/>
      <c r="B151" s="82" t="n"/>
      <c r="C151" s="82" t="n"/>
      <c r="D151" s="82" t="n"/>
      <c r="E151" s="82" t="n"/>
    </row>
    <row r="152">
      <c r="A152" s="82" t="n"/>
      <c r="B152" s="82" t="n"/>
      <c r="C152" s="82" t="n"/>
      <c r="D152" s="82" t="n"/>
      <c r="E152" s="82" t="n"/>
    </row>
    <row r="153">
      <c r="A153" s="82" t="n"/>
      <c r="B153" s="82" t="n"/>
      <c r="C153" s="82" t="n"/>
      <c r="D153" s="82" t="n"/>
      <c r="E153" s="82" t="n"/>
    </row>
    <row r="154">
      <c r="A154" s="82" t="n"/>
      <c r="B154" s="82" t="n"/>
      <c r="C154" s="82" t="n"/>
      <c r="D154" s="82" t="n"/>
      <c r="E154" s="82" t="n"/>
    </row>
    <row r="155">
      <c r="A155" s="82" t="n"/>
      <c r="B155" s="82" t="n"/>
      <c r="C155" s="82" t="n"/>
      <c r="D155" s="82" t="n"/>
      <c r="E155" s="82" t="n"/>
    </row>
    <row r="156">
      <c r="A156" s="82" t="n"/>
      <c r="B156" s="82" t="n"/>
      <c r="C156" s="82" t="n"/>
      <c r="D156" s="82" t="n"/>
      <c r="E156" s="82" t="n"/>
    </row>
    <row r="157">
      <c r="A157" s="82" t="n"/>
      <c r="B157" s="82" t="n"/>
      <c r="C157" s="82" t="n"/>
      <c r="D157" s="82" t="n"/>
      <c r="E157" s="82" t="n"/>
    </row>
    <row r="158">
      <c r="A158" s="82" t="n"/>
      <c r="B158" s="82" t="n"/>
      <c r="C158" s="82" t="n"/>
      <c r="D158" s="82" t="n"/>
      <c r="E158" s="82" t="n"/>
    </row>
    <row r="159">
      <c r="A159" s="82" t="n"/>
      <c r="B159" s="82" t="n"/>
      <c r="C159" s="82" t="n"/>
      <c r="D159" s="82" t="n"/>
      <c r="E159" s="82" t="n"/>
    </row>
    <row r="160">
      <c r="A160" s="82" t="n"/>
      <c r="B160" s="82" t="n"/>
      <c r="C160" s="82" t="n"/>
      <c r="D160" s="82" t="n"/>
      <c r="E160" s="82" t="n"/>
    </row>
    <row r="161">
      <c r="A161" s="82" t="n"/>
      <c r="B161" s="82" t="n"/>
      <c r="C161" s="82" t="n"/>
      <c r="D161" s="82" t="n"/>
      <c r="E161" s="82" t="n"/>
    </row>
    <row r="162">
      <c r="A162" s="82" t="n"/>
      <c r="B162" s="82" t="n"/>
      <c r="C162" s="82" t="n"/>
      <c r="D162" s="82" t="n"/>
      <c r="E162" s="82" t="n"/>
    </row>
    <row r="163">
      <c r="A163" s="82" t="n"/>
      <c r="B163" s="82" t="n"/>
      <c r="C163" s="82" t="n"/>
      <c r="D163" s="82" t="n"/>
      <c r="E163" s="82" t="n"/>
    </row>
    <row r="164">
      <c r="A164" s="82" t="n"/>
      <c r="B164" s="82" t="n"/>
      <c r="C164" s="82" t="n"/>
      <c r="D164" s="82" t="n"/>
      <c r="E164" s="82" t="n"/>
    </row>
    <row r="165">
      <c r="A165" s="82" t="n"/>
      <c r="B165" s="82" t="n"/>
      <c r="C165" s="82" t="n"/>
      <c r="D165" s="82" t="n"/>
      <c r="E165" s="82" t="n"/>
    </row>
    <row r="166">
      <c r="A166" s="82" t="n"/>
      <c r="B166" s="82" t="n"/>
      <c r="C166" s="82" t="n"/>
      <c r="D166" s="82" t="n"/>
      <c r="E166" s="82" t="n"/>
    </row>
    <row r="167">
      <c r="A167" s="82" t="n"/>
      <c r="B167" s="82" t="n"/>
      <c r="C167" s="82" t="n"/>
      <c r="D167" s="82" t="n"/>
      <c r="E167" s="82" t="n"/>
    </row>
    <row r="168">
      <c r="A168" s="82" t="n"/>
      <c r="B168" s="82" t="n"/>
      <c r="C168" s="82" t="n"/>
      <c r="D168" s="82" t="n"/>
      <c r="E168" s="82" t="n"/>
    </row>
    <row r="169">
      <c r="A169" s="82" t="n"/>
      <c r="B169" s="82" t="n"/>
      <c r="C169" s="82" t="n"/>
      <c r="D169" s="82" t="n"/>
      <c r="E169" s="82" t="n"/>
    </row>
    <row r="170">
      <c r="A170" s="82" t="n"/>
      <c r="B170" s="82" t="n"/>
      <c r="C170" s="82" t="n"/>
      <c r="D170" s="82" t="n"/>
      <c r="E170" s="82" t="n"/>
    </row>
    <row r="171">
      <c r="A171" s="82" t="n"/>
      <c r="B171" s="82" t="n"/>
      <c r="C171" s="82" t="n"/>
      <c r="D171" s="82" t="n"/>
      <c r="E171" s="82" t="n"/>
    </row>
    <row r="172">
      <c r="A172" s="82" t="n"/>
      <c r="B172" s="82" t="n"/>
      <c r="C172" s="82" t="n"/>
      <c r="D172" s="82" t="n"/>
      <c r="E172" s="82" t="n"/>
    </row>
    <row r="173">
      <c r="A173" s="82" t="n"/>
      <c r="B173" s="82" t="n"/>
      <c r="C173" s="82" t="n"/>
      <c r="D173" s="82" t="n"/>
      <c r="E173" s="82" t="n"/>
    </row>
    <row r="174">
      <c r="A174" s="82" t="n"/>
      <c r="B174" s="82" t="n"/>
      <c r="C174" s="82" t="n"/>
      <c r="D174" s="82" t="n"/>
      <c r="E174" s="82" t="n"/>
    </row>
    <row r="175">
      <c r="A175" s="82" t="n"/>
      <c r="B175" s="82" t="n"/>
      <c r="C175" s="82" t="n"/>
      <c r="D175" s="82" t="n"/>
      <c r="E175" s="82" t="n"/>
    </row>
    <row r="176">
      <c r="A176" s="82" t="n"/>
      <c r="B176" s="82" t="n"/>
      <c r="C176" s="82" t="n"/>
      <c r="D176" s="82" t="n"/>
      <c r="E176" s="82" t="n"/>
    </row>
    <row r="177">
      <c r="A177" s="82" t="n"/>
      <c r="B177" s="82" t="n"/>
      <c r="C177" s="82" t="n"/>
      <c r="D177" s="82" t="n"/>
      <c r="E177" s="82" t="n"/>
    </row>
    <row r="178">
      <c r="A178" s="82" t="n"/>
      <c r="B178" s="82" t="n"/>
      <c r="C178" s="82" t="n"/>
      <c r="D178" s="82" t="n"/>
      <c r="E178" s="82" t="n"/>
    </row>
    <row r="179">
      <c r="A179" s="82" t="n"/>
      <c r="B179" s="82" t="n"/>
      <c r="C179" s="82" t="n"/>
      <c r="D179" s="82" t="n"/>
      <c r="E179" s="82" t="n"/>
    </row>
    <row r="180">
      <c r="A180" s="82" t="n"/>
      <c r="B180" s="82" t="n"/>
      <c r="C180" s="82" t="n"/>
      <c r="D180" s="82" t="n"/>
      <c r="E180" s="82" t="n"/>
    </row>
    <row r="181">
      <c r="A181" s="82" t="n"/>
      <c r="B181" s="82" t="n"/>
      <c r="C181" s="82" t="n"/>
      <c r="D181" s="82" t="n"/>
      <c r="E181" s="82" t="n"/>
    </row>
    <row r="182">
      <c r="A182" s="82" t="n"/>
      <c r="B182" s="82" t="n"/>
      <c r="C182" s="82" t="n"/>
      <c r="D182" s="82" t="n"/>
      <c r="E182" s="82" t="n"/>
    </row>
    <row r="183">
      <c r="A183" s="82" t="n"/>
      <c r="B183" s="82" t="n"/>
      <c r="C183" s="82" t="n"/>
      <c r="D183" s="82" t="n"/>
      <c r="E183" s="82" t="n"/>
    </row>
    <row r="184">
      <c r="A184" s="82" t="n"/>
      <c r="B184" s="82" t="n"/>
      <c r="C184" s="82" t="n"/>
      <c r="D184" s="82" t="n"/>
      <c r="E184" s="82" t="n"/>
    </row>
    <row r="185">
      <c r="A185" s="82" t="n"/>
      <c r="B185" s="82" t="n"/>
      <c r="C185" s="82" t="n"/>
      <c r="D185" s="82" t="n"/>
      <c r="E185" s="82" t="n"/>
    </row>
    <row r="186">
      <c r="A186" s="82" t="n"/>
      <c r="B186" s="82" t="n"/>
      <c r="C186" s="82" t="n"/>
      <c r="D186" s="82" t="n"/>
      <c r="E186" s="82" t="n"/>
    </row>
    <row r="187">
      <c r="A187" s="82" t="n"/>
      <c r="B187" s="82" t="n"/>
      <c r="C187" s="82" t="n"/>
      <c r="D187" s="82" t="n"/>
      <c r="E187" s="82" t="n"/>
    </row>
    <row r="188">
      <c r="A188" s="82" t="n"/>
      <c r="B188" s="82" t="n"/>
      <c r="C188" s="82" t="n"/>
      <c r="D188" s="82" t="n"/>
      <c r="E188" s="82" t="n"/>
    </row>
    <row r="189">
      <c r="A189" s="82" t="n"/>
      <c r="B189" s="82" t="n"/>
      <c r="C189" s="82" t="n"/>
      <c r="D189" s="82" t="n"/>
      <c r="E189" s="82" t="n"/>
    </row>
    <row r="190">
      <c r="A190" s="82" t="n"/>
      <c r="B190" s="82" t="n"/>
      <c r="C190" s="82" t="n"/>
      <c r="D190" s="82" t="n"/>
      <c r="E190" s="82" t="n"/>
    </row>
    <row r="191">
      <c r="A191" s="82" t="n"/>
      <c r="B191" s="82" t="n"/>
      <c r="C191" s="82" t="n"/>
      <c r="D191" s="82" t="n"/>
      <c r="E191" s="82" t="n"/>
    </row>
    <row r="192">
      <c r="A192" s="82" t="n"/>
      <c r="B192" s="82" t="n"/>
      <c r="C192" s="82" t="n"/>
      <c r="D192" s="82" t="n"/>
      <c r="E192" s="82" t="n"/>
    </row>
    <row r="193">
      <c r="A193" s="82" t="n"/>
      <c r="B193" s="82" t="n"/>
      <c r="C193" s="82" t="n"/>
      <c r="D193" s="82" t="n"/>
      <c r="E193" s="82" t="n"/>
    </row>
    <row r="194">
      <c r="A194" s="82" t="n"/>
      <c r="B194" s="82" t="n"/>
      <c r="C194" s="82" t="n"/>
      <c r="D194" s="82" t="n"/>
      <c r="E194" s="82" t="n"/>
    </row>
    <row r="195">
      <c r="A195" s="82" t="n"/>
      <c r="B195" s="82" t="n"/>
      <c r="C195" s="82" t="n"/>
      <c r="D195" s="82" t="n"/>
      <c r="E195" s="82" t="n"/>
    </row>
    <row r="196">
      <c r="A196" s="82" t="n"/>
      <c r="B196" s="82" t="n"/>
      <c r="C196" s="82" t="n"/>
      <c r="D196" s="82" t="n"/>
      <c r="E196" s="82" t="n"/>
    </row>
    <row r="197">
      <c r="A197" s="82" t="n"/>
      <c r="B197" s="82" t="n"/>
      <c r="C197" s="82" t="n"/>
      <c r="D197" s="82" t="n"/>
      <c r="E197" s="82" t="n"/>
    </row>
    <row r="198">
      <c r="A198" s="82" t="n"/>
      <c r="B198" s="82" t="n"/>
      <c r="C198" s="82" t="n"/>
      <c r="D198" s="82" t="n"/>
      <c r="E198" s="82" t="n"/>
    </row>
    <row r="199">
      <c r="A199" s="82" t="n"/>
      <c r="B199" s="82" t="n"/>
      <c r="C199" s="82" t="n"/>
      <c r="D199" s="82" t="n"/>
      <c r="E199" s="82" t="n"/>
    </row>
    <row r="200">
      <c r="A200" s="82" t="n"/>
      <c r="B200" s="82" t="n"/>
      <c r="C200" s="82" t="n"/>
      <c r="D200" s="82" t="n"/>
      <c r="E200" s="82" t="n"/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autoFilter ref="A4:L41"/>
  <mergeCells count="2">
    <mergeCell ref="A2:L2"/>
    <mergeCell ref="A1:L1"/>
  </mergeCells>
  <conditionalFormatting sqref="L5:L200">
    <cfRule type="expression" priority="1" dxfId="0">
      <formula>L5="On Track"</formula>
    </cfRule>
    <cfRule type="expression" priority="2" dxfId="1">
      <formula>L5="Under"</formula>
    </cfRule>
    <cfRule type="expression" priority="3" dxfId="2">
      <formula>L5="Watch"</formula>
    </cfRule>
    <cfRule type="expression" priority="4" dxfId="4">
      <formula>L5="Over"</formula>
    </cfRule>
  </conditionalFormatting>
  <dataValidations count="1">
    <dataValidation sqref="D5:D200" showDropDown="0" showInputMessage="0" showErrorMessage="1" allowBlank="1" errorTitle="Invalid value" error="Pick a value from the list." type="list">
      <formula1>=Budget_Category</formula1>
    </dataValidation>
  </dataValidations>
  <pageMargins left="0.4" right="0.4" top="0.6" bottom="0.5" header="0.25" footer="0.25"/>
  <pageSetup orientation="landscape" paperSize="3" fitToHeight="0" fitToWidth="1"/>
  <headerFooter>
    <oddHeader>&amp;LNovality Store  ·  Home Renovation System&amp;RBudget</oddHeader>
    <oddFooter>&amp;LConfidential  ·  Digital twin of the home&amp;RPage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C86B4A"/>
    <outlinePr summaryBelow="1" summaryRight="1"/>
    <pageSetUpPr fitToPage="1"/>
  </sheetPr>
  <dimension ref="A1:L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4" customWidth="1" min="5" max="5"/>
    <col width="24" customWidth="1" min="6" max="6"/>
    <col width="36" customWidth="1" min="7" max="7"/>
    <col width="12" customWidth="1" min="8" max="8"/>
    <col width="14" customWidth="1" min="9" max="9"/>
    <col width="12" customWidth="1" min="10" max="10"/>
    <col width="16" customWidth="1" min="11" max="11"/>
    <col width="16" customWidth="1" min="12" max="12"/>
  </cols>
  <sheetData>
    <row r="1" ht="28" customHeight="1">
      <c r="A1" s="1" t="inlineStr">
        <is>
          <t>EXPENSES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Every dollar  ·  Planned / Committed / Paid  ·  add rows below, keep Status valid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 ht="22" customHeight="1">
      <c r="A4" s="66" t="inlineStr">
        <is>
          <t>Expense ID</t>
        </is>
      </c>
      <c r="B4" s="66" t="inlineStr">
        <is>
          <t>Date</t>
        </is>
      </c>
      <c r="C4" s="66" t="inlineStr">
        <is>
          <t>Project ID</t>
        </is>
      </c>
      <c r="D4" s="66" t="inlineStr">
        <is>
          <t>Room ID</t>
        </is>
      </c>
      <c r="E4" s="66" t="inlineStr">
        <is>
          <t>Category</t>
        </is>
      </c>
      <c r="F4" s="66" t="inlineStr">
        <is>
          <t>Vendor</t>
        </is>
      </c>
      <c r="G4" s="66" t="inlineStr">
        <is>
          <t>Description</t>
        </is>
      </c>
      <c r="H4" s="66" t="inlineStr">
        <is>
          <t>Amount</t>
        </is>
      </c>
      <c r="I4" s="66" t="inlineStr">
        <is>
          <t>Method</t>
        </is>
      </c>
      <c r="J4" s="66" t="inlineStr">
        <is>
          <t>Status</t>
        </is>
      </c>
      <c r="K4" s="66" t="inlineStr">
        <is>
          <t>Receipt / Invoice</t>
        </is>
      </c>
      <c r="L4" s="66" t="inlineStr">
        <is>
          <t>Approved By</t>
        </is>
      </c>
    </row>
    <row r="5" ht="18" customHeight="1">
      <c r="A5" s="67" t="inlineStr">
        <is>
          <t>EXP-001</t>
        </is>
      </c>
      <c r="B5" s="70" t="n">
        <v>46089</v>
      </c>
      <c r="C5" s="67" t="inlineStr">
        <is>
          <t>PRJ-001</t>
        </is>
      </c>
      <c r="D5" s="67" t="inlineStr"/>
      <c r="E5" s="68" t="inlineStr">
        <is>
          <t>Design</t>
        </is>
      </c>
      <c r="F5" s="68" t="inlineStr">
        <is>
          <t>Luna Interiors</t>
        </is>
      </c>
      <c r="G5" s="68" t="inlineStr">
        <is>
          <t>Design retainer</t>
        </is>
      </c>
      <c r="H5" s="71" t="n">
        <v>2400</v>
      </c>
      <c r="I5" s="67" t="inlineStr">
        <is>
          <t>ACH</t>
        </is>
      </c>
      <c r="J5" s="67" t="inlineStr">
        <is>
          <t>Paid</t>
        </is>
      </c>
      <c r="K5" s="68" t="inlineStr">
        <is>
          <t>INV-LUNA-110</t>
        </is>
      </c>
      <c r="L5" s="68" t="inlineStr">
        <is>
          <t>Alex Rivera</t>
        </is>
      </c>
    </row>
    <row r="6" ht="18" customHeight="1">
      <c r="A6" s="75" t="inlineStr">
        <is>
          <t>EXP-002</t>
        </is>
      </c>
      <c r="B6" s="78" t="n">
        <v>46114</v>
      </c>
      <c r="C6" s="75" t="inlineStr">
        <is>
          <t>PRJ-001</t>
        </is>
      </c>
      <c r="D6" s="75" t="inlineStr"/>
      <c r="E6" s="76" t="inlineStr">
        <is>
          <t>Permits</t>
        </is>
      </c>
      <c r="F6" s="76" t="inlineStr">
        <is>
          <t>City of Portland</t>
        </is>
      </c>
      <c r="G6" s="76" t="inlineStr">
        <is>
          <t>Building permit</t>
        </is>
      </c>
      <c r="H6" s="79" t="n">
        <v>840</v>
      </c>
      <c r="I6" s="75" t="inlineStr">
        <is>
          <t>Credit Card</t>
        </is>
      </c>
      <c r="J6" s="75" t="inlineStr">
        <is>
          <t>Paid</t>
        </is>
      </c>
      <c r="K6" s="76" t="inlineStr">
        <is>
          <t>PMT-2026-441</t>
        </is>
      </c>
      <c r="L6" s="76" t="inlineStr">
        <is>
          <t>Marcus Webb</t>
        </is>
      </c>
    </row>
    <row r="7" ht="18" customHeight="1">
      <c r="A7" s="67" t="inlineStr">
        <is>
          <t>EXP-003</t>
        </is>
      </c>
      <c r="B7" s="70" t="n">
        <v>46130</v>
      </c>
      <c r="C7" s="67" t="inlineStr">
        <is>
          <t>PRJ-001</t>
        </is>
      </c>
      <c r="D7" s="67" t="inlineStr"/>
      <c r="E7" s="68" t="inlineStr">
        <is>
          <t>Permits</t>
        </is>
      </c>
      <c r="F7" s="68" t="inlineStr">
        <is>
          <t>City of Portland</t>
        </is>
      </c>
      <c r="G7" s="68" t="inlineStr">
        <is>
          <t>Electrical + plumbing permits</t>
        </is>
      </c>
      <c r="H7" s="71" t="n">
        <v>610</v>
      </c>
      <c r="I7" s="67" t="inlineStr">
        <is>
          <t>Credit Card</t>
        </is>
      </c>
      <c r="J7" s="67" t="inlineStr">
        <is>
          <t>Paid</t>
        </is>
      </c>
      <c r="K7" s="68" t="inlineStr">
        <is>
          <t>PMT-2026-478</t>
        </is>
      </c>
      <c r="L7" s="68" t="inlineStr">
        <is>
          <t>Marcus Webb</t>
        </is>
      </c>
    </row>
    <row r="8" ht="18" customHeight="1">
      <c r="A8" s="75" t="inlineStr">
        <is>
          <t>EXP-004</t>
        </is>
      </c>
      <c r="B8" s="78" t="n">
        <v>46146</v>
      </c>
      <c r="C8" s="75" t="inlineStr">
        <is>
          <t>PRJ-001</t>
        </is>
      </c>
      <c r="D8" s="75" t="inlineStr"/>
      <c r="E8" s="76" t="inlineStr">
        <is>
          <t>Design</t>
        </is>
      </c>
      <c r="F8" s="76" t="inlineStr">
        <is>
          <t>Luna Interiors</t>
        </is>
      </c>
      <c r="G8" s="76" t="inlineStr">
        <is>
          <t>Drawings + 3D package</t>
        </is>
      </c>
      <c r="H8" s="79" t="n">
        <v>1800</v>
      </c>
      <c r="I8" s="75" t="inlineStr">
        <is>
          <t>ACH</t>
        </is>
      </c>
      <c r="J8" s="75" t="inlineStr">
        <is>
          <t>Paid</t>
        </is>
      </c>
      <c r="K8" s="76" t="inlineStr">
        <is>
          <t>INV-LUNA-126</t>
        </is>
      </c>
      <c r="L8" s="76" t="inlineStr">
        <is>
          <t>Alex Rivera</t>
        </is>
      </c>
    </row>
    <row r="9" ht="18" customHeight="1">
      <c r="A9" s="67" t="inlineStr">
        <is>
          <t>EXP-005</t>
        </is>
      </c>
      <c r="B9" s="70" t="n">
        <v>46164</v>
      </c>
      <c r="C9" s="67" t="inlineStr">
        <is>
          <t>PRJ-001</t>
        </is>
      </c>
      <c r="D9" s="67" t="inlineStr"/>
      <c r="E9" s="68" t="inlineStr">
        <is>
          <t>Labor</t>
        </is>
      </c>
      <c r="F9" s="68" t="inlineStr">
        <is>
          <t>Ironwood Construction</t>
        </is>
      </c>
      <c r="G9" s="68" t="inlineStr">
        <is>
          <t>Demolition + dumpsters</t>
        </is>
      </c>
      <c r="H9" s="71" t="n">
        <v>2800</v>
      </c>
      <c r="I9" s="67" t="inlineStr">
        <is>
          <t>Check</t>
        </is>
      </c>
      <c r="J9" s="67" t="inlineStr">
        <is>
          <t>Paid</t>
        </is>
      </c>
      <c r="K9" s="68" t="inlineStr">
        <is>
          <t>INV-IW-204</t>
        </is>
      </c>
      <c r="L9" s="68" t="inlineStr">
        <is>
          <t>Alex Rivera</t>
        </is>
      </c>
    </row>
    <row r="10" ht="18" customHeight="1">
      <c r="A10" s="75" t="inlineStr">
        <is>
          <t>EXP-006</t>
        </is>
      </c>
      <c r="B10" s="78" t="n">
        <v>46179</v>
      </c>
      <c r="C10" s="75" t="inlineStr">
        <is>
          <t>PRJ-001</t>
        </is>
      </c>
      <c r="D10" s="75" t="inlineStr">
        <is>
          <t>RM-01</t>
        </is>
      </c>
      <c r="E10" s="76" t="inlineStr">
        <is>
          <t>Labor</t>
        </is>
      </c>
      <c r="F10" s="76" t="inlineStr">
        <is>
          <t>Northwest Electric</t>
        </is>
      </c>
      <c r="G10" s="76" t="inlineStr">
        <is>
          <t>Kitchen / bath rough-in</t>
        </is>
      </c>
      <c r="H10" s="79" t="n">
        <v>1900</v>
      </c>
      <c r="I10" s="75" t="inlineStr">
        <is>
          <t>ACH</t>
        </is>
      </c>
      <c r="J10" s="75" t="inlineStr">
        <is>
          <t>Paid</t>
        </is>
      </c>
      <c r="K10" s="76" t="inlineStr">
        <is>
          <t>INV-NWE-88</t>
        </is>
      </c>
      <c r="L10" s="76" t="inlineStr">
        <is>
          <t>Marcus Webb</t>
        </is>
      </c>
    </row>
    <row r="11" ht="18" customHeight="1">
      <c r="A11" s="67" t="inlineStr">
        <is>
          <t>EXP-007</t>
        </is>
      </c>
      <c r="B11" s="70" t="n">
        <v>46185</v>
      </c>
      <c r="C11" s="67" t="inlineStr">
        <is>
          <t>PRJ-001</t>
        </is>
      </c>
      <c r="D11" s="67" t="inlineStr">
        <is>
          <t>RM-03</t>
        </is>
      </c>
      <c r="E11" s="68" t="inlineStr">
        <is>
          <t>Labor</t>
        </is>
      </c>
      <c r="F11" s="68" t="inlineStr">
        <is>
          <t>Pacific Plumbing</t>
        </is>
      </c>
      <c r="G11" s="68" t="inlineStr">
        <is>
          <t>Bath / laundry rough-in</t>
        </is>
      </c>
      <c r="H11" s="71" t="n">
        <v>2400</v>
      </c>
      <c r="I11" s="67" t="inlineStr">
        <is>
          <t>ACH</t>
        </is>
      </c>
      <c r="J11" s="67" t="inlineStr">
        <is>
          <t>Paid</t>
        </is>
      </c>
      <c r="K11" s="68" t="inlineStr">
        <is>
          <t>INV-PP-301</t>
        </is>
      </c>
      <c r="L11" s="68" t="inlineStr">
        <is>
          <t>Marcus Webb</t>
        </is>
      </c>
    </row>
    <row r="12" ht="18" customHeight="1">
      <c r="A12" s="75" t="inlineStr">
        <is>
          <t>EXP-008</t>
        </is>
      </c>
      <c r="B12" s="78" t="n">
        <v>46193</v>
      </c>
      <c r="C12" s="75" t="inlineStr">
        <is>
          <t>PRJ-001</t>
        </is>
      </c>
      <c r="D12" s="75" t="inlineStr">
        <is>
          <t>RM-03</t>
        </is>
      </c>
      <c r="E12" s="76" t="inlineStr">
        <is>
          <t>Materials</t>
        </is>
      </c>
      <c r="F12" s="76" t="inlineStr">
        <is>
          <t>Tile &amp; Timber Co.</t>
        </is>
      </c>
      <c r="G12" s="76" t="inlineStr">
        <is>
          <t>Porcelain floor + wall tile</t>
        </is>
      </c>
      <c r="H12" s="79" t="n">
        <v>3180</v>
      </c>
      <c r="I12" s="75" t="inlineStr">
        <is>
          <t>Credit Card</t>
        </is>
      </c>
      <c r="J12" s="75" t="inlineStr">
        <is>
          <t>Paid</t>
        </is>
      </c>
      <c r="K12" s="76" t="inlineStr">
        <is>
          <t>PO-114</t>
        </is>
      </c>
      <c r="L12" s="76" t="inlineStr">
        <is>
          <t>Sofia Alvarez</t>
        </is>
      </c>
    </row>
    <row r="13" ht="18" customHeight="1">
      <c r="A13" s="67" t="inlineStr">
        <is>
          <t>EXP-009</t>
        </is>
      </c>
      <c r="B13" s="70" t="n">
        <v>46201</v>
      </c>
      <c r="C13" s="67" t="inlineStr">
        <is>
          <t>PRJ-001</t>
        </is>
      </c>
      <c r="D13" s="67" t="inlineStr">
        <is>
          <t>RM-03</t>
        </is>
      </c>
      <c r="E13" s="68" t="inlineStr">
        <is>
          <t>Materials</t>
        </is>
      </c>
      <c r="F13" s="68" t="inlineStr">
        <is>
          <t>Ferguson</t>
        </is>
      </c>
      <c r="G13" s="68" t="inlineStr">
        <is>
          <t>Bath fixtures package</t>
        </is>
      </c>
      <c r="H13" s="71" t="n">
        <v>2140</v>
      </c>
      <c r="I13" s="67" t="inlineStr">
        <is>
          <t>Credit Card</t>
        </is>
      </c>
      <c r="J13" s="67" t="inlineStr">
        <is>
          <t>Paid</t>
        </is>
      </c>
      <c r="K13" s="68" t="inlineStr">
        <is>
          <t>FERG-9921</t>
        </is>
      </c>
      <c r="L13" s="68" t="inlineStr">
        <is>
          <t>Sofia Alvarez</t>
        </is>
      </c>
    </row>
    <row r="14" ht="18" customHeight="1">
      <c r="A14" s="75" t="inlineStr">
        <is>
          <t>EXP-010</t>
        </is>
      </c>
      <c r="B14" s="78" t="n">
        <v>46205</v>
      </c>
      <c r="C14" s="75" t="inlineStr">
        <is>
          <t>PRJ-001</t>
        </is>
      </c>
      <c r="D14" s="75" t="inlineStr">
        <is>
          <t>RM-03</t>
        </is>
      </c>
      <c r="E14" s="76" t="inlineStr">
        <is>
          <t>Materials</t>
        </is>
      </c>
      <c r="F14" s="76" t="inlineStr">
        <is>
          <t>WarmFloor Co.</t>
        </is>
      </c>
      <c r="G14" s="76" t="inlineStr">
        <is>
          <t>Heated floor kit</t>
        </is>
      </c>
      <c r="H14" s="79" t="n">
        <v>1680</v>
      </c>
      <c r="I14" s="75" t="inlineStr">
        <is>
          <t>Credit Card</t>
        </is>
      </c>
      <c r="J14" s="75" t="inlineStr">
        <is>
          <t>Paid</t>
        </is>
      </c>
      <c r="K14" s="76" t="inlineStr">
        <is>
          <t>WF-441</t>
        </is>
      </c>
      <c r="L14" s="76" t="inlineStr">
        <is>
          <t>Marcus Webb</t>
        </is>
      </c>
    </row>
    <row r="15" ht="18" customHeight="1">
      <c r="A15" s="67" t="inlineStr">
        <is>
          <t>EXP-011</t>
        </is>
      </c>
      <c r="B15" s="70" t="n">
        <v>46211</v>
      </c>
      <c r="C15" s="67" t="inlineStr">
        <is>
          <t>PRJ-001</t>
        </is>
      </c>
      <c r="D15" s="67" t="inlineStr">
        <is>
          <t>RM-01</t>
        </is>
      </c>
      <c r="E15" s="68" t="inlineStr">
        <is>
          <t>Labor</t>
        </is>
      </c>
      <c r="F15" s="68" t="inlineStr">
        <is>
          <t>Pacific Plumbing</t>
        </is>
      </c>
      <c r="G15" s="68" t="inlineStr">
        <is>
          <t>Kitchen sink relocate</t>
        </is>
      </c>
      <c r="H15" s="71" t="n">
        <v>1280</v>
      </c>
      <c r="I15" s="67" t="inlineStr">
        <is>
          <t>ACH</t>
        </is>
      </c>
      <c r="J15" s="67" t="inlineStr">
        <is>
          <t>Paid</t>
        </is>
      </c>
      <c r="K15" s="68" t="inlineStr">
        <is>
          <t>INV-PP-318</t>
        </is>
      </c>
      <c r="L15" s="68" t="inlineStr">
        <is>
          <t>Marcus Webb</t>
        </is>
      </c>
    </row>
    <row r="16" ht="18" customHeight="1">
      <c r="A16" s="75" t="inlineStr">
        <is>
          <t>EXP-012</t>
        </is>
      </c>
      <c r="B16" s="78" t="n">
        <v>46218</v>
      </c>
      <c r="C16" s="75" t="inlineStr">
        <is>
          <t>PRJ-001</t>
        </is>
      </c>
      <c r="D16" s="75" t="inlineStr">
        <is>
          <t>RM-03</t>
        </is>
      </c>
      <c r="E16" s="76" t="inlineStr">
        <is>
          <t>Labor</t>
        </is>
      </c>
      <c r="F16" s="76" t="inlineStr">
        <is>
          <t>Heritage Tile &amp; Stone</t>
        </is>
      </c>
      <c r="G16" s="76" t="inlineStr">
        <is>
          <t>Primary bath tile labor (50%)</t>
        </is>
      </c>
      <c r="H16" s="79" t="n">
        <v>2100</v>
      </c>
      <c r="I16" s="75" t="inlineStr">
        <is>
          <t>ACH</t>
        </is>
      </c>
      <c r="J16" s="75" t="inlineStr">
        <is>
          <t>Paid</t>
        </is>
      </c>
      <c r="K16" s="76" t="inlineStr">
        <is>
          <t>INV-HT-77</t>
        </is>
      </c>
      <c r="L16" s="76" t="inlineStr">
        <is>
          <t>Marcus Webb</t>
        </is>
      </c>
    </row>
    <row r="17" ht="18" customHeight="1">
      <c r="A17" s="67" t="inlineStr">
        <is>
          <t>EXP-013</t>
        </is>
      </c>
      <c r="B17" s="70" t="n">
        <v>46221</v>
      </c>
      <c r="C17" s="67" t="inlineStr">
        <is>
          <t>PRJ-001</t>
        </is>
      </c>
      <c r="D17" s="67" t="inlineStr">
        <is>
          <t>RM-07</t>
        </is>
      </c>
      <c r="E17" s="68" t="inlineStr">
        <is>
          <t>Materials</t>
        </is>
      </c>
      <c r="F17" s="68" t="inlineStr">
        <is>
          <t>Tile &amp; Timber Co.</t>
        </is>
      </c>
      <c r="G17" s="68" t="inlineStr">
        <is>
          <t>Laundry tile + sink</t>
        </is>
      </c>
      <c r="H17" s="71" t="n">
        <v>860</v>
      </c>
      <c r="I17" s="67" t="inlineStr">
        <is>
          <t>Credit Card</t>
        </is>
      </c>
      <c r="J17" s="67" t="inlineStr">
        <is>
          <t>Paid</t>
        </is>
      </c>
      <c r="K17" s="68" t="inlineStr">
        <is>
          <t>PO-129</t>
        </is>
      </c>
      <c r="L17" s="68" t="inlineStr">
        <is>
          <t>Sofia Alvarez</t>
        </is>
      </c>
    </row>
    <row r="18" ht="18" customHeight="1">
      <c r="A18" s="75" t="inlineStr">
        <is>
          <t>EXP-014</t>
        </is>
      </c>
      <c r="B18" s="78" t="n">
        <v>46225</v>
      </c>
      <c r="C18" s="75" t="inlineStr">
        <is>
          <t>PRJ-001</t>
        </is>
      </c>
      <c r="D18" s="75" t="inlineStr">
        <is>
          <t>RM-07</t>
        </is>
      </c>
      <c r="E18" s="76" t="inlineStr">
        <is>
          <t>Labor</t>
        </is>
      </c>
      <c r="F18" s="76" t="inlineStr">
        <is>
          <t>Pacific Plumbing</t>
        </is>
      </c>
      <c r="G18" s="76" t="inlineStr">
        <is>
          <t>Laundry install</t>
        </is>
      </c>
      <c r="H18" s="79" t="n">
        <v>980</v>
      </c>
      <c r="I18" s="75" t="inlineStr">
        <is>
          <t>ACH</t>
        </is>
      </c>
      <c r="J18" s="75" t="inlineStr">
        <is>
          <t>Paid</t>
        </is>
      </c>
      <c r="K18" s="76" t="inlineStr">
        <is>
          <t>INV-PP-330</t>
        </is>
      </c>
      <c r="L18" s="76" t="inlineStr">
        <is>
          <t>Marcus Webb</t>
        </is>
      </c>
    </row>
    <row r="19" ht="18" customHeight="1">
      <c r="A19" s="67" t="inlineStr">
        <is>
          <t>EXP-015</t>
        </is>
      </c>
      <c r="B19" s="70" t="n">
        <v>46231</v>
      </c>
      <c r="C19" s="67" t="inlineStr">
        <is>
          <t>PRJ-001</t>
        </is>
      </c>
      <c r="D19" s="67" t="inlineStr">
        <is>
          <t>RM-01</t>
        </is>
      </c>
      <c r="E19" s="68" t="inlineStr">
        <is>
          <t>Materials</t>
        </is>
      </c>
      <c r="F19" s="68" t="inlineStr">
        <is>
          <t>Timberline Floors</t>
        </is>
      </c>
      <c r="G19" s="68" t="inlineStr">
        <is>
          <t>White oak 7in — kitchen/living/dining</t>
        </is>
      </c>
      <c r="H19" s="71" t="n">
        <v>6400</v>
      </c>
      <c r="I19" s="67" t="inlineStr">
        <is>
          <t>ACH</t>
        </is>
      </c>
      <c r="J19" s="67" t="inlineStr">
        <is>
          <t>Paid</t>
        </is>
      </c>
      <c r="K19" s="68" t="inlineStr">
        <is>
          <t>PO-140</t>
        </is>
      </c>
      <c r="L19" s="68" t="inlineStr">
        <is>
          <t>Sofia Alvarez</t>
        </is>
      </c>
    </row>
    <row r="20" ht="18" customHeight="1">
      <c r="A20" s="75" t="inlineStr">
        <is>
          <t>EXP-016</t>
        </is>
      </c>
      <c r="B20" s="78" t="n">
        <v>46236</v>
      </c>
      <c r="C20" s="75" t="inlineStr">
        <is>
          <t>PRJ-001</t>
        </is>
      </c>
      <c r="D20" s="75" t="inlineStr">
        <is>
          <t>RM-01</t>
        </is>
      </c>
      <c r="E20" s="76" t="inlineStr">
        <is>
          <t>Materials</t>
        </is>
      </c>
      <c r="F20" s="76" t="inlineStr">
        <is>
          <t>Cascade Cabinets</t>
        </is>
      </c>
      <c r="G20" s="76" t="inlineStr">
        <is>
          <t>Cabinet deposit 50%</t>
        </is>
      </c>
      <c r="H20" s="79" t="n">
        <v>7400</v>
      </c>
      <c r="I20" s="75" t="inlineStr">
        <is>
          <t>Wire</t>
        </is>
      </c>
      <c r="J20" s="75" t="inlineStr">
        <is>
          <t>Paid</t>
        </is>
      </c>
      <c r="K20" s="76" t="inlineStr">
        <is>
          <t>INV-CC-501</t>
        </is>
      </c>
      <c r="L20" s="76" t="inlineStr">
        <is>
          <t>Alex Rivera</t>
        </is>
      </c>
    </row>
    <row r="21" ht="18" customHeight="1">
      <c r="A21" s="67" t="inlineStr">
        <is>
          <t>EXP-017</t>
        </is>
      </c>
      <c r="B21" s="70" t="n">
        <v>46239</v>
      </c>
      <c r="C21" s="67" t="inlineStr">
        <is>
          <t>PRJ-001</t>
        </is>
      </c>
      <c r="D21" s="67" t="inlineStr">
        <is>
          <t>RM-02</t>
        </is>
      </c>
      <c r="E21" s="68" t="inlineStr">
        <is>
          <t>Labor</t>
        </is>
      </c>
      <c r="F21" s="68" t="inlineStr">
        <is>
          <t>Timberline Floors</t>
        </is>
      </c>
      <c r="G21" s="68" t="inlineStr">
        <is>
          <t>Floor install progress</t>
        </is>
      </c>
      <c r="H21" s="71" t="n">
        <v>1800</v>
      </c>
      <c r="I21" s="67" t="inlineStr">
        <is>
          <t>ACH</t>
        </is>
      </c>
      <c r="J21" s="67" t="inlineStr">
        <is>
          <t>Paid</t>
        </is>
      </c>
      <c r="K21" s="68" t="inlineStr">
        <is>
          <t>INV-TF-19</t>
        </is>
      </c>
      <c r="L21" s="68" t="inlineStr">
        <is>
          <t>Marcus Webb</t>
        </is>
      </c>
    </row>
    <row r="22" ht="18" customHeight="1">
      <c r="A22" s="75" t="inlineStr">
        <is>
          <t>EXP-018</t>
        </is>
      </c>
      <c r="B22" s="78" t="n">
        <v>46242</v>
      </c>
      <c r="C22" s="75" t="inlineStr">
        <is>
          <t>PRJ-001</t>
        </is>
      </c>
      <c r="D22" s="75" t="inlineStr">
        <is>
          <t>RM-03</t>
        </is>
      </c>
      <c r="E22" s="76" t="inlineStr">
        <is>
          <t>Labor</t>
        </is>
      </c>
      <c r="F22" s="76" t="inlineStr">
        <is>
          <t>Heritage Tile &amp; Stone</t>
        </is>
      </c>
      <c r="G22" s="76" t="inlineStr">
        <is>
          <t>Bath tile labor remainder</t>
        </is>
      </c>
      <c r="H22" s="79" t="n">
        <v>2100</v>
      </c>
      <c r="I22" s="75" t="inlineStr">
        <is>
          <t>ACH</t>
        </is>
      </c>
      <c r="J22" s="75" t="inlineStr">
        <is>
          <t>Paid</t>
        </is>
      </c>
      <c r="K22" s="76" t="inlineStr">
        <is>
          <t>INV-HT-81</t>
        </is>
      </c>
      <c r="L22" s="76" t="inlineStr">
        <is>
          <t>Marcus Webb</t>
        </is>
      </c>
    </row>
    <row r="23" ht="18" customHeight="1">
      <c r="A23" s="67" t="inlineStr">
        <is>
          <t>EXP-019</t>
        </is>
      </c>
      <c r="B23" s="70" t="n">
        <v>46244</v>
      </c>
      <c r="C23" s="67" t="inlineStr">
        <is>
          <t>PRJ-001</t>
        </is>
      </c>
      <c r="D23" s="67" t="inlineStr">
        <is>
          <t>RM-03</t>
        </is>
      </c>
      <c r="E23" s="68" t="inlineStr">
        <is>
          <t>Labor</t>
        </is>
      </c>
      <c r="F23" s="68" t="inlineStr">
        <is>
          <t>Pacific Plumbing</t>
        </is>
      </c>
      <c r="G23" s="68" t="inlineStr">
        <is>
          <t>Bath trim-out</t>
        </is>
      </c>
      <c r="H23" s="71" t="n">
        <v>1460</v>
      </c>
      <c r="I23" s="67" t="inlineStr">
        <is>
          <t>ACH</t>
        </is>
      </c>
      <c r="J23" s="67" t="inlineStr">
        <is>
          <t>Paid</t>
        </is>
      </c>
      <c r="K23" s="68" t="inlineStr">
        <is>
          <t>INV-PP-341</t>
        </is>
      </c>
      <c r="L23" s="68" t="inlineStr">
        <is>
          <t>Marcus Webb</t>
        </is>
      </c>
    </row>
    <row r="24" ht="18" customHeight="1">
      <c r="A24" s="75" t="inlineStr">
        <is>
          <t>EXP-020</t>
        </is>
      </c>
      <c r="B24" s="78" t="n">
        <v>46246</v>
      </c>
      <c r="C24" s="75" t="inlineStr">
        <is>
          <t>PRJ-001</t>
        </is>
      </c>
      <c r="D24" s="75" t="inlineStr"/>
      <c r="E24" s="76" t="inlineStr">
        <is>
          <t>Inspections</t>
        </is>
      </c>
      <c r="F24" s="76" t="inlineStr">
        <is>
          <t>City of Portland</t>
        </is>
      </c>
      <c r="G24" s="76" t="inlineStr">
        <is>
          <t>Plumbing + electrical inspection</t>
        </is>
      </c>
      <c r="H24" s="79" t="n">
        <v>240</v>
      </c>
      <c r="I24" s="75" t="inlineStr">
        <is>
          <t>Credit Card</t>
        </is>
      </c>
      <c r="J24" s="75" t="inlineStr">
        <is>
          <t>Paid</t>
        </is>
      </c>
      <c r="K24" s="76" t="inlineStr">
        <is>
          <t>INSP-0812</t>
        </is>
      </c>
      <c r="L24" s="76" t="inlineStr">
        <is>
          <t>Marcus Webb</t>
        </is>
      </c>
    </row>
    <row r="25" ht="18" customHeight="1">
      <c r="A25" s="67" t="inlineStr">
        <is>
          <t>EXP-021</t>
        </is>
      </c>
      <c r="B25" s="70" t="n">
        <v>46248</v>
      </c>
      <c r="C25" s="67" t="inlineStr">
        <is>
          <t>PRJ-001</t>
        </is>
      </c>
      <c r="D25" s="67" t="inlineStr">
        <is>
          <t>RM-01</t>
        </is>
      </c>
      <c r="E25" s="68" t="inlineStr">
        <is>
          <t>Materials</t>
        </is>
      </c>
      <c r="F25" s="68" t="inlineStr">
        <is>
          <t>Sub-Zero / Wolf dealer</t>
        </is>
      </c>
      <c r="G25" s="68" t="inlineStr">
        <is>
          <t>Range + fridge deposit</t>
        </is>
      </c>
      <c r="H25" s="71" t="n">
        <v>2700</v>
      </c>
      <c r="I25" s="67" t="inlineStr">
        <is>
          <t>Credit Card</t>
        </is>
      </c>
      <c r="J25" s="67" t="inlineStr">
        <is>
          <t>Paid</t>
        </is>
      </c>
      <c r="K25" s="68" t="inlineStr">
        <is>
          <t>APPL-01</t>
        </is>
      </c>
      <c r="L25" s="68" t="inlineStr">
        <is>
          <t>Alex Rivera</t>
        </is>
      </c>
    </row>
    <row r="26" ht="18" customHeight="1">
      <c r="A26" s="75" t="inlineStr">
        <is>
          <t>EXP-022</t>
        </is>
      </c>
      <c r="B26" s="78" t="n">
        <v>46250</v>
      </c>
      <c r="C26" s="75" t="inlineStr">
        <is>
          <t>PRJ-001</t>
        </is>
      </c>
      <c r="D26" s="75" t="inlineStr">
        <is>
          <t>RM-01</t>
        </is>
      </c>
      <c r="E26" s="76" t="inlineStr">
        <is>
          <t>Materials</t>
        </is>
      </c>
      <c r="F26" s="76" t="inlineStr">
        <is>
          <t>Caesarstone</t>
        </is>
      </c>
      <c r="G26" s="76" t="inlineStr">
        <is>
          <t>Perimeter quartz</t>
        </is>
      </c>
      <c r="H26" s="79" t="n">
        <v>2480</v>
      </c>
      <c r="I26" s="75" t="inlineStr">
        <is>
          <t>Credit Card</t>
        </is>
      </c>
      <c r="J26" s="75" t="inlineStr">
        <is>
          <t>Paid</t>
        </is>
      </c>
      <c r="K26" s="76" t="inlineStr">
        <is>
          <t>CS-882</t>
        </is>
      </c>
      <c r="L26" s="76" t="inlineStr">
        <is>
          <t>Sofia Alvarez</t>
        </is>
      </c>
    </row>
    <row r="27" ht="18" customHeight="1">
      <c r="A27" s="67" t="inlineStr">
        <is>
          <t>EXP-023</t>
        </is>
      </c>
      <c r="B27" s="70" t="n">
        <v>46252</v>
      </c>
      <c r="C27" s="67" t="inlineStr">
        <is>
          <t>PRJ-001</t>
        </is>
      </c>
      <c r="D27" s="67" t="inlineStr"/>
      <c r="E27" s="68" t="inlineStr">
        <is>
          <t>Labor</t>
        </is>
      </c>
      <c r="F27" s="68" t="inlineStr">
        <is>
          <t>Ironwood Construction</t>
        </is>
      </c>
      <c r="G27" s="68" t="inlineStr">
        <is>
          <t>August PM / supervision</t>
        </is>
      </c>
      <c r="H27" s="71" t="n">
        <v>1550</v>
      </c>
      <c r="I27" s="67" t="inlineStr">
        <is>
          <t>ACH</t>
        </is>
      </c>
      <c r="J27" s="67" t="inlineStr">
        <is>
          <t>Paid</t>
        </is>
      </c>
      <c r="K27" s="68" t="inlineStr">
        <is>
          <t>INV-IW-228</t>
        </is>
      </c>
      <c r="L27" s="68" t="inlineStr">
        <is>
          <t>Alex Rivera</t>
        </is>
      </c>
    </row>
    <row r="28" ht="18" customHeight="1">
      <c r="A28" s="75" t="inlineStr">
        <is>
          <t>EXP-024</t>
        </is>
      </c>
      <c r="B28" s="78" t="n">
        <v>46254</v>
      </c>
      <c r="C28" s="75" t="inlineStr">
        <is>
          <t>PRJ-001</t>
        </is>
      </c>
      <c r="D28" s="75" t="inlineStr">
        <is>
          <t>RM-01</t>
        </is>
      </c>
      <c r="E28" s="76" t="inlineStr">
        <is>
          <t>Delivery</t>
        </is>
      </c>
      <c r="F28" s="76" t="inlineStr">
        <is>
          <t>Cascade Cabinets</t>
        </is>
      </c>
      <c r="G28" s="76" t="inlineStr">
        <is>
          <t>Cabinet freight</t>
        </is>
      </c>
      <c r="H28" s="79" t="n">
        <v>420</v>
      </c>
      <c r="I28" s="75" t="inlineStr">
        <is>
          <t>Credit Card</t>
        </is>
      </c>
      <c r="J28" s="75" t="inlineStr">
        <is>
          <t>Paid</t>
        </is>
      </c>
      <c r="K28" s="76" t="inlineStr">
        <is>
          <t>FRT-88</t>
        </is>
      </c>
      <c r="L28" s="76" t="inlineStr">
        <is>
          <t>Maya Chen</t>
        </is>
      </c>
    </row>
    <row r="29" ht="18" customHeight="1">
      <c r="A29" s="67" t="inlineStr">
        <is>
          <t>EXP-025</t>
        </is>
      </c>
      <c r="B29" s="70" t="n">
        <v>46256</v>
      </c>
      <c r="C29" s="67" t="inlineStr">
        <is>
          <t>PRJ-001</t>
        </is>
      </c>
      <c r="D29" s="67" t="inlineStr">
        <is>
          <t>RM-05</t>
        </is>
      </c>
      <c r="E29" s="68" t="inlineStr">
        <is>
          <t>Materials</t>
        </is>
      </c>
      <c r="F29" s="68" t="inlineStr">
        <is>
          <t>BrightPath Lighting</t>
        </is>
      </c>
      <c r="G29" s="68" t="inlineStr">
        <is>
          <t>Dining sconces</t>
        </is>
      </c>
      <c r="H29" s="71" t="n">
        <v>380</v>
      </c>
      <c r="I29" s="67" t="inlineStr">
        <is>
          <t>Credit Card</t>
        </is>
      </c>
      <c r="J29" s="67" t="inlineStr">
        <is>
          <t>Paid</t>
        </is>
      </c>
      <c r="K29" s="68" t="inlineStr">
        <is>
          <t>BP-204</t>
        </is>
      </c>
      <c r="L29" s="68" t="inlineStr">
        <is>
          <t>Sofia Alvarez</t>
        </is>
      </c>
    </row>
    <row r="30" ht="18" customHeight="1">
      <c r="A30" s="75" t="inlineStr">
        <is>
          <t>EXP-026</t>
        </is>
      </c>
      <c r="B30" s="78" t="n">
        <v>46259</v>
      </c>
      <c r="C30" s="75" t="inlineStr">
        <is>
          <t>PRJ-001</t>
        </is>
      </c>
      <c r="D30" s="75" t="inlineStr">
        <is>
          <t>RM-01</t>
        </is>
      </c>
      <c r="E30" s="76" t="inlineStr">
        <is>
          <t>Materials</t>
        </is>
      </c>
      <c r="F30" s="76" t="inlineStr">
        <is>
          <t>Cascade Cabinets</t>
        </is>
      </c>
      <c r="G30" s="76" t="inlineStr">
        <is>
          <t>Cabinet balance</t>
        </is>
      </c>
      <c r="H30" s="79" t="n">
        <v>7400</v>
      </c>
      <c r="I30" s="75" t="inlineStr">
        <is>
          <t>Wire</t>
        </is>
      </c>
      <c r="J30" s="75" t="inlineStr">
        <is>
          <t>Committed</t>
        </is>
      </c>
      <c r="K30" s="76" t="inlineStr">
        <is>
          <t>INV-CC-502</t>
        </is>
      </c>
      <c r="L30" s="76" t="inlineStr">
        <is>
          <t>Alex Rivera</t>
        </is>
      </c>
    </row>
    <row r="31" ht="18" customHeight="1">
      <c r="A31" s="67" t="inlineStr">
        <is>
          <t>EXP-027</t>
        </is>
      </c>
      <c r="B31" s="70" t="n">
        <v>46262</v>
      </c>
      <c r="C31" s="67" t="inlineStr">
        <is>
          <t>PRJ-001</t>
        </is>
      </c>
      <c r="D31" s="67" t="inlineStr">
        <is>
          <t>RM-01</t>
        </is>
      </c>
      <c r="E31" s="68" t="inlineStr">
        <is>
          <t>Labor</t>
        </is>
      </c>
      <c r="F31" s="68" t="inlineStr">
        <is>
          <t>Cascade Cabinets</t>
        </is>
      </c>
      <c r="G31" s="68" t="inlineStr">
        <is>
          <t>Install labor</t>
        </is>
      </c>
      <c r="H31" s="71" t="n">
        <v>3600</v>
      </c>
      <c r="I31" s="67" t="inlineStr">
        <is>
          <t>ACH</t>
        </is>
      </c>
      <c r="J31" s="67" t="inlineStr">
        <is>
          <t>Committed</t>
        </is>
      </c>
      <c r="K31" s="68" t="inlineStr">
        <is>
          <t>INV-CC-510</t>
        </is>
      </c>
      <c r="L31" s="68" t="inlineStr">
        <is>
          <t>Marcus Webb</t>
        </is>
      </c>
    </row>
    <row r="32" ht="18" customHeight="1">
      <c r="A32" s="75" t="inlineStr">
        <is>
          <t>EXP-028</t>
        </is>
      </c>
      <c r="B32" s="78" t="n">
        <v>46269</v>
      </c>
      <c r="C32" s="75" t="inlineStr">
        <is>
          <t>PRJ-001</t>
        </is>
      </c>
      <c r="D32" s="75" t="inlineStr">
        <is>
          <t>RM-01</t>
        </is>
      </c>
      <c r="E32" s="76" t="inlineStr">
        <is>
          <t>Materials</t>
        </is>
      </c>
      <c r="F32" s="76" t="inlineStr">
        <is>
          <t>Heritage Tile &amp; Stone</t>
        </is>
      </c>
      <c r="G32" s="76" t="inlineStr">
        <is>
          <t>Island porcelain slab</t>
        </is>
      </c>
      <c r="H32" s="79" t="n">
        <v>1860</v>
      </c>
      <c r="I32" s="75" t="inlineStr">
        <is>
          <t>Credit Card</t>
        </is>
      </c>
      <c r="J32" s="75" t="inlineStr">
        <is>
          <t>Committed</t>
        </is>
      </c>
      <c r="K32" s="76" t="inlineStr">
        <is>
          <t>PO-155</t>
        </is>
      </c>
      <c r="L32" s="76" t="inlineStr">
        <is>
          <t>Sofia Alvarez</t>
        </is>
      </c>
    </row>
    <row r="33" ht="18" customHeight="1">
      <c r="A33" s="67" t="inlineStr">
        <is>
          <t>EXP-029</t>
        </is>
      </c>
      <c r="B33" s="70" t="n">
        <v>46273</v>
      </c>
      <c r="C33" s="67" t="inlineStr">
        <is>
          <t>PRJ-001</t>
        </is>
      </c>
      <c r="D33" s="67" t="inlineStr">
        <is>
          <t>RM-01</t>
        </is>
      </c>
      <c r="E33" s="68" t="inlineStr">
        <is>
          <t>Materials</t>
        </is>
      </c>
      <c r="F33" s="68" t="inlineStr">
        <is>
          <t>BrightPath Lighting</t>
        </is>
      </c>
      <c r="G33" s="68" t="inlineStr">
        <is>
          <t>Island pendants</t>
        </is>
      </c>
      <c r="H33" s="71" t="n">
        <v>890</v>
      </c>
      <c r="I33" s="67" t="inlineStr">
        <is>
          <t>Credit Card</t>
        </is>
      </c>
      <c r="J33" s="67" t="inlineStr">
        <is>
          <t>Planned</t>
        </is>
      </c>
      <c r="K33" s="68" t="inlineStr">
        <is>
          <t>BP-220</t>
        </is>
      </c>
      <c r="L33" s="68" t="inlineStr">
        <is>
          <t>Sofia Alvarez</t>
        </is>
      </c>
    </row>
    <row r="34" ht="18" customHeight="1">
      <c r="A34" s="75" t="inlineStr">
        <is>
          <t>EXP-030</t>
        </is>
      </c>
      <c r="B34" s="78" t="n">
        <v>46277</v>
      </c>
      <c r="C34" s="75" t="inlineStr">
        <is>
          <t>PRJ-001</t>
        </is>
      </c>
      <c r="D34" s="75" t="inlineStr">
        <is>
          <t>RM-04</t>
        </is>
      </c>
      <c r="E34" s="76" t="inlineStr">
        <is>
          <t>Materials</t>
        </is>
      </c>
      <c r="F34" s="76" t="inlineStr">
        <is>
          <t>Sherwin-Williams</t>
        </is>
      </c>
      <c r="G34" s="76" t="inlineStr">
        <is>
          <t>Guest bedroom paint</t>
        </is>
      </c>
      <c r="H34" s="79" t="n">
        <v>240</v>
      </c>
      <c r="I34" s="75" t="inlineStr">
        <is>
          <t>Credit Card</t>
        </is>
      </c>
      <c r="J34" s="75" t="inlineStr">
        <is>
          <t>Planned</t>
        </is>
      </c>
      <c r="K34" s="76" t="inlineStr"/>
      <c r="L34" s="76" t="inlineStr"/>
    </row>
    <row r="35" ht="18" customHeight="1">
      <c r="A35" s="67" t="inlineStr">
        <is>
          <t>EXP-031</t>
        </is>
      </c>
      <c r="B35" s="70" t="n">
        <v>46283</v>
      </c>
      <c r="C35" s="67" t="inlineStr">
        <is>
          <t>PRJ-001</t>
        </is>
      </c>
      <c r="D35" s="67" t="inlineStr">
        <is>
          <t>RM-02</t>
        </is>
      </c>
      <c r="E35" s="68" t="inlineStr">
        <is>
          <t>Furniture</t>
        </is>
      </c>
      <c r="F35" s="68" t="inlineStr">
        <is>
          <t>Article</t>
        </is>
      </c>
      <c r="G35" s="68" t="inlineStr">
        <is>
          <t>Sofa + coffee table</t>
        </is>
      </c>
      <c r="H35" s="71" t="n">
        <v>3400</v>
      </c>
      <c r="I35" s="67" t="inlineStr">
        <is>
          <t>Credit Card</t>
        </is>
      </c>
      <c r="J35" s="67" t="inlineStr">
        <is>
          <t>Planned</t>
        </is>
      </c>
      <c r="K35" s="68" t="inlineStr"/>
      <c r="L35" s="68" t="inlineStr">
        <is>
          <t>Sofia Alvarez</t>
        </is>
      </c>
    </row>
    <row r="36" ht="18" customHeight="1">
      <c r="A36" s="75" t="inlineStr">
        <is>
          <t>EXP-032</t>
        </is>
      </c>
      <c r="B36" s="78" t="n">
        <v>46297</v>
      </c>
      <c r="C36" s="75" t="inlineStr">
        <is>
          <t>PRJ-001</t>
        </is>
      </c>
      <c r="D36" s="75" t="inlineStr">
        <is>
          <t>RM-06</t>
        </is>
      </c>
      <c r="E36" s="76" t="inlineStr">
        <is>
          <t>Materials</t>
        </is>
      </c>
      <c r="F36" s="76" t="inlineStr">
        <is>
          <t>Garden &amp; Gate</t>
        </is>
      </c>
      <c r="G36" s="76" t="inlineStr">
        <is>
          <t>Path stone deposit</t>
        </is>
      </c>
      <c r="H36" s="79" t="n">
        <v>1200</v>
      </c>
      <c r="I36" s="75" t="inlineStr">
        <is>
          <t>Check</t>
        </is>
      </c>
      <c r="J36" s="75" t="inlineStr">
        <is>
          <t>Planned</t>
        </is>
      </c>
      <c r="K36" s="76" t="inlineStr"/>
      <c r="L36" s="76" t="inlineStr"/>
    </row>
    <row r="37" ht="18" customHeight="1">
      <c r="A37" s="67" t="inlineStr">
        <is>
          <t>EXP-033</t>
        </is>
      </c>
      <c r="B37" s="70" t="n">
        <v>46235</v>
      </c>
      <c r="C37" s="67" t="inlineStr">
        <is>
          <t>PRJ-002</t>
        </is>
      </c>
      <c r="D37" s="67" t="inlineStr"/>
      <c r="E37" s="68" t="inlineStr">
        <is>
          <t>Design</t>
        </is>
      </c>
      <c r="F37" s="68" t="inlineStr">
        <is>
          <t>Luna Interiors</t>
        </is>
      </c>
      <c r="G37" s="68" t="inlineStr">
        <is>
          <t>Cabin bath concept</t>
        </is>
      </c>
      <c r="H37" s="71" t="n">
        <v>600</v>
      </c>
      <c r="I37" s="67" t="inlineStr">
        <is>
          <t>ACH</t>
        </is>
      </c>
      <c r="J37" s="67" t="inlineStr">
        <is>
          <t>Paid</t>
        </is>
      </c>
      <c r="K37" s="68" t="inlineStr">
        <is>
          <t>INV-LUNA-140</t>
        </is>
      </c>
      <c r="L37" s="68" t="inlineStr">
        <is>
          <t>Alex Rivera</t>
        </is>
      </c>
    </row>
    <row r="38" ht="18" customHeight="1">
      <c r="A38" s="75" t="inlineStr">
        <is>
          <t>EXP-034</t>
        </is>
      </c>
      <c r="B38" s="78" t="n">
        <v>46233</v>
      </c>
      <c r="C38" s="75" t="inlineStr">
        <is>
          <t>PRJ-001</t>
        </is>
      </c>
      <c r="D38" s="75" t="inlineStr">
        <is>
          <t>RM-01</t>
        </is>
      </c>
      <c r="E38" s="76" t="inlineStr">
        <is>
          <t>Labor</t>
        </is>
      </c>
      <c r="F38" s="76" t="inlineStr">
        <is>
          <t>Northwest Electric</t>
        </is>
      </c>
      <c r="G38" s="76" t="inlineStr">
        <is>
          <t>Finish electrical progress</t>
        </is>
      </c>
      <c r="H38" s="79" t="n">
        <v>720</v>
      </c>
      <c r="I38" s="75" t="inlineStr">
        <is>
          <t>ACH</t>
        </is>
      </c>
      <c r="J38" s="75" t="inlineStr">
        <is>
          <t>Paid</t>
        </is>
      </c>
      <c r="K38" s="76" t="inlineStr">
        <is>
          <t>INV-NWE-97</t>
        </is>
      </c>
      <c r="L38" s="76" t="inlineStr">
        <is>
          <t>Marcus Webb</t>
        </is>
      </c>
    </row>
    <row r="39" ht="18" customHeight="1">
      <c r="A39" s="67" t="inlineStr">
        <is>
          <t>EXP-035</t>
        </is>
      </c>
      <c r="B39" s="70" t="n">
        <v>46253</v>
      </c>
      <c r="C39" s="67" t="inlineStr">
        <is>
          <t>PRJ-001</t>
        </is>
      </c>
      <c r="D39" s="67" t="inlineStr">
        <is>
          <t>RM-08</t>
        </is>
      </c>
      <c r="E39" s="68" t="inlineStr">
        <is>
          <t>Materials</t>
        </is>
      </c>
      <c r="F39" s="68" t="inlineStr">
        <is>
          <t>Rejuvenation</t>
        </is>
      </c>
      <c r="G39" s="68" t="inlineStr">
        <is>
          <t>Hook rail + hooks</t>
        </is>
      </c>
      <c r="H39" s="71" t="n">
        <v>186</v>
      </c>
      <c r="I39" s="67" t="inlineStr">
        <is>
          <t>Credit Card</t>
        </is>
      </c>
      <c r="J39" s="67" t="inlineStr">
        <is>
          <t>Paid</t>
        </is>
      </c>
      <c r="K39" s="68" t="inlineStr">
        <is>
          <t>REJ-33</t>
        </is>
      </c>
      <c r="L39" s="68" t="inlineStr">
        <is>
          <t>Alex Rivera</t>
        </is>
      </c>
    </row>
    <row r="40">
      <c r="A40" s="82" t="n"/>
      <c r="B40" s="82" t="n"/>
      <c r="C40" s="82" t="n"/>
      <c r="D40" s="82" t="n"/>
      <c r="E40" s="82" t="n"/>
      <c r="F40" s="82" t="n"/>
      <c r="G40" s="82" t="n"/>
      <c r="H40" s="82" t="n"/>
      <c r="I40" s="82" t="n"/>
      <c r="J40" s="82" t="n"/>
      <c r="K40" s="82" t="n"/>
      <c r="L40" s="82" t="n"/>
    </row>
    <row r="41">
      <c r="A41" s="82" t="n"/>
      <c r="B41" s="82" t="n"/>
      <c r="C41" s="82" t="n"/>
      <c r="D41" s="82" t="n"/>
      <c r="E41" s="82" t="n"/>
      <c r="F41" s="82" t="n"/>
      <c r="G41" s="82" t="n"/>
      <c r="H41" s="82" t="n"/>
      <c r="I41" s="82" t="n"/>
      <c r="J41" s="82" t="n"/>
      <c r="K41" s="82" t="n"/>
      <c r="L41" s="82" t="n"/>
    </row>
    <row r="42">
      <c r="A42" s="82" t="n"/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  <c r="L42" s="82" t="n"/>
    </row>
    <row r="43">
      <c r="A43" s="82" t="n"/>
      <c r="B43" s="82" t="n"/>
      <c r="C43" s="82" t="n"/>
      <c r="D43" s="82" t="n"/>
      <c r="E43" s="82" t="n"/>
      <c r="F43" s="82" t="n"/>
      <c r="G43" s="82" t="n"/>
      <c r="H43" s="82" t="n"/>
      <c r="I43" s="82" t="n"/>
      <c r="J43" s="82" t="n"/>
      <c r="K43" s="82" t="n"/>
      <c r="L43" s="82" t="n"/>
    </row>
    <row r="44">
      <c r="A44" s="82" t="n"/>
      <c r="B44" s="82" t="n"/>
      <c r="C44" s="82" t="n"/>
      <c r="D44" s="82" t="n"/>
      <c r="E44" s="82" t="n"/>
      <c r="F44" s="82" t="n"/>
      <c r="G44" s="82" t="n"/>
      <c r="H44" s="82" t="n"/>
      <c r="I44" s="82" t="n"/>
      <c r="J44" s="82" t="n"/>
      <c r="K44" s="82" t="n"/>
      <c r="L44" s="82" t="n"/>
    </row>
    <row r="45">
      <c r="A45" s="82" t="n"/>
      <c r="B45" s="82" t="n"/>
      <c r="C45" s="82" t="n"/>
      <c r="D45" s="82" t="n"/>
      <c r="E45" s="82" t="n"/>
      <c r="F45" s="82" t="n"/>
      <c r="G45" s="82" t="n"/>
      <c r="H45" s="82" t="n"/>
      <c r="I45" s="82" t="n"/>
      <c r="J45" s="82" t="n"/>
      <c r="K45" s="82" t="n"/>
      <c r="L45" s="82" t="n"/>
    </row>
    <row r="46">
      <c r="A46" s="82" t="n"/>
      <c r="B46" s="82" t="n"/>
      <c r="C46" s="82" t="n"/>
      <c r="D46" s="82" t="n"/>
      <c r="E46" s="82" t="n"/>
      <c r="F46" s="82" t="n"/>
      <c r="G46" s="82" t="n"/>
      <c r="H46" s="82" t="n"/>
      <c r="I46" s="82" t="n"/>
      <c r="J46" s="82" t="n"/>
      <c r="K46" s="82" t="n"/>
      <c r="L46" s="82" t="n"/>
    </row>
    <row r="47">
      <c r="A47" s="82" t="n"/>
      <c r="B47" s="82" t="n"/>
      <c r="C47" s="82" t="n"/>
      <c r="D47" s="82" t="n"/>
      <c r="E47" s="82" t="n"/>
      <c r="F47" s="82" t="n"/>
      <c r="G47" s="82" t="n"/>
      <c r="H47" s="82" t="n"/>
      <c r="I47" s="82" t="n"/>
      <c r="J47" s="82" t="n"/>
      <c r="K47" s="82" t="n"/>
      <c r="L47" s="82" t="n"/>
    </row>
    <row r="48">
      <c r="A48" s="82" t="n"/>
      <c r="B48" s="82" t="n"/>
      <c r="C48" s="82" t="n"/>
      <c r="D48" s="82" t="n"/>
      <c r="E48" s="82" t="n"/>
      <c r="F48" s="82" t="n"/>
      <c r="G48" s="82" t="n"/>
      <c r="H48" s="82" t="n"/>
      <c r="I48" s="82" t="n"/>
      <c r="J48" s="82" t="n"/>
      <c r="K48" s="82" t="n"/>
      <c r="L48" s="82" t="n"/>
    </row>
    <row r="49">
      <c r="A49" s="82" t="n"/>
      <c r="B49" s="82" t="n"/>
      <c r="C49" s="82" t="n"/>
      <c r="D49" s="82" t="n"/>
      <c r="E49" s="82" t="n"/>
      <c r="F49" s="82" t="n"/>
      <c r="G49" s="82" t="n"/>
      <c r="H49" s="82" t="n"/>
      <c r="I49" s="82" t="n"/>
      <c r="J49" s="82" t="n"/>
      <c r="K49" s="82" t="n"/>
      <c r="L49" s="82" t="n"/>
    </row>
    <row r="50">
      <c r="A50" s="82" t="n"/>
      <c r="B50" s="82" t="n"/>
      <c r="C50" s="82" t="n"/>
      <c r="D50" s="82" t="n"/>
      <c r="E50" s="82" t="n"/>
      <c r="F50" s="82" t="n"/>
      <c r="G50" s="82" t="n"/>
      <c r="H50" s="82" t="n"/>
      <c r="I50" s="82" t="n"/>
      <c r="J50" s="82" t="n"/>
      <c r="K50" s="82" t="n"/>
      <c r="L50" s="82" t="n"/>
    </row>
    <row r="51">
      <c r="A51" s="82" t="n"/>
      <c r="B51" s="82" t="n"/>
      <c r="C51" s="82" t="n"/>
      <c r="D51" s="82" t="n"/>
      <c r="E51" s="82" t="n"/>
      <c r="F51" s="82" t="n"/>
      <c r="G51" s="82" t="n"/>
      <c r="H51" s="82" t="n"/>
      <c r="I51" s="82" t="n"/>
      <c r="J51" s="82" t="n"/>
      <c r="K51" s="82" t="n"/>
      <c r="L51" s="82" t="n"/>
    </row>
    <row r="52">
      <c r="A52" s="82" t="n"/>
      <c r="B52" s="82" t="n"/>
      <c r="C52" s="82" t="n"/>
      <c r="D52" s="82" t="n"/>
      <c r="E52" s="82" t="n"/>
      <c r="F52" s="82" t="n"/>
      <c r="G52" s="82" t="n"/>
      <c r="H52" s="82" t="n"/>
      <c r="I52" s="82" t="n"/>
      <c r="J52" s="82" t="n"/>
      <c r="K52" s="82" t="n"/>
      <c r="L52" s="82" t="n"/>
    </row>
    <row r="53">
      <c r="A53" s="82" t="n"/>
      <c r="B53" s="82" t="n"/>
      <c r="C53" s="82" t="n"/>
      <c r="D53" s="82" t="n"/>
      <c r="E53" s="82" t="n"/>
      <c r="F53" s="82" t="n"/>
      <c r="G53" s="82" t="n"/>
      <c r="H53" s="82" t="n"/>
      <c r="I53" s="82" t="n"/>
      <c r="J53" s="82" t="n"/>
      <c r="K53" s="82" t="n"/>
      <c r="L53" s="82" t="n"/>
    </row>
    <row r="54">
      <c r="A54" s="82" t="n"/>
      <c r="B54" s="82" t="n"/>
      <c r="C54" s="82" t="n"/>
      <c r="D54" s="82" t="n"/>
      <c r="E54" s="82" t="n"/>
      <c r="F54" s="82" t="n"/>
      <c r="G54" s="82" t="n"/>
      <c r="H54" s="82" t="n"/>
      <c r="I54" s="82" t="n"/>
      <c r="J54" s="82" t="n"/>
      <c r="K54" s="82" t="n"/>
      <c r="L54" s="82" t="n"/>
    </row>
    <row r="55">
      <c r="A55" s="82" t="n"/>
      <c r="B55" s="82" t="n"/>
      <c r="C55" s="82" t="n"/>
      <c r="D55" s="82" t="n"/>
      <c r="E55" s="82" t="n"/>
      <c r="F55" s="82" t="n"/>
      <c r="G55" s="82" t="n"/>
      <c r="H55" s="82" t="n"/>
      <c r="I55" s="82" t="n"/>
      <c r="J55" s="82" t="n"/>
      <c r="K55" s="82" t="n"/>
      <c r="L55" s="82" t="n"/>
    </row>
    <row r="56">
      <c r="A56" s="82" t="n"/>
      <c r="B56" s="82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2" t="n"/>
      <c r="L56" s="82" t="n"/>
    </row>
    <row r="57">
      <c r="A57" s="82" t="n"/>
      <c r="B57" s="82" t="n"/>
      <c r="C57" s="82" t="n"/>
      <c r="D57" s="82" t="n"/>
      <c r="E57" s="82" t="n"/>
      <c r="F57" s="82" t="n"/>
      <c r="G57" s="82" t="n"/>
      <c r="H57" s="82" t="n"/>
      <c r="I57" s="82" t="n"/>
      <c r="J57" s="82" t="n"/>
      <c r="K57" s="82" t="n"/>
      <c r="L57" s="82" t="n"/>
    </row>
    <row r="58">
      <c r="A58" s="82" t="n"/>
      <c r="B58" s="82" t="n"/>
      <c r="C58" s="82" t="n"/>
      <c r="D58" s="82" t="n"/>
      <c r="E58" s="82" t="n"/>
      <c r="F58" s="82" t="n"/>
      <c r="G58" s="82" t="n"/>
      <c r="H58" s="82" t="n"/>
      <c r="I58" s="82" t="n"/>
      <c r="J58" s="82" t="n"/>
      <c r="K58" s="82" t="n"/>
      <c r="L58" s="82" t="n"/>
    </row>
    <row r="59">
      <c r="A59" s="82" t="n"/>
      <c r="B59" s="82" t="n"/>
      <c r="C59" s="82" t="n"/>
      <c r="D59" s="82" t="n"/>
      <c r="E59" s="82" t="n"/>
      <c r="F59" s="82" t="n"/>
      <c r="G59" s="82" t="n"/>
      <c r="H59" s="82" t="n"/>
      <c r="I59" s="82" t="n"/>
      <c r="J59" s="82" t="n"/>
      <c r="K59" s="82" t="n"/>
      <c r="L59" s="82" t="n"/>
    </row>
    <row r="60">
      <c r="A60" s="82" t="n"/>
      <c r="B60" s="82" t="n"/>
      <c r="C60" s="82" t="n"/>
      <c r="D60" s="82" t="n"/>
      <c r="E60" s="82" t="n"/>
      <c r="F60" s="82" t="n"/>
      <c r="G60" s="82" t="n"/>
      <c r="H60" s="82" t="n"/>
      <c r="I60" s="82" t="n"/>
      <c r="J60" s="82" t="n"/>
      <c r="K60" s="82" t="n"/>
      <c r="L60" s="82" t="n"/>
    </row>
    <row r="61">
      <c r="A61" s="82" t="n"/>
      <c r="B61" s="82" t="n"/>
      <c r="C61" s="82" t="n"/>
      <c r="D61" s="82" t="n"/>
      <c r="E61" s="82" t="n"/>
      <c r="F61" s="82" t="n"/>
      <c r="G61" s="82" t="n"/>
      <c r="H61" s="82" t="n"/>
      <c r="I61" s="82" t="n"/>
      <c r="J61" s="82" t="n"/>
      <c r="K61" s="82" t="n"/>
      <c r="L61" s="82" t="n"/>
    </row>
    <row r="62">
      <c r="A62" s="82" t="n"/>
      <c r="B62" s="82" t="n"/>
      <c r="C62" s="82" t="n"/>
      <c r="D62" s="82" t="n"/>
      <c r="E62" s="82" t="n"/>
      <c r="F62" s="82" t="n"/>
      <c r="G62" s="82" t="n"/>
      <c r="H62" s="82" t="n"/>
      <c r="I62" s="82" t="n"/>
      <c r="J62" s="82" t="n"/>
      <c r="K62" s="82" t="n"/>
      <c r="L62" s="82" t="n"/>
    </row>
    <row r="63">
      <c r="A63" s="82" t="n"/>
      <c r="B63" s="82" t="n"/>
      <c r="C63" s="82" t="n"/>
      <c r="D63" s="82" t="n"/>
      <c r="E63" s="82" t="n"/>
      <c r="F63" s="82" t="n"/>
      <c r="G63" s="82" t="n"/>
      <c r="H63" s="82" t="n"/>
      <c r="I63" s="82" t="n"/>
      <c r="J63" s="82" t="n"/>
      <c r="K63" s="82" t="n"/>
      <c r="L63" s="82" t="n"/>
    </row>
    <row r="64">
      <c r="A64" s="82" t="n"/>
      <c r="B64" s="82" t="n"/>
      <c r="C64" s="82" t="n"/>
      <c r="D64" s="82" t="n"/>
      <c r="E64" s="82" t="n"/>
      <c r="F64" s="82" t="n"/>
      <c r="G64" s="82" t="n"/>
      <c r="H64" s="82" t="n"/>
      <c r="I64" s="82" t="n"/>
      <c r="J64" s="82" t="n"/>
      <c r="K64" s="82" t="n"/>
      <c r="L64" s="82" t="n"/>
    </row>
    <row r="65">
      <c r="A65" s="82" t="n"/>
      <c r="B65" s="82" t="n"/>
      <c r="C65" s="82" t="n"/>
      <c r="D65" s="82" t="n"/>
      <c r="E65" s="82" t="n"/>
      <c r="F65" s="82" t="n"/>
      <c r="G65" s="82" t="n"/>
      <c r="H65" s="82" t="n"/>
      <c r="I65" s="82" t="n"/>
      <c r="J65" s="82" t="n"/>
      <c r="K65" s="82" t="n"/>
      <c r="L65" s="82" t="n"/>
    </row>
    <row r="66">
      <c r="A66" s="82" t="n"/>
      <c r="B66" s="82" t="n"/>
      <c r="C66" s="82" t="n"/>
      <c r="D66" s="82" t="n"/>
      <c r="E66" s="82" t="n"/>
      <c r="F66" s="82" t="n"/>
      <c r="G66" s="82" t="n"/>
      <c r="H66" s="82" t="n"/>
      <c r="I66" s="82" t="n"/>
      <c r="J66" s="82" t="n"/>
      <c r="K66" s="82" t="n"/>
      <c r="L66" s="82" t="n"/>
    </row>
    <row r="67">
      <c r="A67" s="82" t="n"/>
      <c r="B67" s="82" t="n"/>
      <c r="C67" s="82" t="n"/>
      <c r="D67" s="82" t="n"/>
      <c r="E67" s="82" t="n"/>
      <c r="F67" s="82" t="n"/>
      <c r="G67" s="82" t="n"/>
      <c r="H67" s="82" t="n"/>
      <c r="I67" s="82" t="n"/>
      <c r="J67" s="82" t="n"/>
      <c r="K67" s="82" t="n"/>
      <c r="L67" s="82" t="n"/>
    </row>
    <row r="68">
      <c r="A68" s="82" t="n"/>
      <c r="B68" s="82" t="n"/>
      <c r="C68" s="82" t="n"/>
      <c r="D68" s="82" t="n"/>
      <c r="E68" s="82" t="n"/>
      <c r="F68" s="82" t="n"/>
      <c r="G68" s="82" t="n"/>
      <c r="H68" s="82" t="n"/>
      <c r="I68" s="82" t="n"/>
      <c r="J68" s="82" t="n"/>
      <c r="K68" s="82" t="n"/>
      <c r="L68" s="82" t="n"/>
    </row>
    <row r="69">
      <c r="A69" s="82" t="n"/>
      <c r="B69" s="82" t="n"/>
      <c r="C69" s="82" t="n"/>
      <c r="D69" s="82" t="n"/>
      <c r="E69" s="82" t="n"/>
      <c r="F69" s="82" t="n"/>
      <c r="G69" s="82" t="n"/>
      <c r="H69" s="82" t="n"/>
      <c r="I69" s="82" t="n"/>
      <c r="J69" s="82" t="n"/>
      <c r="K69" s="82" t="n"/>
      <c r="L69" s="82" t="n"/>
    </row>
    <row r="70">
      <c r="A70" s="82" t="n"/>
      <c r="B70" s="82" t="n"/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</row>
    <row r="71">
      <c r="A71" s="82" t="n"/>
      <c r="B71" s="82" t="n"/>
      <c r="C71" s="82" t="n"/>
      <c r="D71" s="82" t="n"/>
      <c r="E71" s="82" t="n"/>
      <c r="F71" s="82" t="n"/>
      <c r="G71" s="82" t="n"/>
      <c r="H71" s="82" t="n"/>
      <c r="I71" s="82" t="n"/>
      <c r="J71" s="82" t="n"/>
      <c r="K71" s="82" t="n"/>
      <c r="L71" s="82" t="n"/>
    </row>
    <row r="72">
      <c r="A72" s="82" t="n"/>
      <c r="B72" s="82" t="n"/>
      <c r="C72" s="82" t="n"/>
      <c r="D72" s="82" t="n"/>
      <c r="E72" s="82" t="n"/>
      <c r="F72" s="82" t="n"/>
      <c r="G72" s="82" t="n"/>
      <c r="H72" s="82" t="n"/>
      <c r="I72" s="82" t="n"/>
      <c r="J72" s="82" t="n"/>
      <c r="K72" s="82" t="n"/>
      <c r="L72" s="82" t="n"/>
    </row>
    <row r="73">
      <c r="A73" s="82" t="n"/>
      <c r="B73" s="82" t="n"/>
      <c r="C73" s="82" t="n"/>
      <c r="D73" s="82" t="n"/>
      <c r="E73" s="82" t="n"/>
      <c r="F73" s="82" t="n"/>
      <c r="G73" s="82" t="n"/>
      <c r="H73" s="82" t="n"/>
      <c r="I73" s="82" t="n"/>
      <c r="J73" s="82" t="n"/>
      <c r="K73" s="82" t="n"/>
      <c r="L73" s="82" t="n"/>
    </row>
    <row r="74">
      <c r="A74" s="82" t="n"/>
      <c r="B74" s="82" t="n"/>
      <c r="C74" s="82" t="n"/>
      <c r="D74" s="82" t="n"/>
      <c r="E74" s="82" t="n"/>
      <c r="F74" s="82" t="n"/>
      <c r="G74" s="82" t="n"/>
      <c r="H74" s="82" t="n"/>
      <c r="I74" s="82" t="n"/>
      <c r="J74" s="82" t="n"/>
      <c r="K74" s="82" t="n"/>
      <c r="L74" s="82" t="n"/>
    </row>
    <row r="75">
      <c r="A75" s="82" t="n"/>
      <c r="B75" s="82" t="n"/>
      <c r="C75" s="82" t="n"/>
      <c r="D75" s="82" t="n"/>
      <c r="E75" s="82" t="n"/>
      <c r="F75" s="82" t="n"/>
      <c r="G75" s="82" t="n"/>
      <c r="H75" s="82" t="n"/>
      <c r="I75" s="82" t="n"/>
      <c r="J75" s="82" t="n"/>
      <c r="K75" s="82" t="n"/>
      <c r="L75" s="82" t="n"/>
    </row>
    <row r="76">
      <c r="A76" s="82" t="n"/>
      <c r="B76" s="82" t="n"/>
      <c r="C76" s="82" t="n"/>
      <c r="D76" s="82" t="n"/>
      <c r="E76" s="82" t="n"/>
      <c r="F76" s="82" t="n"/>
      <c r="G76" s="82" t="n"/>
      <c r="H76" s="82" t="n"/>
      <c r="I76" s="82" t="n"/>
      <c r="J76" s="82" t="n"/>
      <c r="K76" s="82" t="n"/>
      <c r="L76" s="82" t="n"/>
    </row>
    <row r="77">
      <c r="A77" s="82" t="n"/>
      <c r="B77" s="82" t="n"/>
      <c r="C77" s="82" t="n"/>
      <c r="D77" s="82" t="n"/>
      <c r="E77" s="82" t="n"/>
      <c r="F77" s="82" t="n"/>
      <c r="G77" s="82" t="n"/>
      <c r="H77" s="82" t="n"/>
      <c r="I77" s="82" t="n"/>
      <c r="J77" s="82" t="n"/>
      <c r="K77" s="82" t="n"/>
      <c r="L77" s="82" t="n"/>
    </row>
    <row r="78">
      <c r="A78" s="82" t="n"/>
      <c r="B78" s="82" t="n"/>
      <c r="C78" s="82" t="n"/>
      <c r="D78" s="82" t="n"/>
      <c r="E78" s="82" t="n"/>
      <c r="F78" s="82" t="n"/>
      <c r="G78" s="82" t="n"/>
      <c r="H78" s="82" t="n"/>
      <c r="I78" s="82" t="n"/>
      <c r="J78" s="82" t="n"/>
      <c r="K78" s="82" t="n"/>
      <c r="L78" s="82" t="n"/>
    </row>
    <row r="79">
      <c r="A79" s="82" t="n"/>
      <c r="B79" s="82" t="n"/>
      <c r="C79" s="82" t="n"/>
      <c r="D79" s="82" t="n"/>
      <c r="E79" s="82" t="n"/>
      <c r="F79" s="82" t="n"/>
      <c r="G79" s="82" t="n"/>
      <c r="H79" s="82" t="n"/>
      <c r="I79" s="82" t="n"/>
      <c r="J79" s="82" t="n"/>
      <c r="K79" s="82" t="n"/>
      <c r="L79" s="82" t="n"/>
    </row>
    <row r="80">
      <c r="A80" s="82" t="n"/>
      <c r="B80" s="82" t="n"/>
      <c r="C80" s="82" t="n"/>
      <c r="D80" s="82" t="n"/>
      <c r="E80" s="82" t="n"/>
      <c r="F80" s="82" t="n"/>
      <c r="G80" s="82" t="n"/>
      <c r="H80" s="82" t="n"/>
      <c r="I80" s="82" t="n"/>
      <c r="J80" s="82" t="n"/>
      <c r="K80" s="82" t="n"/>
      <c r="L80" s="82" t="n"/>
    </row>
    <row r="81">
      <c r="A81" s="82" t="n"/>
      <c r="B81" s="82" t="n"/>
      <c r="C81" s="82" t="n"/>
      <c r="D81" s="82" t="n"/>
      <c r="E81" s="82" t="n"/>
      <c r="F81" s="82" t="n"/>
      <c r="G81" s="82" t="n"/>
      <c r="H81" s="82" t="n"/>
      <c r="I81" s="82" t="n"/>
      <c r="J81" s="82" t="n"/>
      <c r="K81" s="82" t="n"/>
      <c r="L81" s="82" t="n"/>
    </row>
    <row r="82">
      <c r="A82" s="82" t="n"/>
      <c r="B82" s="82" t="n"/>
      <c r="C82" s="82" t="n"/>
      <c r="D82" s="82" t="n"/>
      <c r="E82" s="82" t="n"/>
      <c r="F82" s="82" t="n"/>
      <c r="G82" s="82" t="n"/>
      <c r="H82" s="82" t="n"/>
      <c r="I82" s="82" t="n"/>
      <c r="J82" s="82" t="n"/>
      <c r="K82" s="82" t="n"/>
      <c r="L82" s="82" t="n"/>
    </row>
    <row r="83">
      <c r="A83" s="82" t="n"/>
      <c r="B83" s="82" t="n"/>
      <c r="C83" s="82" t="n"/>
      <c r="D83" s="82" t="n"/>
      <c r="E83" s="82" t="n"/>
      <c r="F83" s="82" t="n"/>
      <c r="G83" s="82" t="n"/>
      <c r="H83" s="82" t="n"/>
      <c r="I83" s="82" t="n"/>
      <c r="J83" s="82" t="n"/>
      <c r="K83" s="82" t="n"/>
      <c r="L83" s="82" t="n"/>
    </row>
    <row r="84">
      <c r="A84" s="82" t="n"/>
      <c r="B84" s="82" t="n"/>
      <c r="C84" s="82" t="n"/>
      <c r="D84" s="82" t="n"/>
      <c r="E84" s="82" t="n"/>
      <c r="F84" s="82" t="n"/>
      <c r="G84" s="82" t="n"/>
      <c r="H84" s="82" t="n"/>
      <c r="I84" s="82" t="n"/>
      <c r="J84" s="82" t="n"/>
      <c r="K84" s="82" t="n"/>
      <c r="L84" s="82" t="n"/>
    </row>
    <row r="85">
      <c r="A85" s="82" t="n"/>
      <c r="B85" s="82" t="n"/>
      <c r="C85" s="82" t="n"/>
      <c r="D85" s="82" t="n"/>
      <c r="E85" s="82" t="n"/>
      <c r="F85" s="82" t="n"/>
      <c r="G85" s="82" t="n"/>
      <c r="H85" s="82" t="n"/>
      <c r="I85" s="82" t="n"/>
      <c r="J85" s="82" t="n"/>
      <c r="K85" s="82" t="n"/>
      <c r="L85" s="82" t="n"/>
    </row>
    <row r="86">
      <c r="A86" s="82" t="n"/>
      <c r="B86" s="82" t="n"/>
      <c r="C86" s="82" t="n"/>
      <c r="D86" s="82" t="n"/>
      <c r="E86" s="82" t="n"/>
      <c r="F86" s="82" t="n"/>
      <c r="G86" s="82" t="n"/>
      <c r="H86" s="82" t="n"/>
      <c r="I86" s="82" t="n"/>
      <c r="J86" s="82" t="n"/>
      <c r="K86" s="82" t="n"/>
      <c r="L86" s="82" t="n"/>
    </row>
    <row r="87">
      <c r="A87" s="82" t="n"/>
      <c r="B87" s="82" t="n"/>
      <c r="C87" s="82" t="n"/>
      <c r="D87" s="82" t="n"/>
      <c r="E87" s="82" t="n"/>
      <c r="F87" s="82" t="n"/>
      <c r="G87" s="82" t="n"/>
      <c r="H87" s="82" t="n"/>
      <c r="I87" s="82" t="n"/>
      <c r="J87" s="82" t="n"/>
      <c r="K87" s="82" t="n"/>
      <c r="L87" s="82" t="n"/>
    </row>
    <row r="88">
      <c r="A88" s="82" t="n"/>
      <c r="B88" s="82" t="n"/>
      <c r="C88" s="82" t="n"/>
      <c r="D88" s="82" t="n"/>
      <c r="E88" s="82" t="n"/>
      <c r="F88" s="82" t="n"/>
      <c r="G88" s="82" t="n"/>
      <c r="H88" s="82" t="n"/>
      <c r="I88" s="82" t="n"/>
      <c r="J88" s="82" t="n"/>
      <c r="K88" s="82" t="n"/>
      <c r="L88" s="82" t="n"/>
    </row>
    <row r="89">
      <c r="A89" s="82" t="n"/>
      <c r="B89" s="82" t="n"/>
      <c r="C89" s="82" t="n"/>
      <c r="D89" s="82" t="n"/>
      <c r="E89" s="82" t="n"/>
      <c r="F89" s="82" t="n"/>
      <c r="G89" s="82" t="n"/>
      <c r="H89" s="82" t="n"/>
      <c r="I89" s="82" t="n"/>
      <c r="J89" s="82" t="n"/>
      <c r="K89" s="82" t="n"/>
      <c r="L89" s="82" t="n"/>
    </row>
    <row r="90">
      <c r="A90" s="82" t="n"/>
      <c r="B90" s="82" t="n"/>
      <c r="C90" s="82" t="n"/>
      <c r="D90" s="82" t="n"/>
      <c r="E90" s="82" t="n"/>
      <c r="F90" s="82" t="n"/>
      <c r="G90" s="82" t="n"/>
      <c r="H90" s="82" t="n"/>
      <c r="I90" s="82" t="n"/>
      <c r="J90" s="82" t="n"/>
      <c r="K90" s="82" t="n"/>
      <c r="L90" s="82" t="n"/>
    </row>
    <row r="91">
      <c r="A91" s="82" t="n"/>
      <c r="B91" s="82" t="n"/>
      <c r="C91" s="82" t="n"/>
      <c r="D91" s="82" t="n"/>
      <c r="E91" s="82" t="n"/>
      <c r="F91" s="82" t="n"/>
      <c r="G91" s="82" t="n"/>
      <c r="H91" s="82" t="n"/>
      <c r="I91" s="82" t="n"/>
      <c r="J91" s="82" t="n"/>
      <c r="K91" s="82" t="n"/>
      <c r="L91" s="82" t="n"/>
    </row>
    <row r="92">
      <c r="A92" s="82" t="n"/>
      <c r="B92" s="82" t="n"/>
      <c r="C92" s="82" t="n"/>
      <c r="D92" s="82" t="n"/>
      <c r="E92" s="82" t="n"/>
      <c r="F92" s="82" t="n"/>
      <c r="G92" s="82" t="n"/>
      <c r="H92" s="82" t="n"/>
      <c r="I92" s="82" t="n"/>
      <c r="J92" s="82" t="n"/>
      <c r="K92" s="82" t="n"/>
      <c r="L92" s="82" t="n"/>
    </row>
    <row r="93">
      <c r="A93" s="82" t="n"/>
      <c r="B93" s="82" t="n"/>
      <c r="C93" s="82" t="n"/>
      <c r="D93" s="82" t="n"/>
      <c r="E93" s="82" t="n"/>
      <c r="F93" s="82" t="n"/>
      <c r="G93" s="82" t="n"/>
      <c r="H93" s="82" t="n"/>
      <c r="I93" s="82" t="n"/>
      <c r="J93" s="82" t="n"/>
      <c r="K93" s="82" t="n"/>
      <c r="L93" s="82" t="n"/>
    </row>
    <row r="94">
      <c r="A94" s="82" t="n"/>
      <c r="B94" s="82" t="n"/>
      <c r="C94" s="82" t="n"/>
      <c r="D94" s="82" t="n"/>
      <c r="E94" s="82" t="n"/>
      <c r="F94" s="82" t="n"/>
      <c r="G94" s="82" t="n"/>
      <c r="H94" s="82" t="n"/>
      <c r="I94" s="82" t="n"/>
      <c r="J94" s="82" t="n"/>
      <c r="K94" s="82" t="n"/>
      <c r="L94" s="82" t="n"/>
    </row>
    <row r="95">
      <c r="A95" s="82" t="n"/>
      <c r="B95" s="82" t="n"/>
      <c r="C95" s="82" t="n"/>
      <c r="D95" s="82" t="n"/>
      <c r="E95" s="82" t="n"/>
      <c r="F95" s="82" t="n"/>
      <c r="G95" s="82" t="n"/>
      <c r="H95" s="82" t="n"/>
      <c r="I95" s="82" t="n"/>
      <c r="J95" s="82" t="n"/>
      <c r="K95" s="82" t="n"/>
      <c r="L95" s="82" t="n"/>
    </row>
    <row r="96">
      <c r="A96" s="82" t="n"/>
      <c r="B96" s="82" t="n"/>
      <c r="C96" s="82" t="n"/>
      <c r="D96" s="82" t="n"/>
      <c r="E96" s="82" t="n"/>
      <c r="F96" s="82" t="n"/>
      <c r="G96" s="82" t="n"/>
      <c r="H96" s="82" t="n"/>
      <c r="I96" s="82" t="n"/>
      <c r="J96" s="82" t="n"/>
      <c r="K96" s="82" t="n"/>
      <c r="L96" s="82" t="n"/>
    </row>
    <row r="97">
      <c r="A97" s="82" t="n"/>
      <c r="B97" s="82" t="n"/>
      <c r="C97" s="82" t="n"/>
      <c r="D97" s="82" t="n"/>
      <c r="E97" s="82" t="n"/>
      <c r="F97" s="82" t="n"/>
      <c r="G97" s="82" t="n"/>
      <c r="H97" s="82" t="n"/>
      <c r="I97" s="82" t="n"/>
      <c r="J97" s="82" t="n"/>
      <c r="K97" s="82" t="n"/>
      <c r="L97" s="82" t="n"/>
    </row>
    <row r="98">
      <c r="A98" s="82" t="n"/>
      <c r="B98" s="82" t="n"/>
      <c r="C98" s="82" t="n"/>
      <c r="D98" s="82" t="n"/>
      <c r="E98" s="82" t="n"/>
      <c r="F98" s="82" t="n"/>
      <c r="G98" s="82" t="n"/>
      <c r="H98" s="82" t="n"/>
      <c r="I98" s="82" t="n"/>
      <c r="J98" s="82" t="n"/>
      <c r="K98" s="82" t="n"/>
      <c r="L98" s="82" t="n"/>
    </row>
    <row r="99">
      <c r="A99" s="82" t="n"/>
      <c r="B99" s="82" t="n"/>
      <c r="C99" s="82" t="n"/>
      <c r="D99" s="82" t="n"/>
      <c r="E99" s="82" t="n"/>
      <c r="F99" s="82" t="n"/>
      <c r="G99" s="82" t="n"/>
      <c r="H99" s="82" t="n"/>
      <c r="I99" s="82" t="n"/>
      <c r="J99" s="82" t="n"/>
      <c r="K99" s="82" t="n"/>
      <c r="L99" s="82" t="n"/>
    </row>
    <row r="100">
      <c r="A100" s="82" t="n"/>
      <c r="B100" s="82" t="n"/>
      <c r="C100" s="82" t="n"/>
      <c r="D100" s="82" t="n"/>
      <c r="E100" s="82" t="n"/>
      <c r="F100" s="82" t="n"/>
      <c r="G100" s="82" t="n"/>
      <c r="H100" s="82" t="n"/>
      <c r="I100" s="82" t="n"/>
      <c r="J100" s="82" t="n"/>
      <c r="K100" s="82" t="n"/>
      <c r="L100" s="82" t="n"/>
    </row>
    <row r="101">
      <c r="A101" s="82" t="n"/>
      <c r="B101" s="82" t="n"/>
      <c r="C101" s="82" t="n"/>
      <c r="D101" s="82" t="n"/>
      <c r="E101" s="82" t="n"/>
      <c r="F101" s="82" t="n"/>
      <c r="G101" s="82" t="n"/>
      <c r="H101" s="82" t="n"/>
      <c r="I101" s="82" t="n"/>
      <c r="J101" s="82" t="n"/>
      <c r="K101" s="82" t="n"/>
      <c r="L101" s="82" t="n"/>
    </row>
    <row r="102">
      <c r="A102" s="82" t="n"/>
      <c r="B102" s="82" t="n"/>
      <c r="C102" s="82" t="n"/>
      <c r="D102" s="82" t="n"/>
      <c r="E102" s="82" t="n"/>
      <c r="F102" s="82" t="n"/>
      <c r="G102" s="82" t="n"/>
      <c r="H102" s="82" t="n"/>
      <c r="I102" s="82" t="n"/>
      <c r="J102" s="82" t="n"/>
      <c r="K102" s="82" t="n"/>
      <c r="L102" s="82" t="n"/>
    </row>
    <row r="103">
      <c r="A103" s="82" t="n"/>
      <c r="B103" s="82" t="n"/>
      <c r="C103" s="82" t="n"/>
      <c r="D103" s="82" t="n"/>
      <c r="E103" s="82" t="n"/>
      <c r="F103" s="82" t="n"/>
      <c r="G103" s="82" t="n"/>
      <c r="H103" s="82" t="n"/>
      <c r="I103" s="82" t="n"/>
      <c r="J103" s="82" t="n"/>
      <c r="K103" s="82" t="n"/>
      <c r="L103" s="82" t="n"/>
    </row>
    <row r="104">
      <c r="A104" s="82" t="n"/>
      <c r="B104" s="82" t="n"/>
      <c r="C104" s="82" t="n"/>
      <c r="D104" s="82" t="n"/>
      <c r="E104" s="82" t="n"/>
      <c r="F104" s="82" t="n"/>
      <c r="G104" s="82" t="n"/>
      <c r="H104" s="82" t="n"/>
      <c r="I104" s="82" t="n"/>
      <c r="J104" s="82" t="n"/>
      <c r="K104" s="82" t="n"/>
      <c r="L104" s="82" t="n"/>
    </row>
    <row r="105">
      <c r="A105" s="82" t="n"/>
      <c r="B105" s="82" t="n"/>
      <c r="C105" s="82" t="n"/>
      <c r="D105" s="82" t="n"/>
      <c r="E105" s="82" t="n"/>
      <c r="F105" s="82" t="n"/>
      <c r="G105" s="82" t="n"/>
      <c r="H105" s="82" t="n"/>
      <c r="I105" s="82" t="n"/>
      <c r="J105" s="82" t="n"/>
      <c r="K105" s="82" t="n"/>
      <c r="L105" s="82" t="n"/>
    </row>
    <row r="106">
      <c r="A106" s="82" t="n"/>
      <c r="B106" s="82" t="n"/>
      <c r="C106" s="82" t="n"/>
      <c r="D106" s="82" t="n"/>
      <c r="E106" s="82" t="n"/>
      <c r="F106" s="82" t="n"/>
      <c r="G106" s="82" t="n"/>
      <c r="H106" s="82" t="n"/>
      <c r="I106" s="82" t="n"/>
      <c r="J106" s="82" t="n"/>
      <c r="K106" s="82" t="n"/>
      <c r="L106" s="82" t="n"/>
    </row>
    <row r="107">
      <c r="A107" s="82" t="n"/>
      <c r="B107" s="82" t="n"/>
      <c r="C107" s="82" t="n"/>
      <c r="D107" s="82" t="n"/>
      <c r="E107" s="82" t="n"/>
      <c r="F107" s="82" t="n"/>
      <c r="G107" s="82" t="n"/>
      <c r="H107" s="82" t="n"/>
      <c r="I107" s="82" t="n"/>
      <c r="J107" s="82" t="n"/>
      <c r="K107" s="82" t="n"/>
      <c r="L107" s="82" t="n"/>
    </row>
    <row r="108">
      <c r="A108" s="82" t="n"/>
      <c r="B108" s="82" t="n"/>
      <c r="C108" s="82" t="n"/>
      <c r="D108" s="82" t="n"/>
      <c r="E108" s="82" t="n"/>
      <c r="F108" s="82" t="n"/>
      <c r="G108" s="82" t="n"/>
      <c r="H108" s="82" t="n"/>
      <c r="I108" s="82" t="n"/>
      <c r="J108" s="82" t="n"/>
      <c r="K108" s="82" t="n"/>
      <c r="L108" s="82" t="n"/>
    </row>
    <row r="109">
      <c r="A109" s="82" t="n"/>
      <c r="B109" s="82" t="n"/>
      <c r="C109" s="82" t="n"/>
      <c r="D109" s="82" t="n"/>
      <c r="E109" s="82" t="n"/>
      <c r="F109" s="82" t="n"/>
      <c r="G109" s="82" t="n"/>
      <c r="H109" s="82" t="n"/>
      <c r="I109" s="82" t="n"/>
      <c r="J109" s="82" t="n"/>
      <c r="K109" s="82" t="n"/>
      <c r="L109" s="82" t="n"/>
    </row>
    <row r="110">
      <c r="A110" s="82" t="n"/>
      <c r="B110" s="82" t="n"/>
      <c r="C110" s="82" t="n"/>
      <c r="D110" s="82" t="n"/>
      <c r="E110" s="82" t="n"/>
      <c r="F110" s="82" t="n"/>
      <c r="G110" s="82" t="n"/>
      <c r="H110" s="82" t="n"/>
      <c r="I110" s="82" t="n"/>
      <c r="J110" s="82" t="n"/>
      <c r="K110" s="82" t="n"/>
      <c r="L110" s="82" t="n"/>
    </row>
    <row r="111">
      <c r="A111" s="82" t="n"/>
      <c r="B111" s="82" t="n"/>
      <c r="C111" s="82" t="n"/>
      <c r="D111" s="82" t="n"/>
      <c r="E111" s="82" t="n"/>
      <c r="F111" s="82" t="n"/>
      <c r="G111" s="82" t="n"/>
      <c r="H111" s="82" t="n"/>
      <c r="I111" s="82" t="n"/>
      <c r="J111" s="82" t="n"/>
      <c r="K111" s="82" t="n"/>
      <c r="L111" s="82" t="n"/>
    </row>
    <row r="112">
      <c r="A112" s="82" t="n"/>
      <c r="B112" s="82" t="n"/>
      <c r="C112" s="82" t="n"/>
      <c r="D112" s="82" t="n"/>
      <c r="E112" s="82" t="n"/>
      <c r="F112" s="82" t="n"/>
      <c r="G112" s="82" t="n"/>
      <c r="H112" s="82" t="n"/>
      <c r="I112" s="82" t="n"/>
      <c r="J112" s="82" t="n"/>
      <c r="K112" s="82" t="n"/>
      <c r="L112" s="82" t="n"/>
    </row>
    <row r="113">
      <c r="A113" s="82" t="n"/>
      <c r="B113" s="82" t="n"/>
      <c r="C113" s="82" t="n"/>
      <c r="D113" s="82" t="n"/>
      <c r="E113" s="82" t="n"/>
      <c r="F113" s="82" t="n"/>
      <c r="G113" s="82" t="n"/>
      <c r="H113" s="82" t="n"/>
      <c r="I113" s="82" t="n"/>
      <c r="J113" s="82" t="n"/>
      <c r="K113" s="82" t="n"/>
      <c r="L113" s="82" t="n"/>
    </row>
    <row r="114">
      <c r="A114" s="82" t="n"/>
      <c r="B114" s="82" t="n"/>
      <c r="C114" s="82" t="n"/>
      <c r="D114" s="82" t="n"/>
      <c r="E114" s="82" t="n"/>
      <c r="F114" s="82" t="n"/>
      <c r="G114" s="82" t="n"/>
      <c r="H114" s="82" t="n"/>
      <c r="I114" s="82" t="n"/>
      <c r="J114" s="82" t="n"/>
      <c r="K114" s="82" t="n"/>
      <c r="L114" s="82" t="n"/>
    </row>
    <row r="115">
      <c r="A115" s="82" t="n"/>
      <c r="B115" s="82" t="n"/>
      <c r="C115" s="82" t="n"/>
      <c r="D115" s="82" t="n"/>
      <c r="E115" s="82" t="n"/>
      <c r="F115" s="82" t="n"/>
      <c r="G115" s="82" t="n"/>
      <c r="H115" s="82" t="n"/>
      <c r="I115" s="82" t="n"/>
      <c r="J115" s="82" t="n"/>
      <c r="K115" s="82" t="n"/>
      <c r="L115" s="82" t="n"/>
    </row>
    <row r="116">
      <c r="A116" s="82" t="n"/>
      <c r="B116" s="82" t="n"/>
      <c r="C116" s="82" t="n"/>
      <c r="D116" s="82" t="n"/>
      <c r="E116" s="82" t="n"/>
      <c r="F116" s="82" t="n"/>
      <c r="G116" s="82" t="n"/>
      <c r="H116" s="82" t="n"/>
      <c r="I116" s="82" t="n"/>
      <c r="J116" s="82" t="n"/>
      <c r="K116" s="82" t="n"/>
      <c r="L116" s="82" t="n"/>
    </row>
    <row r="117">
      <c r="A117" s="82" t="n"/>
      <c r="B117" s="82" t="n"/>
      <c r="C117" s="82" t="n"/>
      <c r="D117" s="82" t="n"/>
      <c r="E117" s="82" t="n"/>
      <c r="F117" s="82" t="n"/>
      <c r="G117" s="82" t="n"/>
      <c r="H117" s="82" t="n"/>
      <c r="I117" s="82" t="n"/>
      <c r="J117" s="82" t="n"/>
      <c r="K117" s="82" t="n"/>
      <c r="L117" s="82" t="n"/>
    </row>
    <row r="118">
      <c r="A118" s="82" t="n"/>
      <c r="B118" s="82" t="n"/>
      <c r="C118" s="82" t="n"/>
      <c r="D118" s="82" t="n"/>
      <c r="E118" s="82" t="n"/>
      <c r="F118" s="82" t="n"/>
      <c r="G118" s="82" t="n"/>
      <c r="H118" s="82" t="n"/>
      <c r="I118" s="82" t="n"/>
      <c r="J118" s="82" t="n"/>
      <c r="K118" s="82" t="n"/>
      <c r="L118" s="82" t="n"/>
    </row>
    <row r="119">
      <c r="A119" s="82" t="n"/>
      <c r="B119" s="82" t="n"/>
      <c r="C119" s="82" t="n"/>
      <c r="D119" s="82" t="n"/>
      <c r="E119" s="82" t="n"/>
      <c r="F119" s="82" t="n"/>
      <c r="G119" s="82" t="n"/>
      <c r="H119" s="82" t="n"/>
      <c r="I119" s="82" t="n"/>
      <c r="J119" s="82" t="n"/>
      <c r="K119" s="82" t="n"/>
      <c r="L119" s="82" t="n"/>
    </row>
    <row r="120">
      <c r="A120" s="82" t="n"/>
      <c r="B120" s="82" t="n"/>
      <c r="C120" s="82" t="n"/>
      <c r="D120" s="82" t="n"/>
      <c r="E120" s="82" t="n"/>
      <c r="F120" s="82" t="n"/>
      <c r="G120" s="82" t="n"/>
      <c r="H120" s="82" t="n"/>
      <c r="I120" s="82" t="n"/>
      <c r="J120" s="82" t="n"/>
      <c r="K120" s="82" t="n"/>
      <c r="L120" s="82" t="n"/>
    </row>
    <row r="121">
      <c r="A121" s="82" t="n"/>
      <c r="B121" s="82" t="n"/>
      <c r="C121" s="82" t="n"/>
      <c r="D121" s="82" t="n"/>
      <c r="E121" s="82" t="n"/>
      <c r="F121" s="82" t="n"/>
      <c r="G121" s="82" t="n"/>
      <c r="H121" s="82" t="n"/>
      <c r="I121" s="82" t="n"/>
      <c r="J121" s="82" t="n"/>
      <c r="K121" s="82" t="n"/>
      <c r="L121" s="82" t="n"/>
    </row>
    <row r="122">
      <c r="A122" s="82" t="n"/>
      <c r="B122" s="82" t="n"/>
      <c r="C122" s="82" t="n"/>
      <c r="D122" s="82" t="n"/>
      <c r="E122" s="82" t="n"/>
      <c r="F122" s="82" t="n"/>
      <c r="G122" s="82" t="n"/>
      <c r="H122" s="82" t="n"/>
      <c r="I122" s="82" t="n"/>
      <c r="J122" s="82" t="n"/>
      <c r="K122" s="82" t="n"/>
      <c r="L122" s="82" t="n"/>
    </row>
    <row r="123">
      <c r="A123" s="82" t="n"/>
      <c r="B123" s="82" t="n"/>
      <c r="C123" s="82" t="n"/>
      <c r="D123" s="82" t="n"/>
      <c r="E123" s="82" t="n"/>
      <c r="F123" s="82" t="n"/>
      <c r="G123" s="82" t="n"/>
      <c r="H123" s="82" t="n"/>
      <c r="I123" s="82" t="n"/>
      <c r="J123" s="82" t="n"/>
      <c r="K123" s="82" t="n"/>
      <c r="L123" s="82" t="n"/>
    </row>
    <row r="124">
      <c r="A124" s="82" t="n"/>
      <c r="B124" s="82" t="n"/>
      <c r="C124" s="82" t="n"/>
      <c r="D124" s="82" t="n"/>
      <c r="E124" s="82" t="n"/>
      <c r="F124" s="82" t="n"/>
      <c r="G124" s="82" t="n"/>
      <c r="H124" s="82" t="n"/>
      <c r="I124" s="82" t="n"/>
      <c r="J124" s="82" t="n"/>
      <c r="K124" s="82" t="n"/>
      <c r="L124" s="82" t="n"/>
    </row>
    <row r="125">
      <c r="A125" s="82" t="n"/>
      <c r="B125" s="82" t="n"/>
      <c r="C125" s="82" t="n"/>
      <c r="D125" s="82" t="n"/>
      <c r="E125" s="82" t="n"/>
      <c r="F125" s="82" t="n"/>
      <c r="G125" s="82" t="n"/>
      <c r="H125" s="82" t="n"/>
      <c r="I125" s="82" t="n"/>
      <c r="J125" s="82" t="n"/>
      <c r="K125" s="82" t="n"/>
      <c r="L125" s="82" t="n"/>
    </row>
    <row r="126">
      <c r="A126" s="82" t="n"/>
      <c r="B126" s="82" t="n"/>
      <c r="C126" s="82" t="n"/>
      <c r="D126" s="82" t="n"/>
      <c r="E126" s="82" t="n"/>
      <c r="F126" s="82" t="n"/>
      <c r="G126" s="82" t="n"/>
      <c r="H126" s="82" t="n"/>
      <c r="I126" s="82" t="n"/>
      <c r="J126" s="82" t="n"/>
      <c r="K126" s="82" t="n"/>
      <c r="L126" s="82" t="n"/>
    </row>
    <row r="127">
      <c r="A127" s="82" t="n"/>
      <c r="B127" s="82" t="n"/>
      <c r="C127" s="82" t="n"/>
      <c r="D127" s="82" t="n"/>
      <c r="E127" s="82" t="n"/>
      <c r="F127" s="82" t="n"/>
      <c r="G127" s="82" t="n"/>
      <c r="H127" s="82" t="n"/>
      <c r="I127" s="82" t="n"/>
      <c r="J127" s="82" t="n"/>
      <c r="K127" s="82" t="n"/>
      <c r="L127" s="82" t="n"/>
    </row>
    <row r="128">
      <c r="A128" s="82" t="n"/>
      <c r="B128" s="82" t="n"/>
      <c r="C128" s="82" t="n"/>
      <c r="D128" s="82" t="n"/>
      <c r="E128" s="82" t="n"/>
      <c r="F128" s="82" t="n"/>
      <c r="G128" s="82" t="n"/>
      <c r="H128" s="82" t="n"/>
      <c r="I128" s="82" t="n"/>
      <c r="J128" s="82" t="n"/>
      <c r="K128" s="82" t="n"/>
      <c r="L128" s="82" t="n"/>
    </row>
    <row r="129">
      <c r="A129" s="82" t="n"/>
      <c r="B129" s="82" t="n"/>
      <c r="C129" s="82" t="n"/>
      <c r="D129" s="82" t="n"/>
      <c r="E129" s="82" t="n"/>
      <c r="F129" s="82" t="n"/>
      <c r="G129" s="82" t="n"/>
      <c r="H129" s="82" t="n"/>
      <c r="I129" s="82" t="n"/>
      <c r="J129" s="82" t="n"/>
      <c r="K129" s="82" t="n"/>
      <c r="L129" s="82" t="n"/>
    </row>
    <row r="130">
      <c r="A130" s="82" t="n"/>
      <c r="B130" s="82" t="n"/>
      <c r="C130" s="82" t="n"/>
      <c r="D130" s="82" t="n"/>
      <c r="E130" s="82" t="n"/>
      <c r="F130" s="82" t="n"/>
      <c r="G130" s="82" t="n"/>
      <c r="H130" s="82" t="n"/>
      <c r="I130" s="82" t="n"/>
      <c r="J130" s="82" t="n"/>
      <c r="K130" s="82" t="n"/>
      <c r="L130" s="82" t="n"/>
    </row>
    <row r="131">
      <c r="A131" s="82" t="n"/>
      <c r="B131" s="82" t="n"/>
      <c r="C131" s="82" t="n"/>
      <c r="D131" s="82" t="n"/>
      <c r="E131" s="82" t="n"/>
      <c r="F131" s="82" t="n"/>
      <c r="G131" s="82" t="n"/>
      <c r="H131" s="82" t="n"/>
      <c r="I131" s="82" t="n"/>
      <c r="J131" s="82" t="n"/>
      <c r="K131" s="82" t="n"/>
      <c r="L131" s="82" t="n"/>
    </row>
    <row r="132">
      <c r="A132" s="82" t="n"/>
      <c r="B132" s="82" t="n"/>
      <c r="C132" s="82" t="n"/>
      <c r="D132" s="82" t="n"/>
      <c r="E132" s="82" t="n"/>
      <c r="F132" s="82" t="n"/>
      <c r="G132" s="82" t="n"/>
      <c r="H132" s="82" t="n"/>
      <c r="I132" s="82" t="n"/>
      <c r="J132" s="82" t="n"/>
      <c r="K132" s="82" t="n"/>
      <c r="L132" s="82" t="n"/>
    </row>
    <row r="133">
      <c r="A133" s="82" t="n"/>
      <c r="B133" s="82" t="n"/>
      <c r="C133" s="82" t="n"/>
      <c r="D133" s="82" t="n"/>
      <c r="E133" s="82" t="n"/>
      <c r="F133" s="82" t="n"/>
      <c r="G133" s="82" t="n"/>
      <c r="H133" s="82" t="n"/>
      <c r="I133" s="82" t="n"/>
      <c r="J133" s="82" t="n"/>
      <c r="K133" s="82" t="n"/>
      <c r="L133" s="82" t="n"/>
    </row>
    <row r="134">
      <c r="A134" s="82" t="n"/>
      <c r="B134" s="82" t="n"/>
      <c r="C134" s="82" t="n"/>
      <c r="D134" s="82" t="n"/>
      <c r="E134" s="82" t="n"/>
      <c r="F134" s="82" t="n"/>
      <c r="G134" s="82" t="n"/>
      <c r="H134" s="82" t="n"/>
      <c r="I134" s="82" t="n"/>
      <c r="J134" s="82" t="n"/>
      <c r="K134" s="82" t="n"/>
      <c r="L134" s="82" t="n"/>
    </row>
    <row r="135">
      <c r="A135" s="82" t="n"/>
      <c r="B135" s="82" t="n"/>
      <c r="C135" s="82" t="n"/>
      <c r="D135" s="82" t="n"/>
      <c r="E135" s="82" t="n"/>
      <c r="F135" s="82" t="n"/>
      <c r="G135" s="82" t="n"/>
      <c r="H135" s="82" t="n"/>
      <c r="I135" s="82" t="n"/>
      <c r="J135" s="82" t="n"/>
      <c r="K135" s="82" t="n"/>
      <c r="L135" s="82" t="n"/>
    </row>
    <row r="136">
      <c r="A136" s="82" t="n"/>
      <c r="B136" s="82" t="n"/>
      <c r="C136" s="82" t="n"/>
      <c r="D136" s="82" t="n"/>
      <c r="E136" s="82" t="n"/>
      <c r="F136" s="82" t="n"/>
      <c r="G136" s="82" t="n"/>
      <c r="H136" s="82" t="n"/>
      <c r="I136" s="82" t="n"/>
      <c r="J136" s="82" t="n"/>
      <c r="K136" s="82" t="n"/>
      <c r="L136" s="82" t="n"/>
    </row>
    <row r="137">
      <c r="A137" s="82" t="n"/>
      <c r="B137" s="82" t="n"/>
      <c r="C137" s="82" t="n"/>
      <c r="D137" s="82" t="n"/>
      <c r="E137" s="82" t="n"/>
      <c r="F137" s="82" t="n"/>
      <c r="G137" s="82" t="n"/>
      <c r="H137" s="82" t="n"/>
      <c r="I137" s="82" t="n"/>
      <c r="J137" s="82" t="n"/>
      <c r="K137" s="82" t="n"/>
      <c r="L137" s="82" t="n"/>
    </row>
    <row r="138">
      <c r="A138" s="82" t="n"/>
      <c r="B138" s="82" t="n"/>
      <c r="C138" s="82" t="n"/>
      <c r="D138" s="82" t="n"/>
      <c r="E138" s="82" t="n"/>
      <c r="F138" s="82" t="n"/>
      <c r="G138" s="82" t="n"/>
      <c r="H138" s="82" t="n"/>
      <c r="I138" s="82" t="n"/>
      <c r="J138" s="82" t="n"/>
      <c r="K138" s="82" t="n"/>
      <c r="L138" s="82" t="n"/>
    </row>
    <row r="139">
      <c r="A139" s="82" t="n"/>
      <c r="B139" s="82" t="n"/>
      <c r="C139" s="82" t="n"/>
      <c r="D139" s="82" t="n"/>
      <c r="E139" s="82" t="n"/>
      <c r="F139" s="82" t="n"/>
      <c r="G139" s="82" t="n"/>
      <c r="H139" s="82" t="n"/>
      <c r="I139" s="82" t="n"/>
      <c r="J139" s="82" t="n"/>
      <c r="K139" s="82" t="n"/>
      <c r="L139" s="82" t="n"/>
    </row>
    <row r="140">
      <c r="A140" s="82" t="n"/>
      <c r="B140" s="82" t="n"/>
      <c r="C140" s="82" t="n"/>
      <c r="D140" s="82" t="n"/>
      <c r="E140" s="82" t="n"/>
      <c r="F140" s="82" t="n"/>
      <c r="G140" s="82" t="n"/>
      <c r="H140" s="82" t="n"/>
      <c r="I140" s="82" t="n"/>
      <c r="J140" s="82" t="n"/>
      <c r="K140" s="82" t="n"/>
      <c r="L140" s="82" t="n"/>
    </row>
    <row r="141">
      <c r="A141" s="82" t="n"/>
      <c r="B141" s="82" t="n"/>
      <c r="C141" s="82" t="n"/>
      <c r="D141" s="82" t="n"/>
      <c r="E141" s="82" t="n"/>
      <c r="F141" s="82" t="n"/>
      <c r="G141" s="82" t="n"/>
      <c r="H141" s="82" t="n"/>
      <c r="I141" s="82" t="n"/>
      <c r="J141" s="82" t="n"/>
      <c r="K141" s="82" t="n"/>
      <c r="L141" s="82" t="n"/>
    </row>
    <row r="142">
      <c r="A142" s="82" t="n"/>
      <c r="B142" s="82" t="n"/>
      <c r="C142" s="82" t="n"/>
      <c r="D142" s="82" t="n"/>
      <c r="E142" s="82" t="n"/>
      <c r="F142" s="82" t="n"/>
      <c r="G142" s="82" t="n"/>
      <c r="H142" s="82" t="n"/>
      <c r="I142" s="82" t="n"/>
      <c r="J142" s="82" t="n"/>
      <c r="K142" s="82" t="n"/>
      <c r="L142" s="82" t="n"/>
    </row>
    <row r="143">
      <c r="A143" s="82" t="n"/>
      <c r="B143" s="82" t="n"/>
      <c r="C143" s="82" t="n"/>
      <c r="D143" s="82" t="n"/>
      <c r="E143" s="82" t="n"/>
      <c r="F143" s="82" t="n"/>
      <c r="G143" s="82" t="n"/>
      <c r="H143" s="82" t="n"/>
      <c r="I143" s="82" t="n"/>
      <c r="J143" s="82" t="n"/>
      <c r="K143" s="82" t="n"/>
      <c r="L143" s="82" t="n"/>
    </row>
    <row r="144">
      <c r="A144" s="82" t="n"/>
      <c r="B144" s="82" t="n"/>
      <c r="C144" s="82" t="n"/>
      <c r="D144" s="82" t="n"/>
      <c r="E144" s="82" t="n"/>
      <c r="F144" s="82" t="n"/>
      <c r="G144" s="82" t="n"/>
      <c r="H144" s="82" t="n"/>
      <c r="I144" s="82" t="n"/>
      <c r="J144" s="82" t="n"/>
      <c r="K144" s="82" t="n"/>
      <c r="L144" s="82" t="n"/>
    </row>
    <row r="145">
      <c r="A145" s="82" t="n"/>
      <c r="B145" s="82" t="n"/>
      <c r="C145" s="82" t="n"/>
      <c r="D145" s="82" t="n"/>
      <c r="E145" s="82" t="n"/>
      <c r="F145" s="82" t="n"/>
      <c r="G145" s="82" t="n"/>
      <c r="H145" s="82" t="n"/>
      <c r="I145" s="82" t="n"/>
      <c r="J145" s="82" t="n"/>
      <c r="K145" s="82" t="n"/>
      <c r="L145" s="82" t="n"/>
    </row>
    <row r="146">
      <c r="A146" s="82" t="n"/>
      <c r="B146" s="82" t="n"/>
      <c r="C146" s="82" t="n"/>
      <c r="D146" s="82" t="n"/>
      <c r="E146" s="82" t="n"/>
      <c r="F146" s="82" t="n"/>
      <c r="G146" s="82" t="n"/>
      <c r="H146" s="82" t="n"/>
      <c r="I146" s="82" t="n"/>
      <c r="J146" s="82" t="n"/>
      <c r="K146" s="82" t="n"/>
      <c r="L146" s="82" t="n"/>
    </row>
    <row r="147">
      <c r="A147" s="82" t="n"/>
      <c r="B147" s="82" t="n"/>
      <c r="C147" s="82" t="n"/>
      <c r="D147" s="82" t="n"/>
      <c r="E147" s="82" t="n"/>
      <c r="F147" s="82" t="n"/>
      <c r="G147" s="82" t="n"/>
      <c r="H147" s="82" t="n"/>
      <c r="I147" s="82" t="n"/>
      <c r="J147" s="82" t="n"/>
      <c r="K147" s="82" t="n"/>
      <c r="L147" s="82" t="n"/>
    </row>
    <row r="148">
      <c r="A148" s="82" t="n"/>
      <c r="B148" s="82" t="n"/>
      <c r="C148" s="82" t="n"/>
      <c r="D148" s="82" t="n"/>
      <c r="E148" s="82" t="n"/>
      <c r="F148" s="82" t="n"/>
      <c r="G148" s="82" t="n"/>
      <c r="H148" s="82" t="n"/>
      <c r="I148" s="82" t="n"/>
      <c r="J148" s="82" t="n"/>
      <c r="K148" s="82" t="n"/>
      <c r="L148" s="82" t="n"/>
    </row>
    <row r="149">
      <c r="A149" s="82" t="n"/>
      <c r="B149" s="82" t="n"/>
      <c r="C149" s="82" t="n"/>
      <c r="D149" s="82" t="n"/>
      <c r="E149" s="82" t="n"/>
      <c r="F149" s="82" t="n"/>
      <c r="G149" s="82" t="n"/>
      <c r="H149" s="82" t="n"/>
      <c r="I149" s="82" t="n"/>
      <c r="J149" s="82" t="n"/>
      <c r="K149" s="82" t="n"/>
      <c r="L149" s="82" t="n"/>
    </row>
    <row r="150">
      <c r="A150" s="82" t="n"/>
      <c r="B150" s="82" t="n"/>
      <c r="C150" s="82" t="n"/>
      <c r="D150" s="82" t="n"/>
      <c r="E150" s="82" t="n"/>
      <c r="F150" s="82" t="n"/>
      <c r="G150" s="82" t="n"/>
      <c r="H150" s="82" t="n"/>
      <c r="I150" s="82" t="n"/>
      <c r="J150" s="82" t="n"/>
      <c r="K150" s="82" t="n"/>
      <c r="L150" s="82" t="n"/>
    </row>
    <row r="151">
      <c r="A151" s="82" t="n"/>
      <c r="B151" s="82" t="n"/>
      <c r="C151" s="82" t="n"/>
      <c r="D151" s="82" t="n"/>
      <c r="E151" s="82" t="n"/>
      <c r="F151" s="82" t="n"/>
      <c r="G151" s="82" t="n"/>
      <c r="H151" s="82" t="n"/>
      <c r="I151" s="82" t="n"/>
      <c r="J151" s="82" t="n"/>
      <c r="K151" s="82" t="n"/>
      <c r="L151" s="82" t="n"/>
    </row>
    <row r="152">
      <c r="A152" s="82" t="n"/>
      <c r="B152" s="82" t="n"/>
      <c r="C152" s="82" t="n"/>
      <c r="D152" s="82" t="n"/>
      <c r="E152" s="82" t="n"/>
      <c r="F152" s="82" t="n"/>
      <c r="G152" s="82" t="n"/>
      <c r="H152" s="82" t="n"/>
      <c r="I152" s="82" t="n"/>
      <c r="J152" s="82" t="n"/>
      <c r="K152" s="82" t="n"/>
      <c r="L152" s="82" t="n"/>
    </row>
    <row r="153">
      <c r="A153" s="82" t="n"/>
      <c r="B153" s="82" t="n"/>
      <c r="C153" s="82" t="n"/>
      <c r="D153" s="82" t="n"/>
      <c r="E153" s="82" t="n"/>
      <c r="F153" s="82" t="n"/>
      <c r="G153" s="82" t="n"/>
      <c r="H153" s="82" t="n"/>
      <c r="I153" s="82" t="n"/>
      <c r="J153" s="82" t="n"/>
      <c r="K153" s="82" t="n"/>
      <c r="L153" s="82" t="n"/>
    </row>
    <row r="154">
      <c r="A154" s="82" t="n"/>
      <c r="B154" s="82" t="n"/>
      <c r="C154" s="82" t="n"/>
      <c r="D154" s="82" t="n"/>
      <c r="E154" s="82" t="n"/>
      <c r="F154" s="82" t="n"/>
      <c r="G154" s="82" t="n"/>
      <c r="H154" s="82" t="n"/>
      <c r="I154" s="82" t="n"/>
      <c r="J154" s="82" t="n"/>
      <c r="K154" s="82" t="n"/>
      <c r="L154" s="82" t="n"/>
    </row>
    <row r="155">
      <c r="A155" s="82" t="n"/>
      <c r="B155" s="82" t="n"/>
      <c r="C155" s="82" t="n"/>
      <c r="D155" s="82" t="n"/>
      <c r="E155" s="82" t="n"/>
      <c r="F155" s="82" t="n"/>
      <c r="G155" s="82" t="n"/>
      <c r="H155" s="82" t="n"/>
      <c r="I155" s="82" t="n"/>
      <c r="J155" s="82" t="n"/>
      <c r="K155" s="82" t="n"/>
      <c r="L155" s="82" t="n"/>
    </row>
    <row r="156">
      <c r="A156" s="82" t="n"/>
      <c r="B156" s="82" t="n"/>
      <c r="C156" s="82" t="n"/>
      <c r="D156" s="82" t="n"/>
      <c r="E156" s="82" t="n"/>
      <c r="F156" s="82" t="n"/>
      <c r="G156" s="82" t="n"/>
      <c r="H156" s="82" t="n"/>
      <c r="I156" s="82" t="n"/>
      <c r="J156" s="82" t="n"/>
      <c r="K156" s="82" t="n"/>
      <c r="L156" s="82" t="n"/>
    </row>
    <row r="157">
      <c r="A157" s="82" t="n"/>
      <c r="B157" s="82" t="n"/>
      <c r="C157" s="82" t="n"/>
      <c r="D157" s="82" t="n"/>
      <c r="E157" s="82" t="n"/>
      <c r="F157" s="82" t="n"/>
      <c r="G157" s="82" t="n"/>
      <c r="H157" s="82" t="n"/>
      <c r="I157" s="82" t="n"/>
      <c r="J157" s="82" t="n"/>
      <c r="K157" s="82" t="n"/>
      <c r="L157" s="82" t="n"/>
    </row>
    <row r="158">
      <c r="A158" s="82" t="n"/>
      <c r="B158" s="82" t="n"/>
      <c r="C158" s="82" t="n"/>
      <c r="D158" s="82" t="n"/>
      <c r="E158" s="82" t="n"/>
      <c r="F158" s="82" t="n"/>
      <c r="G158" s="82" t="n"/>
      <c r="H158" s="82" t="n"/>
      <c r="I158" s="82" t="n"/>
      <c r="J158" s="82" t="n"/>
      <c r="K158" s="82" t="n"/>
      <c r="L158" s="82" t="n"/>
    </row>
    <row r="159">
      <c r="A159" s="82" t="n"/>
      <c r="B159" s="82" t="n"/>
      <c r="C159" s="82" t="n"/>
      <c r="D159" s="82" t="n"/>
      <c r="E159" s="82" t="n"/>
      <c r="F159" s="82" t="n"/>
      <c r="G159" s="82" t="n"/>
      <c r="H159" s="82" t="n"/>
      <c r="I159" s="82" t="n"/>
      <c r="J159" s="82" t="n"/>
      <c r="K159" s="82" t="n"/>
      <c r="L159" s="82" t="n"/>
    </row>
    <row r="160">
      <c r="A160" s="82" t="n"/>
      <c r="B160" s="82" t="n"/>
      <c r="C160" s="82" t="n"/>
      <c r="D160" s="82" t="n"/>
      <c r="E160" s="82" t="n"/>
      <c r="F160" s="82" t="n"/>
      <c r="G160" s="82" t="n"/>
      <c r="H160" s="82" t="n"/>
      <c r="I160" s="82" t="n"/>
      <c r="J160" s="82" t="n"/>
      <c r="K160" s="82" t="n"/>
      <c r="L160" s="82" t="n"/>
    </row>
    <row r="161">
      <c r="A161" s="82" t="n"/>
      <c r="B161" s="82" t="n"/>
      <c r="C161" s="82" t="n"/>
      <c r="D161" s="82" t="n"/>
      <c r="E161" s="82" t="n"/>
      <c r="F161" s="82" t="n"/>
      <c r="G161" s="82" t="n"/>
      <c r="H161" s="82" t="n"/>
      <c r="I161" s="82" t="n"/>
      <c r="J161" s="82" t="n"/>
      <c r="K161" s="82" t="n"/>
      <c r="L161" s="82" t="n"/>
    </row>
    <row r="162">
      <c r="A162" s="82" t="n"/>
      <c r="B162" s="82" t="n"/>
      <c r="C162" s="82" t="n"/>
      <c r="D162" s="82" t="n"/>
      <c r="E162" s="82" t="n"/>
      <c r="F162" s="82" t="n"/>
      <c r="G162" s="82" t="n"/>
      <c r="H162" s="82" t="n"/>
      <c r="I162" s="82" t="n"/>
      <c r="J162" s="82" t="n"/>
      <c r="K162" s="82" t="n"/>
      <c r="L162" s="82" t="n"/>
    </row>
    <row r="163">
      <c r="A163" s="82" t="n"/>
      <c r="B163" s="82" t="n"/>
      <c r="C163" s="82" t="n"/>
      <c r="D163" s="82" t="n"/>
      <c r="E163" s="82" t="n"/>
      <c r="F163" s="82" t="n"/>
      <c r="G163" s="82" t="n"/>
      <c r="H163" s="82" t="n"/>
      <c r="I163" s="82" t="n"/>
      <c r="J163" s="82" t="n"/>
      <c r="K163" s="82" t="n"/>
      <c r="L163" s="82" t="n"/>
    </row>
    <row r="164">
      <c r="A164" s="82" t="n"/>
      <c r="B164" s="82" t="n"/>
      <c r="C164" s="82" t="n"/>
      <c r="D164" s="82" t="n"/>
      <c r="E164" s="82" t="n"/>
      <c r="F164" s="82" t="n"/>
      <c r="G164" s="82" t="n"/>
      <c r="H164" s="82" t="n"/>
      <c r="I164" s="82" t="n"/>
      <c r="J164" s="82" t="n"/>
      <c r="K164" s="82" t="n"/>
      <c r="L164" s="82" t="n"/>
    </row>
    <row r="165">
      <c r="A165" s="82" t="n"/>
      <c r="B165" s="82" t="n"/>
      <c r="C165" s="82" t="n"/>
      <c r="D165" s="82" t="n"/>
      <c r="E165" s="82" t="n"/>
      <c r="F165" s="82" t="n"/>
      <c r="G165" s="82" t="n"/>
      <c r="H165" s="82" t="n"/>
      <c r="I165" s="82" t="n"/>
      <c r="J165" s="82" t="n"/>
      <c r="K165" s="82" t="n"/>
      <c r="L165" s="82" t="n"/>
    </row>
    <row r="166">
      <c r="A166" s="82" t="n"/>
      <c r="B166" s="82" t="n"/>
      <c r="C166" s="82" t="n"/>
      <c r="D166" s="82" t="n"/>
      <c r="E166" s="82" t="n"/>
      <c r="F166" s="82" t="n"/>
      <c r="G166" s="82" t="n"/>
      <c r="H166" s="82" t="n"/>
      <c r="I166" s="82" t="n"/>
      <c r="J166" s="82" t="n"/>
      <c r="K166" s="82" t="n"/>
      <c r="L166" s="82" t="n"/>
    </row>
    <row r="167">
      <c r="A167" s="82" t="n"/>
      <c r="B167" s="82" t="n"/>
      <c r="C167" s="82" t="n"/>
      <c r="D167" s="82" t="n"/>
      <c r="E167" s="82" t="n"/>
      <c r="F167" s="82" t="n"/>
      <c r="G167" s="82" t="n"/>
      <c r="H167" s="82" t="n"/>
      <c r="I167" s="82" t="n"/>
      <c r="J167" s="82" t="n"/>
      <c r="K167" s="82" t="n"/>
      <c r="L167" s="82" t="n"/>
    </row>
    <row r="168">
      <c r="A168" s="82" t="n"/>
      <c r="B168" s="82" t="n"/>
      <c r="C168" s="82" t="n"/>
      <c r="D168" s="82" t="n"/>
      <c r="E168" s="82" t="n"/>
      <c r="F168" s="82" t="n"/>
      <c r="G168" s="82" t="n"/>
      <c r="H168" s="82" t="n"/>
      <c r="I168" s="82" t="n"/>
      <c r="J168" s="82" t="n"/>
      <c r="K168" s="82" t="n"/>
      <c r="L168" s="82" t="n"/>
    </row>
    <row r="169">
      <c r="A169" s="82" t="n"/>
      <c r="B169" s="82" t="n"/>
      <c r="C169" s="82" t="n"/>
      <c r="D169" s="82" t="n"/>
      <c r="E169" s="82" t="n"/>
      <c r="F169" s="82" t="n"/>
      <c r="G169" s="82" t="n"/>
      <c r="H169" s="82" t="n"/>
      <c r="I169" s="82" t="n"/>
      <c r="J169" s="82" t="n"/>
      <c r="K169" s="82" t="n"/>
      <c r="L169" s="82" t="n"/>
    </row>
    <row r="170">
      <c r="A170" s="82" t="n"/>
      <c r="B170" s="82" t="n"/>
      <c r="C170" s="82" t="n"/>
      <c r="D170" s="82" t="n"/>
      <c r="E170" s="82" t="n"/>
      <c r="F170" s="82" t="n"/>
      <c r="G170" s="82" t="n"/>
      <c r="H170" s="82" t="n"/>
      <c r="I170" s="82" t="n"/>
      <c r="J170" s="82" t="n"/>
      <c r="K170" s="82" t="n"/>
      <c r="L170" s="82" t="n"/>
    </row>
    <row r="171">
      <c r="A171" s="82" t="n"/>
      <c r="B171" s="82" t="n"/>
      <c r="C171" s="82" t="n"/>
      <c r="D171" s="82" t="n"/>
      <c r="E171" s="82" t="n"/>
      <c r="F171" s="82" t="n"/>
      <c r="G171" s="82" t="n"/>
      <c r="H171" s="82" t="n"/>
      <c r="I171" s="82" t="n"/>
      <c r="J171" s="82" t="n"/>
      <c r="K171" s="82" t="n"/>
      <c r="L171" s="82" t="n"/>
    </row>
    <row r="172">
      <c r="A172" s="82" t="n"/>
      <c r="B172" s="82" t="n"/>
      <c r="C172" s="82" t="n"/>
      <c r="D172" s="82" t="n"/>
      <c r="E172" s="82" t="n"/>
      <c r="F172" s="82" t="n"/>
      <c r="G172" s="82" t="n"/>
      <c r="H172" s="82" t="n"/>
      <c r="I172" s="82" t="n"/>
      <c r="J172" s="82" t="n"/>
      <c r="K172" s="82" t="n"/>
      <c r="L172" s="82" t="n"/>
    </row>
    <row r="173">
      <c r="A173" s="82" t="n"/>
      <c r="B173" s="82" t="n"/>
      <c r="C173" s="82" t="n"/>
      <c r="D173" s="82" t="n"/>
      <c r="E173" s="82" t="n"/>
      <c r="F173" s="82" t="n"/>
      <c r="G173" s="82" t="n"/>
      <c r="H173" s="82" t="n"/>
      <c r="I173" s="82" t="n"/>
      <c r="J173" s="82" t="n"/>
      <c r="K173" s="82" t="n"/>
      <c r="L173" s="82" t="n"/>
    </row>
    <row r="174">
      <c r="A174" s="82" t="n"/>
      <c r="B174" s="82" t="n"/>
      <c r="C174" s="82" t="n"/>
      <c r="D174" s="82" t="n"/>
      <c r="E174" s="82" t="n"/>
      <c r="F174" s="82" t="n"/>
      <c r="G174" s="82" t="n"/>
      <c r="H174" s="82" t="n"/>
      <c r="I174" s="82" t="n"/>
      <c r="J174" s="82" t="n"/>
      <c r="K174" s="82" t="n"/>
      <c r="L174" s="82" t="n"/>
    </row>
    <row r="175">
      <c r="A175" s="82" t="n"/>
      <c r="B175" s="82" t="n"/>
      <c r="C175" s="82" t="n"/>
      <c r="D175" s="82" t="n"/>
      <c r="E175" s="82" t="n"/>
      <c r="F175" s="82" t="n"/>
      <c r="G175" s="82" t="n"/>
      <c r="H175" s="82" t="n"/>
      <c r="I175" s="82" t="n"/>
      <c r="J175" s="82" t="n"/>
      <c r="K175" s="82" t="n"/>
      <c r="L175" s="82" t="n"/>
    </row>
    <row r="176">
      <c r="A176" s="82" t="n"/>
      <c r="B176" s="82" t="n"/>
      <c r="C176" s="82" t="n"/>
      <c r="D176" s="82" t="n"/>
      <c r="E176" s="82" t="n"/>
      <c r="F176" s="82" t="n"/>
      <c r="G176" s="82" t="n"/>
      <c r="H176" s="82" t="n"/>
      <c r="I176" s="82" t="n"/>
      <c r="J176" s="82" t="n"/>
      <c r="K176" s="82" t="n"/>
      <c r="L176" s="82" t="n"/>
    </row>
    <row r="177">
      <c r="A177" s="82" t="n"/>
      <c r="B177" s="82" t="n"/>
      <c r="C177" s="82" t="n"/>
      <c r="D177" s="82" t="n"/>
      <c r="E177" s="82" t="n"/>
      <c r="F177" s="82" t="n"/>
      <c r="G177" s="82" t="n"/>
      <c r="H177" s="82" t="n"/>
      <c r="I177" s="82" t="n"/>
      <c r="J177" s="82" t="n"/>
      <c r="K177" s="82" t="n"/>
      <c r="L177" s="82" t="n"/>
    </row>
    <row r="178">
      <c r="A178" s="82" t="n"/>
      <c r="B178" s="82" t="n"/>
      <c r="C178" s="82" t="n"/>
      <c r="D178" s="82" t="n"/>
      <c r="E178" s="82" t="n"/>
      <c r="F178" s="82" t="n"/>
      <c r="G178" s="82" t="n"/>
      <c r="H178" s="82" t="n"/>
      <c r="I178" s="82" t="n"/>
      <c r="J178" s="82" t="n"/>
      <c r="K178" s="82" t="n"/>
      <c r="L178" s="82" t="n"/>
    </row>
    <row r="179">
      <c r="A179" s="82" t="n"/>
      <c r="B179" s="82" t="n"/>
      <c r="C179" s="82" t="n"/>
      <c r="D179" s="82" t="n"/>
      <c r="E179" s="82" t="n"/>
      <c r="F179" s="82" t="n"/>
      <c r="G179" s="82" t="n"/>
      <c r="H179" s="82" t="n"/>
      <c r="I179" s="82" t="n"/>
      <c r="J179" s="82" t="n"/>
      <c r="K179" s="82" t="n"/>
      <c r="L179" s="82" t="n"/>
    </row>
    <row r="180">
      <c r="A180" s="82" t="n"/>
      <c r="B180" s="82" t="n"/>
      <c r="C180" s="82" t="n"/>
      <c r="D180" s="82" t="n"/>
      <c r="E180" s="82" t="n"/>
      <c r="F180" s="82" t="n"/>
      <c r="G180" s="82" t="n"/>
      <c r="H180" s="82" t="n"/>
      <c r="I180" s="82" t="n"/>
      <c r="J180" s="82" t="n"/>
      <c r="K180" s="82" t="n"/>
      <c r="L180" s="82" t="n"/>
    </row>
    <row r="181">
      <c r="A181" s="82" t="n"/>
      <c r="B181" s="82" t="n"/>
      <c r="C181" s="82" t="n"/>
      <c r="D181" s="82" t="n"/>
      <c r="E181" s="82" t="n"/>
      <c r="F181" s="82" t="n"/>
      <c r="G181" s="82" t="n"/>
      <c r="H181" s="82" t="n"/>
      <c r="I181" s="82" t="n"/>
      <c r="J181" s="82" t="n"/>
      <c r="K181" s="82" t="n"/>
      <c r="L181" s="82" t="n"/>
    </row>
    <row r="182">
      <c r="A182" s="82" t="n"/>
      <c r="B182" s="82" t="n"/>
      <c r="C182" s="82" t="n"/>
      <c r="D182" s="82" t="n"/>
      <c r="E182" s="82" t="n"/>
      <c r="F182" s="82" t="n"/>
      <c r="G182" s="82" t="n"/>
      <c r="H182" s="82" t="n"/>
      <c r="I182" s="82" t="n"/>
      <c r="J182" s="82" t="n"/>
      <c r="K182" s="82" t="n"/>
      <c r="L182" s="82" t="n"/>
    </row>
    <row r="183">
      <c r="A183" s="82" t="n"/>
      <c r="B183" s="82" t="n"/>
      <c r="C183" s="82" t="n"/>
      <c r="D183" s="82" t="n"/>
      <c r="E183" s="82" t="n"/>
      <c r="F183" s="82" t="n"/>
      <c r="G183" s="82" t="n"/>
      <c r="H183" s="82" t="n"/>
      <c r="I183" s="82" t="n"/>
      <c r="J183" s="82" t="n"/>
      <c r="K183" s="82" t="n"/>
      <c r="L183" s="82" t="n"/>
    </row>
    <row r="184">
      <c r="A184" s="82" t="n"/>
      <c r="B184" s="82" t="n"/>
      <c r="C184" s="82" t="n"/>
      <c r="D184" s="82" t="n"/>
      <c r="E184" s="82" t="n"/>
      <c r="F184" s="82" t="n"/>
      <c r="G184" s="82" t="n"/>
      <c r="H184" s="82" t="n"/>
      <c r="I184" s="82" t="n"/>
      <c r="J184" s="82" t="n"/>
      <c r="K184" s="82" t="n"/>
      <c r="L184" s="82" t="n"/>
    </row>
    <row r="185">
      <c r="A185" s="82" t="n"/>
      <c r="B185" s="82" t="n"/>
      <c r="C185" s="82" t="n"/>
      <c r="D185" s="82" t="n"/>
      <c r="E185" s="82" t="n"/>
      <c r="F185" s="82" t="n"/>
      <c r="G185" s="82" t="n"/>
      <c r="H185" s="82" t="n"/>
      <c r="I185" s="82" t="n"/>
      <c r="J185" s="82" t="n"/>
      <c r="K185" s="82" t="n"/>
      <c r="L185" s="82" t="n"/>
    </row>
    <row r="186">
      <c r="A186" s="82" t="n"/>
      <c r="B186" s="82" t="n"/>
      <c r="C186" s="82" t="n"/>
      <c r="D186" s="82" t="n"/>
      <c r="E186" s="82" t="n"/>
      <c r="F186" s="82" t="n"/>
      <c r="G186" s="82" t="n"/>
      <c r="H186" s="82" t="n"/>
      <c r="I186" s="82" t="n"/>
      <c r="J186" s="82" t="n"/>
      <c r="K186" s="82" t="n"/>
      <c r="L186" s="82" t="n"/>
    </row>
    <row r="187">
      <c r="A187" s="82" t="n"/>
      <c r="B187" s="82" t="n"/>
      <c r="C187" s="82" t="n"/>
      <c r="D187" s="82" t="n"/>
      <c r="E187" s="82" t="n"/>
      <c r="F187" s="82" t="n"/>
      <c r="G187" s="82" t="n"/>
      <c r="H187" s="82" t="n"/>
      <c r="I187" s="82" t="n"/>
      <c r="J187" s="82" t="n"/>
      <c r="K187" s="82" t="n"/>
      <c r="L187" s="82" t="n"/>
    </row>
    <row r="188">
      <c r="A188" s="82" t="n"/>
      <c r="B188" s="82" t="n"/>
      <c r="C188" s="82" t="n"/>
      <c r="D188" s="82" t="n"/>
      <c r="E188" s="82" t="n"/>
      <c r="F188" s="82" t="n"/>
      <c r="G188" s="82" t="n"/>
      <c r="H188" s="82" t="n"/>
      <c r="I188" s="82" t="n"/>
      <c r="J188" s="82" t="n"/>
      <c r="K188" s="82" t="n"/>
      <c r="L188" s="82" t="n"/>
    </row>
    <row r="189">
      <c r="A189" s="82" t="n"/>
      <c r="B189" s="82" t="n"/>
      <c r="C189" s="82" t="n"/>
      <c r="D189" s="82" t="n"/>
      <c r="E189" s="82" t="n"/>
      <c r="F189" s="82" t="n"/>
      <c r="G189" s="82" t="n"/>
      <c r="H189" s="82" t="n"/>
      <c r="I189" s="82" t="n"/>
      <c r="J189" s="82" t="n"/>
      <c r="K189" s="82" t="n"/>
      <c r="L189" s="82" t="n"/>
    </row>
    <row r="190">
      <c r="A190" s="82" t="n"/>
      <c r="B190" s="82" t="n"/>
      <c r="C190" s="82" t="n"/>
      <c r="D190" s="82" t="n"/>
      <c r="E190" s="82" t="n"/>
      <c r="F190" s="82" t="n"/>
      <c r="G190" s="82" t="n"/>
      <c r="H190" s="82" t="n"/>
      <c r="I190" s="82" t="n"/>
      <c r="J190" s="82" t="n"/>
      <c r="K190" s="82" t="n"/>
      <c r="L190" s="82" t="n"/>
    </row>
    <row r="191">
      <c r="A191" s="82" t="n"/>
      <c r="B191" s="82" t="n"/>
      <c r="C191" s="82" t="n"/>
      <c r="D191" s="82" t="n"/>
      <c r="E191" s="82" t="n"/>
      <c r="F191" s="82" t="n"/>
      <c r="G191" s="82" t="n"/>
      <c r="H191" s="82" t="n"/>
      <c r="I191" s="82" t="n"/>
      <c r="J191" s="82" t="n"/>
      <c r="K191" s="82" t="n"/>
      <c r="L191" s="82" t="n"/>
    </row>
    <row r="192">
      <c r="A192" s="82" t="n"/>
      <c r="B192" s="82" t="n"/>
      <c r="C192" s="82" t="n"/>
      <c r="D192" s="82" t="n"/>
      <c r="E192" s="82" t="n"/>
      <c r="F192" s="82" t="n"/>
      <c r="G192" s="82" t="n"/>
      <c r="H192" s="82" t="n"/>
      <c r="I192" s="82" t="n"/>
      <c r="J192" s="82" t="n"/>
      <c r="K192" s="82" t="n"/>
      <c r="L192" s="82" t="n"/>
    </row>
    <row r="193">
      <c r="A193" s="82" t="n"/>
      <c r="B193" s="82" t="n"/>
      <c r="C193" s="82" t="n"/>
      <c r="D193" s="82" t="n"/>
      <c r="E193" s="82" t="n"/>
      <c r="F193" s="82" t="n"/>
      <c r="G193" s="82" t="n"/>
      <c r="H193" s="82" t="n"/>
      <c r="I193" s="82" t="n"/>
      <c r="J193" s="82" t="n"/>
      <c r="K193" s="82" t="n"/>
      <c r="L193" s="82" t="n"/>
    </row>
    <row r="194">
      <c r="A194" s="82" t="n"/>
      <c r="B194" s="82" t="n"/>
      <c r="C194" s="82" t="n"/>
      <c r="D194" s="82" t="n"/>
      <c r="E194" s="82" t="n"/>
      <c r="F194" s="82" t="n"/>
      <c r="G194" s="82" t="n"/>
      <c r="H194" s="82" t="n"/>
      <c r="I194" s="82" t="n"/>
      <c r="J194" s="82" t="n"/>
      <c r="K194" s="82" t="n"/>
      <c r="L194" s="82" t="n"/>
    </row>
    <row r="195">
      <c r="A195" s="82" t="n"/>
      <c r="B195" s="82" t="n"/>
      <c r="C195" s="82" t="n"/>
      <c r="D195" s="82" t="n"/>
      <c r="E195" s="82" t="n"/>
      <c r="F195" s="82" t="n"/>
      <c r="G195" s="82" t="n"/>
      <c r="H195" s="82" t="n"/>
      <c r="I195" s="82" t="n"/>
      <c r="J195" s="82" t="n"/>
      <c r="K195" s="82" t="n"/>
      <c r="L195" s="82" t="n"/>
    </row>
    <row r="196">
      <c r="A196" s="82" t="n"/>
      <c r="B196" s="82" t="n"/>
      <c r="C196" s="82" t="n"/>
      <c r="D196" s="82" t="n"/>
      <c r="E196" s="82" t="n"/>
      <c r="F196" s="82" t="n"/>
      <c r="G196" s="82" t="n"/>
      <c r="H196" s="82" t="n"/>
      <c r="I196" s="82" t="n"/>
      <c r="J196" s="82" t="n"/>
      <c r="K196" s="82" t="n"/>
      <c r="L196" s="82" t="n"/>
    </row>
    <row r="197">
      <c r="A197" s="82" t="n"/>
      <c r="B197" s="82" t="n"/>
      <c r="C197" s="82" t="n"/>
      <c r="D197" s="82" t="n"/>
      <c r="E197" s="82" t="n"/>
      <c r="F197" s="82" t="n"/>
      <c r="G197" s="82" t="n"/>
      <c r="H197" s="82" t="n"/>
      <c r="I197" s="82" t="n"/>
      <c r="J197" s="82" t="n"/>
      <c r="K197" s="82" t="n"/>
      <c r="L197" s="82" t="n"/>
    </row>
    <row r="198">
      <c r="A198" s="82" t="n"/>
      <c r="B198" s="82" t="n"/>
      <c r="C198" s="82" t="n"/>
      <c r="D198" s="82" t="n"/>
      <c r="E198" s="82" t="n"/>
      <c r="F198" s="82" t="n"/>
      <c r="G198" s="82" t="n"/>
      <c r="H198" s="82" t="n"/>
      <c r="I198" s="82" t="n"/>
      <c r="J198" s="82" t="n"/>
      <c r="K198" s="82" t="n"/>
      <c r="L198" s="82" t="n"/>
    </row>
    <row r="199">
      <c r="A199" s="82" t="n"/>
      <c r="B199" s="82" t="n"/>
      <c r="C199" s="82" t="n"/>
      <c r="D199" s="82" t="n"/>
      <c r="E199" s="82" t="n"/>
      <c r="F199" s="82" t="n"/>
      <c r="G199" s="82" t="n"/>
      <c r="H199" s="82" t="n"/>
      <c r="I199" s="82" t="n"/>
      <c r="J199" s="82" t="n"/>
      <c r="K199" s="82" t="n"/>
      <c r="L199" s="82" t="n"/>
    </row>
    <row r="200">
      <c r="A200" s="82" t="n"/>
      <c r="B200" s="82" t="n"/>
      <c r="C200" s="82" t="n"/>
      <c r="D200" s="82" t="n"/>
      <c r="E200" s="82" t="n"/>
      <c r="F200" s="82" t="n"/>
      <c r="G200" s="82" t="n"/>
      <c r="H200" s="82" t="n"/>
      <c r="I200" s="82" t="n"/>
      <c r="J200" s="82" t="n"/>
      <c r="K200" s="82" t="n"/>
      <c r="L200" s="82" t="n"/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autoFilter ref="A4:L39"/>
  <mergeCells count="2">
    <mergeCell ref="A2:L2"/>
    <mergeCell ref="A1:L1"/>
  </mergeCells>
  <conditionalFormatting sqref="J5:J80">
    <cfRule type="expression" priority="1" dxfId="0">
      <formula>J5="Paid"</formula>
    </cfRule>
    <cfRule type="expression" priority="2" dxfId="2">
      <formula>J5="Committed"</formula>
    </cfRule>
    <cfRule type="expression" priority="3" dxfId="1">
      <formula>J5="Planned"</formula>
    </cfRule>
    <cfRule type="expression" priority="4" dxfId="8">
      <formula>J5="Void"</formula>
    </cfRule>
  </conditionalFormatting>
  <conditionalFormatting sqref="H5:H200">
    <cfRule type="colorScale" priority="5">
      <colorScale>
        <cfvo type="min"/>
        <cfvo type="percentile" val="50"/>
        <cfvo type="max"/>
        <color rgb="00F8F6F1"/>
        <color rgb="00E8B09A"/>
        <color rgb="00C86B4A"/>
      </colorScale>
    </cfRule>
  </conditionalFormatting>
  <dataValidations count="3">
    <dataValidation sqref="E5:E500" showDropDown="0" showInputMessage="0" showErrorMessage="1" allowBlank="1" errorTitle="Invalid value" error="Pick a value from the list." type="list">
      <formula1>=Budget_Category</formula1>
    </dataValidation>
    <dataValidation sqref="I5:I500" showDropDown="0" showInputMessage="0" showErrorMessage="1" allowBlank="1" errorTitle="Invalid value" error="Pick a value from the list." type="list">
      <formula1>=Payment_Method</formula1>
    </dataValidation>
    <dataValidation sqref="J5:J500" showDropDown="0" showInputMessage="0" showErrorMessage="1" allowBlank="1" errorTitle="Invalid value" error="Pick a value from the list." type="list">
      <formula1>=Expense_Status</formula1>
    </dataValidation>
  </dataValidations>
  <pageMargins left="0.4" right="0.4" top="0.6" bottom="0.5" header="0.25" footer="0.25"/>
  <pageSetup orientation="landscape" paperSize="3" fitToHeight="0" fitToWidth="1"/>
  <headerFooter>
    <oddHeader>&amp;LNovality Store  ·  Home Renovation System&amp;RExpenses</oddHeader>
    <oddFooter>&amp;LConfidential  ·  Digital twin of the home&amp;RPage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719B7A"/>
    <outlinePr summaryBelow="1" summaryRight="1"/>
    <pageSetUpPr fitToPage="1"/>
  </sheetPr>
  <dimension ref="A1:N3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28" customHeight="1">
      <c r="A1" s="1" t="inlineStr">
        <is>
          <t>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8" customHeight="1">
      <c r="A2" s="3" t="inlineStr">
        <is>
          <t>Financial dashboard  ·  planned vs actual, by room, by category, by month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 ht="16" customHeight="1">
      <c r="A5" s="30" t="inlineStr">
        <is>
          <t>BUDGET (active project)</t>
        </is>
      </c>
      <c r="B5" s="31" t="n"/>
      <c r="C5" s="5" t="n"/>
      <c r="D5" s="28" t="inlineStr">
        <is>
          <t>SPENT</t>
        </is>
      </c>
      <c r="E5" s="29" t="n"/>
      <c r="F5" s="5" t="n"/>
      <c r="G5" s="39" t="inlineStr">
        <is>
          <t>COMMITTED</t>
        </is>
      </c>
      <c r="H5" s="40" t="n"/>
      <c r="I5" s="5" t="n"/>
      <c r="J5" s="41" t="inlineStr">
        <is>
          <t>REMAINING</t>
        </is>
      </c>
      <c r="K5" s="42" t="n"/>
      <c r="L5" s="5" t="n"/>
      <c r="M5" s="5" t="n"/>
      <c r="N5" s="5" t="n"/>
    </row>
    <row r="6" ht="28" customHeight="1">
      <c r="A6" s="35">
        <f>IFERROR(SUMIF(Projects!A:A,ActiveProject,Projects!J:J),0)</f>
        <v/>
      </c>
      <c r="B6" s="33" t="n"/>
      <c r="C6" s="5" t="n"/>
      <c r="D6" s="36">
        <f>IFERROR(SUMIFS(Expenses!H:H,Expenses!C:C,ActiveProject,Expenses!J:J,"Paid"),0)</f>
        <v/>
      </c>
      <c r="E6" s="33" t="n"/>
      <c r="F6" s="5" t="n"/>
      <c r="G6" s="45">
        <f>IFERROR(SUMIFS(Expenses!H:H,Expenses!C:C,ActiveProject,Expenses!J:J,"Committed"),0)</f>
        <v/>
      </c>
      <c r="H6" s="33" t="n"/>
      <c r="I6" s="5" t="n"/>
      <c r="J6" s="46">
        <f>A6-D6-G6</f>
        <v/>
      </c>
      <c r="K6" s="33" t="n"/>
      <c r="L6" s="5" t="n"/>
      <c r="M6" s="5" t="n"/>
      <c r="N6" s="5" t="n"/>
    </row>
    <row r="7" ht="16" customHeight="1">
      <c r="A7" s="38" t="inlineStr">
        <is>
          <t>Total planned</t>
        </is>
      </c>
      <c r="B7" s="33" t="n"/>
      <c r="C7" s="5" t="n"/>
      <c r="D7" s="37" t="inlineStr">
        <is>
          <t>Paid to date</t>
        </is>
      </c>
      <c r="E7" s="33" t="n"/>
      <c r="F7" s="5" t="n"/>
      <c r="G7" s="48" t="inlineStr">
        <is>
          <t>Approved, not yet paid</t>
        </is>
      </c>
      <c r="H7" s="33" t="n"/>
      <c r="I7" s="5" t="n"/>
      <c r="J7" s="49" t="inlineStr">
        <is>
          <t>Budget − spent − committed</t>
        </is>
      </c>
      <c r="K7" s="33" t="n"/>
      <c r="L7" s="5" t="n"/>
      <c r="M7" s="5" t="n"/>
      <c r="N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 ht="16" customHeight="1">
      <c r="A9" s="28" t="inlineStr">
        <is>
          <t>% USED</t>
        </is>
      </c>
      <c r="B9" s="29" t="n"/>
      <c r="D9" s="39" t="inlineStr">
        <is>
          <t>CONTINGENCY LEFT</t>
        </is>
      </c>
      <c r="E9" s="40" t="n"/>
      <c r="G9" s="30" t="inlineStr">
        <is>
          <t>THIS MONTH SPENT</t>
        </is>
      </c>
      <c r="H9" s="31" t="n"/>
      <c r="J9" s="41" t="inlineStr">
        <is>
          <t>HEALTH</t>
        </is>
      </c>
      <c r="K9" s="42" t="n"/>
    </row>
    <row r="10" ht="28" customHeight="1">
      <c r="A10" s="94">
        <f>IFERROR((D6+G6)/A6,0)</f>
        <v/>
      </c>
      <c r="B10" s="33" t="n"/>
      <c r="D10" s="45">
        <f>IFERROR(SUMIFS(Budget!I:I,Budget!B:B,ActiveProject,Budget!D:D,"Contingency"),0)</f>
        <v/>
      </c>
      <c r="E10" s="33" t="n"/>
      <c r="G10" s="35">
        <f>SUMIFS(Expenses!H:H,Expenses!C:C,ActiveProject,Expenses!J:J,"Paid",Expenses!B:B,"&gt;="&amp;DATE(YEAR(AsOfDate),MONTH(AsOfDate),1),Expenses!B:B,"&lt;"&amp;DATE(YEAR(AsOfDate),MONTH(AsOfDate)+1,1))</f>
        <v/>
      </c>
      <c r="H10" s="33" t="n"/>
      <c r="J10" s="95">
        <f>IF((D6+G6)&gt;A6*(1+OverrunAlert),"OVER",IF((D6+G6)&gt;A6,"WATCH","ON TRACK"))</f>
        <v/>
      </c>
      <c r="K10" s="33" t="n"/>
    </row>
    <row r="11" ht="16" customHeight="1">
      <c r="A11" s="37" t="inlineStr">
        <is>
          <t>Spent + committed</t>
        </is>
      </c>
      <c r="B11" s="33" t="n"/>
      <c r="D11" s="48" t="inlineStr">
        <is>
          <t>Watch the 10% floor</t>
        </is>
      </c>
      <c r="E11" s="33" t="n"/>
      <c r="G11" s="38" t="inlineStr">
        <is>
          <t>Paid in current month</t>
        </is>
      </c>
      <c r="H11" s="33" t="n"/>
      <c r="J11" s="49" t="inlineStr">
        <is>
          <t>Vs overrun threshold</t>
        </is>
      </c>
      <c r="K11" s="33" t="n"/>
    </row>
    <row r="12"/>
    <row r="13">
      <c r="A13" s="8" t="inlineStr">
        <is>
          <t>Cost by category</t>
        </is>
      </c>
      <c r="B13" s="5" t="n"/>
      <c r="C13" s="5" t="n"/>
      <c r="D13" s="5" t="n"/>
      <c r="E13" s="5" t="n"/>
      <c r="F13" s="5" t="n"/>
      <c r="H13" s="8" t="inlineStr">
        <is>
          <t>Cost by room (active project)</t>
        </is>
      </c>
      <c r="I13" s="5" t="n"/>
      <c r="J13" s="5" t="n"/>
      <c r="K13" s="5" t="n"/>
      <c r="L13" s="5" t="n"/>
      <c r="M13" s="5" t="n"/>
    </row>
    <row r="14">
      <c r="A14" s="96" t="inlineStr">
        <is>
          <t>Category</t>
        </is>
      </c>
      <c r="B14" s="96" t="inlineStr">
        <is>
          <t>Planned</t>
        </is>
      </c>
      <c r="C14" s="96" t="inlineStr">
        <is>
          <t>Spent</t>
        </is>
      </c>
      <c r="D14" s="96" t="inlineStr">
        <is>
          <t>Committed</t>
        </is>
      </c>
      <c r="E14" s="96" t="inlineStr">
        <is>
          <t>Remaining</t>
        </is>
      </c>
      <c r="F14" s="96" t="inlineStr">
        <is>
          <t>% Used</t>
        </is>
      </c>
      <c r="H14" s="96" t="inlineStr">
        <is>
          <t>Room</t>
        </is>
      </c>
      <c r="I14" s="96" t="inlineStr">
        <is>
          <t>Budget</t>
        </is>
      </c>
      <c r="J14" s="96" t="inlineStr">
        <is>
          <t>Spent</t>
        </is>
      </c>
      <c r="K14" s="96" t="inlineStr">
        <is>
          <t>Committed</t>
        </is>
      </c>
      <c r="L14" s="96" t="inlineStr">
        <is>
          <t>Remaining</t>
        </is>
      </c>
      <c r="M14" s="96" t="inlineStr">
        <is>
          <t>% Used</t>
        </is>
      </c>
    </row>
    <row r="15">
      <c r="A15" s="97" t="inlineStr">
        <is>
          <t>Labor</t>
        </is>
      </c>
      <c r="B15" s="98">
        <f>SUMIFS(Budget!F:F,Budget!B:B,ActiveProject,Budget!D:D,A15)</f>
        <v/>
      </c>
      <c r="C15" s="98">
        <f>SUMIFS(Expenses!H:H,Expenses!C:C,ActiveProject,Expenses!E:E,A15,Expenses!J:J,"Paid")</f>
        <v/>
      </c>
      <c r="D15" s="98">
        <f>SUMIFS(Expenses!H:H,Expenses!C:C,ActiveProject,Expenses!E:E,A15,Expenses!J:J,"Committed")</f>
        <v/>
      </c>
      <c r="E15" s="98">
        <f>B15-C15-D15</f>
        <v/>
      </c>
      <c r="F15" s="99">
        <f>IF(B15=0,"",(C15+D15)/B15)</f>
        <v/>
      </c>
      <c r="H15" s="97" t="inlineStr">
        <is>
          <t>Kitchen</t>
        </is>
      </c>
      <c r="I15" s="98">
        <f>SUMIF(Rooms!A:A,"RM-01",Rooms!K:K)</f>
        <v/>
      </c>
      <c r="J15" s="98">
        <f>SUMIFS(Expenses!H:H,Expenses!D:D,"RM-01",Expenses!J:J,"Paid")</f>
        <v/>
      </c>
      <c r="K15" s="98">
        <f>SUMIFS(Expenses!H:H,Expenses!D:D,"RM-01",Expenses!J:J,"Committed")</f>
        <v/>
      </c>
      <c r="L15" s="98">
        <f>I15-J15-K15</f>
        <v/>
      </c>
      <c r="M15" s="99">
        <f>IF(I15=0,"",(J15+K15)/I15)</f>
        <v/>
      </c>
    </row>
    <row r="16">
      <c r="A16" s="100" t="inlineStr">
        <is>
          <t>Materials</t>
        </is>
      </c>
      <c r="B16" s="101">
        <f>SUMIFS(Budget!F:F,Budget!B:B,ActiveProject,Budget!D:D,A16)</f>
        <v/>
      </c>
      <c r="C16" s="101">
        <f>SUMIFS(Expenses!H:H,Expenses!C:C,ActiveProject,Expenses!E:E,A16,Expenses!J:J,"Paid")</f>
        <v/>
      </c>
      <c r="D16" s="101">
        <f>SUMIFS(Expenses!H:H,Expenses!C:C,ActiveProject,Expenses!E:E,A16,Expenses!J:J,"Committed")</f>
        <v/>
      </c>
      <c r="E16" s="101">
        <f>B16-C16-D16</f>
        <v/>
      </c>
      <c r="F16" s="102">
        <f>IF(B16=0,"",(C16+D16)/B16)</f>
        <v/>
      </c>
      <c r="H16" s="100" t="inlineStr">
        <is>
          <t>Living Room</t>
        </is>
      </c>
      <c r="I16" s="101">
        <f>SUMIF(Rooms!A:A,"RM-02",Rooms!K:K)</f>
        <v/>
      </c>
      <c r="J16" s="101">
        <f>SUMIFS(Expenses!H:H,Expenses!D:D,"RM-02",Expenses!J:J,"Paid")</f>
        <v/>
      </c>
      <c r="K16" s="101">
        <f>SUMIFS(Expenses!H:H,Expenses!D:D,"RM-02",Expenses!J:J,"Committed")</f>
        <v/>
      </c>
      <c r="L16" s="101">
        <f>I16-J16-K16</f>
        <v/>
      </c>
      <c r="M16" s="102">
        <f>IF(I16=0,"",(J16+K16)/I16)</f>
        <v/>
      </c>
    </row>
    <row r="17">
      <c r="A17" s="97" t="inlineStr">
        <is>
          <t>Design</t>
        </is>
      </c>
      <c r="B17" s="98">
        <f>SUMIFS(Budget!F:F,Budget!B:B,ActiveProject,Budget!D:D,A17)</f>
        <v/>
      </c>
      <c r="C17" s="98">
        <f>SUMIFS(Expenses!H:H,Expenses!C:C,ActiveProject,Expenses!E:E,A17,Expenses!J:J,"Paid")</f>
        <v/>
      </c>
      <c r="D17" s="98">
        <f>SUMIFS(Expenses!H:H,Expenses!C:C,ActiveProject,Expenses!E:E,A17,Expenses!J:J,"Committed")</f>
        <v/>
      </c>
      <c r="E17" s="98">
        <f>B17-C17-D17</f>
        <v/>
      </c>
      <c r="F17" s="99">
        <f>IF(B17=0,"",(C17+D17)/B17)</f>
        <v/>
      </c>
      <c r="H17" s="97" t="inlineStr">
        <is>
          <t>Primary Bathroom</t>
        </is>
      </c>
      <c r="I17" s="98">
        <f>SUMIF(Rooms!A:A,"RM-03",Rooms!K:K)</f>
        <v/>
      </c>
      <c r="J17" s="98">
        <f>SUMIFS(Expenses!H:H,Expenses!D:D,"RM-03",Expenses!J:J,"Paid")</f>
        <v/>
      </c>
      <c r="K17" s="98">
        <f>SUMIFS(Expenses!H:H,Expenses!D:D,"RM-03",Expenses!J:J,"Committed")</f>
        <v/>
      </c>
      <c r="L17" s="98">
        <f>I17-J17-K17</f>
        <v/>
      </c>
      <c r="M17" s="99">
        <f>IF(I17=0,"",(J17+K17)/I17)</f>
        <v/>
      </c>
    </row>
    <row r="18">
      <c r="A18" s="100" t="inlineStr">
        <is>
          <t>Permits</t>
        </is>
      </c>
      <c r="B18" s="101">
        <f>SUMIFS(Budget!F:F,Budget!B:B,ActiveProject,Budget!D:D,A18)</f>
        <v/>
      </c>
      <c r="C18" s="101">
        <f>SUMIFS(Expenses!H:H,Expenses!C:C,ActiveProject,Expenses!E:E,A18,Expenses!J:J,"Paid")</f>
        <v/>
      </c>
      <c r="D18" s="101">
        <f>SUMIFS(Expenses!H:H,Expenses!C:C,ActiveProject,Expenses!E:E,A18,Expenses!J:J,"Committed")</f>
        <v/>
      </c>
      <c r="E18" s="101">
        <f>B18-C18-D18</f>
        <v/>
      </c>
      <c r="F18" s="102">
        <f>IF(B18=0,"",(C18+D18)/B18)</f>
        <v/>
      </c>
      <c r="H18" s="100" t="inlineStr">
        <is>
          <t>Guest Bedroom</t>
        </is>
      </c>
      <c r="I18" s="101">
        <f>SUMIF(Rooms!A:A,"RM-04",Rooms!K:K)</f>
        <v/>
      </c>
      <c r="J18" s="101">
        <f>SUMIFS(Expenses!H:H,Expenses!D:D,"RM-04",Expenses!J:J,"Paid")</f>
        <v/>
      </c>
      <c r="K18" s="101">
        <f>SUMIFS(Expenses!H:H,Expenses!D:D,"RM-04",Expenses!J:J,"Committed")</f>
        <v/>
      </c>
      <c r="L18" s="101">
        <f>I18-J18-K18</f>
        <v/>
      </c>
      <c r="M18" s="102">
        <f>IF(I18=0,"",(J18+K18)/I18)</f>
        <v/>
      </c>
    </row>
    <row r="19">
      <c r="A19" s="97" t="inlineStr">
        <is>
          <t>Delivery</t>
        </is>
      </c>
      <c r="B19" s="98">
        <f>SUMIFS(Budget!F:F,Budget!B:B,ActiveProject,Budget!D:D,A19)</f>
        <v/>
      </c>
      <c r="C19" s="98">
        <f>SUMIFS(Expenses!H:H,Expenses!C:C,ActiveProject,Expenses!E:E,A19,Expenses!J:J,"Paid")</f>
        <v/>
      </c>
      <c r="D19" s="98">
        <f>SUMIFS(Expenses!H:H,Expenses!C:C,ActiveProject,Expenses!E:E,A19,Expenses!J:J,"Committed")</f>
        <v/>
      </c>
      <c r="E19" s="98">
        <f>B19-C19-D19</f>
        <v/>
      </c>
      <c r="F19" s="99">
        <f>IF(B19=0,"",(C19+D19)/B19)</f>
        <v/>
      </c>
      <c r="H19" s="97" t="inlineStr">
        <is>
          <t>Dining Room</t>
        </is>
      </c>
      <c r="I19" s="98">
        <f>SUMIF(Rooms!A:A,"RM-05",Rooms!K:K)</f>
        <v/>
      </c>
      <c r="J19" s="98">
        <f>SUMIFS(Expenses!H:H,Expenses!D:D,"RM-05",Expenses!J:J,"Paid")</f>
        <v/>
      </c>
      <c r="K19" s="98">
        <f>SUMIFS(Expenses!H:H,Expenses!D:D,"RM-05",Expenses!J:J,"Committed")</f>
        <v/>
      </c>
      <c r="L19" s="98">
        <f>I19-J19-K19</f>
        <v/>
      </c>
      <c r="M19" s="99">
        <f>IF(I19=0,"",(J19+K19)/I19)</f>
        <v/>
      </c>
    </row>
    <row r="20">
      <c r="A20" s="100" t="inlineStr">
        <is>
          <t>Contingency</t>
        </is>
      </c>
      <c r="B20" s="101">
        <f>SUMIFS(Budget!F:F,Budget!B:B,ActiveProject,Budget!D:D,A20)</f>
        <v/>
      </c>
      <c r="C20" s="101">
        <f>SUMIFS(Expenses!H:H,Expenses!C:C,ActiveProject,Expenses!E:E,A20,Expenses!J:J,"Paid")</f>
        <v/>
      </c>
      <c r="D20" s="101">
        <f>SUMIFS(Expenses!H:H,Expenses!C:C,ActiveProject,Expenses!E:E,A20,Expenses!J:J,"Committed")</f>
        <v/>
      </c>
      <c r="E20" s="101">
        <f>B20-C20-D20</f>
        <v/>
      </c>
      <c r="F20" s="102">
        <f>IF(B20=0,"",(C20+D20)/B20)</f>
        <v/>
      </c>
      <c r="H20" s="100" t="inlineStr">
        <is>
          <t>Exterior / Garden</t>
        </is>
      </c>
      <c r="I20" s="101">
        <f>SUMIF(Rooms!A:A,"RM-06",Rooms!K:K)</f>
        <v/>
      </c>
      <c r="J20" s="101">
        <f>SUMIFS(Expenses!H:H,Expenses!D:D,"RM-06",Expenses!J:J,"Paid")</f>
        <v/>
      </c>
      <c r="K20" s="101">
        <f>SUMIFS(Expenses!H:H,Expenses!D:D,"RM-06",Expenses!J:J,"Committed")</f>
        <v/>
      </c>
      <c r="L20" s="101">
        <f>I20-J20-K20</f>
        <v/>
      </c>
      <c r="M20" s="102">
        <f>IF(I20=0,"",(J20+K20)/I20)</f>
        <v/>
      </c>
    </row>
    <row r="21">
      <c r="A21" s="97" t="inlineStr">
        <is>
          <t>Appliances</t>
        </is>
      </c>
      <c r="B21" s="98">
        <f>SUMIFS(Budget!F:F,Budget!B:B,ActiveProject,Budget!D:D,A21)</f>
        <v/>
      </c>
      <c r="C21" s="98">
        <f>SUMIFS(Expenses!H:H,Expenses!C:C,ActiveProject,Expenses!E:E,A21,Expenses!J:J,"Paid")</f>
        <v/>
      </c>
      <c r="D21" s="98">
        <f>SUMIFS(Expenses!H:H,Expenses!C:C,ActiveProject,Expenses!E:E,A21,Expenses!J:J,"Committed")</f>
        <v/>
      </c>
      <c r="E21" s="98">
        <f>B21-C21-D21</f>
        <v/>
      </c>
      <c r="F21" s="99">
        <f>IF(B21=0,"",(C21+D21)/B21)</f>
        <v/>
      </c>
      <c r="H21" s="97" t="inlineStr">
        <is>
          <t>Laundry</t>
        </is>
      </c>
      <c r="I21" s="98">
        <f>SUMIF(Rooms!A:A,"RM-07",Rooms!K:K)</f>
        <v/>
      </c>
      <c r="J21" s="98">
        <f>SUMIFS(Expenses!H:H,Expenses!D:D,"RM-07",Expenses!J:J,"Paid")</f>
        <v/>
      </c>
      <c r="K21" s="98">
        <f>SUMIFS(Expenses!H:H,Expenses!D:D,"RM-07",Expenses!J:J,"Committed")</f>
        <v/>
      </c>
      <c r="L21" s="98">
        <f>I21-J21-K21</f>
        <v/>
      </c>
      <c r="M21" s="99">
        <f>IF(I21=0,"",(J21+K21)/I21)</f>
        <v/>
      </c>
    </row>
    <row r="22">
      <c r="A22" s="100" t="inlineStr">
        <is>
          <t>Furniture</t>
        </is>
      </c>
      <c r="B22" s="101">
        <f>SUMIFS(Budget!F:F,Budget!B:B,ActiveProject,Budget!D:D,A22)</f>
        <v/>
      </c>
      <c r="C22" s="101">
        <f>SUMIFS(Expenses!H:H,Expenses!C:C,ActiveProject,Expenses!E:E,A22,Expenses!J:J,"Paid")</f>
        <v/>
      </c>
      <c r="D22" s="101">
        <f>SUMIFS(Expenses!H:H,Expenses!C:C,ActiveProject,Expenses!E:E,A22,Expenses!J:J,"Committed")</f>
        <v/>
      </c>
      <c r="E22" s="101">
        <f>B22-C22-D22</f>
        <v/>
      </c>
      <c r="F22" s="102">
        <f>IF(B22=0,"",(C22+D22)/B22)</f>
        <v/>
      </c>
      <c r="H22" s="100" t="inlineStr">
        <is>
          <t>Entry / Foyer</t>
        </is>
      </c>
      <c r="I22" s="101">
        <f>SUMIF(Rooms!A:A,"RM-08",Rooms!K:K)</f>
        <v/>
      </c>
      <c r="J22" s="101">
        <f>SUMIFS(Expenses!H:H,Expenses!D:D,"RM-08",Expenses!J:J,"Paid")</f>
        <v/>
      </c>
      <c r="K22" s="101">
        <f>SUMIFS(Expenses!H:H,Expenses!D:D,"RM-08",Expenses!J:J,"Committed")</f>
        <v/>
      </c>
      <c r="L22" s="101">
        <f>I22-J22-K22</f>
        <v/>
      </c>
      <c r="M22" s="102">
        <f>IF(I22=0,"",(J22+K22)/I22)</f>
        <v/>
      </c>
    </row>
    <row r="23">
      <c r="A23" s="97" t="inlineStr">
        <is>
          <t>Inspections</t>
        </is>
      </c>
      <c r="B23" s="98">
        <f>SUMIFS(Budget!F:F,Budget!B:B,ActiveProject,Budget!D:D,A23)</f>
        <v/>
      </c>
      <c r="C23" s="98">
        <f>SUMIFS(Expenses!H:H,Expenses!C:C,ActiveProject,Expenses!E:E,A23,Expenses!J:J,"Paid")</f>
        <v/>
      </c>
      <c r="D23" s="98">
        <f>SUMIFS(Expenses!H:H,Expenses!C:C,ActiveProject,Expenses!E:E,A23,Expenses!J:J,"Committed")</f>
        <v/>
      </c>
      <c r="E23" s="98">
        <f>B23-C23-D23</f>
        <v/>
      </c>
      <c r="F23" s="99">
        <f>IF(B23=0,"",(C23+D23)/B23)</f>
        <v/>
      </c>
      <c r="H23">
        <f>IFERROR(INDEX(Rooms!$C:$C,SMALL(IF(Rooms!$B$5:$B$80=ActiveProject,ROW(Rooms!$B$5:$B$80)),9)),"")</f>
        <v/>
      </c>
    </row>
    <row r="24">
      <c r="A24" s="100" t="inlineStr">
        <is>
          <t>Other</t>
        </is>
      </c>
      <c r="B24" s="101">
        <f>SUMIFS(Budget!F:F,Budget!B:B,ActiveProject,Budget!D:D,A24)</f>
        <v/>
      </c>
      <c r="C24" s="101">
        <f>SUMIFS(Expenses!H:H,Expenses!C:C,ActiveProject,Expenses!E:E,A24,Expenses!J:J,"Paid")</f>
        <v/>
      </c>
      <c r="D24" s="101">
        <f>SUMIFS(Expenses!H:H,Expenses!C:C,ActiveProject,Expenses!E:E,A24,Expenses!J:J,"Committed")</f>
        <v/>
      </c>
      <c r="E24" s="101">
        <f>B24-C24-D24</f>
        <v/>
      </c>
      <c r="F24" s="102">
        <f>IF(B24=0,"",(C24+D24)/B24)</f>
        <v/>
      </c>
      <c r="H24">
        <f>IFERROR(INDEX(Rooms!$C:$C,SMALL(IF(Rooms!$B$5:$B$80=ActiveProject,ROW(Rooms!$B$5:$B$80)),10)),"")</f>
        <v/>
      </c>
    </row>
    <row r="25">
      <c r="H25">
        <f>IFERROR(INDEX(Rooms!$C:$C,SMALL(IF(Rooms!$B$5:$B$80=ActiveProject,ROW(Rooms!$B$5:$B$80)),11)),"")</f>
        <v/>
      </c>
    </row>
    <row r="26">
      <c r="H26">
        <f>IFERROR(INDEX(Rooms!$C:$C,SMALL(IF(Rooms!$B$5:$B$80=ActiveProject,ROW(Rooms!$B$5:$B$80)),12)),"")</f>
        <v/>
      </c>
    </row>
    <row r="27">
      <c r="A27" s="8" t="inlineStr">
        <is>
          <t>Monthly spending (paid)</t>
        </is>
      </c>
      <c r="B27" s="5" t="n"/>
      <c r="C27" s="5" t="n"/>
      <c r="D27" s="5" t="n"/>
      <c r="E27" s="5" t="n"/>
      <c r="F27" s="5" t="n"/>
    </row>
    <row r="28">
      <c r="A28" s="103" t="inlineStr">
        <is>
          <t>Month</t>
        </is>
      </c>
      <c r="B28" s="103" t="inlineStr">
        <is>
          <t>Spent</t>
        </is>
      </c>
      <c r="C28" s="103" t="inlineStr">
        <is>
          <t>Committed dated</t>
        </is>
      </c>
      <c r="H28" s="8" t="inlineStr">
        <is>
          <t>Smart alerts</t>
        </is>
      </c>
      <c r="I28" s="5" t="n"/>
      <c r="J28" s="5" t="n"/>
      <c r="K28" s="5" t="n"/>
      <c r="L28" s="5" t="n"/>
      <c r="M28" s="5" t="n"/>
    </row>
    <row r="29" ht="18" customHeight="1">
      <c r="A29" s="97" t="inlineStr">
        <is>
          <t>Mar 2026</t>
        </is>
      </c>
      <c r="B29" s="98">
        <f>SUMIFS(Expenses!H:H,Expenses!C:C,ActiveProject,Expenses!J:J,"Paid",Expenses!B:B,"&gt;="&amp;DATE(2026,3,1),Expenses!B:B,"&lt;"&amp;DATE(2026,4,1))</f>
        <v/>
      </c>
      <c r="C29" s="98">
        <f>SUMIFS(Expenses!H:H,Expenses!C:C,ActiveProject,Expenses!J:J,"Committed",Expenses!B:B,"&gt;="&amp;DATE(2026,3,1),Expenses!B:B,"&lt;"&amp;DATE(2026,4,1))</f>
        <v/>
      </c>
      <c r="H29" s="104">
        <f>IF((D6+G6)&gt;A6,"🔴 Project is over planned budget","🟢 Project within planned budget")</f>
        <v/>
      </c>
    </row>
    <row r="30" ht="18" customHeight="1">
      <c r="A30" s="100" t="inlineStr">
        <is>
          <t>Apr 2026</t>
        </is>
      </c>
      <c r="B30" s="101">
        <f>SUMIFS(Expenses!H:H,Expenses!C:C,ActiveProject,Expenses!J:J,"Paid",Expenses!B:B,"&gt;="&amp;DATE(2026,4,1),Expenses!B:B,"&lt;"&amp;DATE(2026,5,1))</f>
        <v/>
      </c>
      <c r="C30" s="101">
        <f>SUMIFS(Expenses!H:H,Expenses!C:C,ActiveProject,Expenses!J:J,"Committed",Expenses!B:B,"&gt;="&amp;DATE(2026,4,1),Expenses!B:B,"&lt;"&amp;DATE(2026,5,1))</f>
        <v/>
      </c>
      <c r="H30" s="104">
        <f>IF(D10&lt;A6*ContingencyFloor,"🔴 Contingency has fallen below the threshold","🟢 Contingency healthy")</f>
        <v/>
      </c>
    </row>
    <row r="31" ht="18" customHeight="1">
      <c r="A31" s="97" t="inlineStr">
        <is>
          <t>May 2026</t>
        </is>
      </c>
      <c r="B31" s="98">
        <f>SUMIFS(Expenses!H:H,Expenses!C:C,ActiveProject,Expenses!J:J,"Paid",Expenses!B:B,"&gt;="&amp;DATE(2026,5,1),Expenses!B:B,"&lt;"&amp;DATE(2026,6,1))</f>
        <v/>
      </c>
      <c r="C31" s="98">
        <f>SUMIFS(Expenses!H:H,Expenses!C:C,ActiveProject,Expenses!J:J,"Committed",Expenses!B:B,"&gt;="&amp;DATE(2026,5,1),Expenses!B:B,"&lt;"&amp;DATE(2026,6,1))</f>
        <v/>
      </c>
      <c r="H31" s="104">
        <f>IFERROR(IF(SUMIFS(Rooms!R:R,Rooms!B:B,ActiveProject,Rooms!C:C,"Kitchen")+SUMIFS(Rooms!S:S,Rooms!B:B,ActiveProject,Rooms!C:C,"Kitchen")&gt;SUMIFS(Rooms!K:K,Rooms!B:B,ActiveProject,Rooms!C:C,"Kitchen"),"⚠️ Kitchen is over its room budget","🟢 Kitchen within room budget"),"")</f>
        <v/>
      </c>
    </row>
    <row r="32" ht="18" customHeight="1">
      <c r="A32" s="100" t="inlineStr">
        <is>
          <t>Jun 2026</t>
        </is>
      </c>
      <c r="B32" s="101">
        <f>SUMIFS(Expenses!H:H,Expenses!C:C,ActiveProject,Expenses!J:J,"Paid",Expenses!B:B,"&gt;="&amp;DATE(2026,6,1),Expenses!B:B,"&lt;"&amp;DATE(2026,7,1))</f>
        <v/>
      </c>
      <c r="C32" s="101">
        <f>SUMIFS(Expenses!H:H,Expenses!C:C,ActiveProject,Expenses!J:J,"Committed",Expenses!B:B,"&gt;="&amp;DATE(2026,6,1),Expenses!B:B,"&lt;"&amp;DATE(2026,7,1))</f>
        <v/>
      </c>
      <c r="H32" s="104">
        <f>IFERROR(IF(SUMIFS(Rooms!R:R,Rooms!B:B,ActiveProject,Rooms!C:C,"Primary Bathroom")+SUMIFS(Rooms!S:S,Rooms!B:B,ActiveProject,Rooms!C:C,"Primary Bathroom")&lt;SUMIFS(Rooms!K:K,Rooms!B:B,ActiveProject,Rooms!C:C,"Primary Bathroom"),"🟢 Primary bathroom is under budget","⚠️ Primary bathroom at or over budget"),"")</f>
        <v/>
      </c>
    </row>
    <row r="33" ht="18" customHeight="1">
      <c r="A33" s="97" t="inlineStr">
        <is>
          <t>Jul 2026</t>
        </is>
      </c>
      <c r="B33" s="98">
        <f>SUMIFS(Expenses!H:H,Expenses!C:C,ActiveProject,Expenses!J:J,"Paid",Expenses!B:B,"&gt;="&amp;DATE(2026,7,1),Expenses!B:B,"&lt;"&amp;DATE(2026,8,1))</f>
        <v/>
      </c>
      <c r="C33" s="98">
        <f>SUMIFS(Expenses!H:H,Expenses!C:C,ActiveProject,Expenses!J:J,"Committed",Expenses!B:B,"&gt;="&amp;DATE(2026,7,1),Expenses!B:B,"&lt;"&amp;DATE(2026,8,1))</f>
        <v/>
      </c>
      <c r="H33" s="104">
        <f>"As of "&amp;TEXT(AsOfDate,"YYYY-MM-DD")&amp;"  ·  Active project "&amp;ActiveProject</f>
        <v/>
      </c>
    </row>
    <row r="34">
      <c r="A34" s="100" t="inlineStr">
        <is>
          <t>Aug 2026</t>
        </is>
      </c>
      <c r="B34" s="101">
        <f>SUMIFS(Expenses!H:H,Expenses!C:C,ActiveProject,Expenses!J:J,"Paid",Expenses!B:B,"&gt;="&amp;DATE(2026,8,1),Expenses!B:B,"&lt;"&amp;DATE(2026,9,1))</f>
        <v/>
      </c>
      <c r="C34" s="101">
        <f>SUMIFS(Expenses!H:H,Expenses!C:C,ActiveProject,Expenses!J:J,"Committed",Expenses!B:B,"&gt;="&amp;DATE(2026,8,1),Expenses!B:B,"&lt;"&amp;DATE(2026,9,1))</f>
        <v/>
      </c>
    </row>
    <row r="35">
      <c r="A35" s="97" t="inlineStr">
        <is>
          <t>Sep 2026</t>
        </is>
      </c>
      <c r="B35" s="98">
        <f>SUMIFS(Expenses!H:H,Expenses!C:C,ActiveProject,Expenses!J:J,"Paid",Expenses!B:B,"&gt;="&amp;DATE(2026,9,1),Expenses!B:B,"&lt;"&amp;DATE(2026,10,1))</f>
        <v/>
      </c>
      <c r="C35" s="98">
        <f>SUMIFS(Expenses!H:H,Expenses!C:C,ActiveProject,Expenses!J:J,"Committed",Expenses!B:B,"&gt;="&amp;DATE(2026,9,1),Expenses!B:B,"&lt;"&amp;DATE(2026,10,1))</f>
        <v/>
      </c>
    </row>
    <row r="36">
      <c r="A36" s="100" t="inlineStr">
        <is>
          <t>Oct 2026</t>
        </is>
      </c>
      <c r="B36" s="101">
        <f>SUMIFS(Expenses!H:H,Expenses!C:C,ActiveProject,Expenses!J:J,"Paid",Expenses!B:B,"&gt;="&amp;DATE(2026,10,1),Expenses!B:B,"&lt;"&amp;DATE(2026,11,1))</f>
        <v/>
      </c>
      <c r="C36" s="101">
        <f>SUMIFS(Expenses!H:H,Expenses!C:C,ActiveProject,Expenses!J:J,"Committed",Expenses!B:B,"&gt;="&amp;DATE(2026,10,1),Expenses!B:B,"&lt;"&amp;DATE(2026,11,1))</f>
        <v/>
      </c>
    </row>
    <row r="37">
      <c r="A37" s="97" t="inlineStr">
        <is>
          <t>Nov 2026</t>
        </is>
      </c>
      <c r="B37" s="98">
        <f>SUMIFS(Expenses!H:H,Expenses!C:C,ActiveProject,Expenses!J:J,"Paid",Expenses!B:B,"&gt;="&amp;DATE(2026,11,1),Expenses!B:B,"&lt;"&amp;DATE(2026,12,1))</f>
        <v/>
      </c>
      <c r="C37" s="98">
        <f>SUMIFS(Expenses!H:H,Expenses!C:C,ActiveProject,Expenses!J:J,"Committed",Expenses!B:B,"&gt;="&amp;DATE(2026,11,1),Expenses!B:B,"&lt;"&amp;DATE(2026,12,1))</f>
        <v/>
      </c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mergeCells count="35">
    <mergeCell ref="D10:E10"/>
    <mergeCell ref="J5:K5"/>
    <mergeCell ref="A11:B11"/>
    <mergeCell ref="G11:H11"/>
    <mergeCell ref="J10:K10"/>
    <mergeCell ref="A27:F27"/>
    <mergeCell ref="A6:B6"/>
    <mergeCell ref="A1:N1"/>
    <mergeCell ref="J9:K9"/>
    <mergeCell ref="D6:E6"/>
    <mergeCell ref="A7:B7"/>
    <mergeCell ref="G7:H7"/>
    <mergeCell ref="J6:K6"/>
    <mergeCell ref="H32:M32"/>
    <mergeCell ref="D11:E11"/>
    <mergeCell ref="G10:H10"/>
    <mergeCell ref="H28:M28"/>
    <mergeCell ref="H13:M13"/>
    <mergeCell ref="G6:H6"/>
    <mergeCell ref="J11:K11"/>
    <mergeCell ref="D7:E7"/>
    <mergeCell ref="H33:M33"/>
    <mergeCell ref="A13:F13"/>
    <mergeCell ref="A2:N2"/>
    <mergeCell ref="J7:K7"/>
    <mergeCell ref="A5:B5"/>
    <mergeCell ref="G5:H5"/>
    <mergeCell ref="H30:M30"/>
    <mergeCell ref="D9:E9"/>
    <mergeCell ref="H29:M29"/>
    <mergeCell ref="D5:E5"/>
    <mergeCell ref="A10:B10"/>
    <mergeCell ref="H31:M31"/>
    <mergeCell ref="A9:B9"/>
    <mergeCell ref="G9:H9"/>
  </mergeCells>
  <pageMargins left="0.4" right="0.4" top="0.6" bottom="0.5" header="0.25" footer="0.25"/>
  <pageSetup orientation="landscape" paperSize="3" fitToHeight="0" fitToWidth="1"/>
  <headerFooter>
    <oddHeader>&amp;LNovality Store  ·  Home Renovation System&amp;RFinance</oddHeader>
    <oddFooter>&amp;LConfidential  ·  Digital twin of the home&amp;RPage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1F4A42"/>
    <outlinePr summaryBelow="1" summaryRight="1"/>
    <pageSetUpPr fitToPage="1"/>
  </sheetPr>
  <dimension ref="A1:S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8" customWidth="1" min="4" max="4"/>
    <col width="28" customWidth="1" min="5" max="5"/>
    <col width="18" customWidth="1" min="6" max="6"/>
    <col width="32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4" customWidth="1" min="14" max="14"/>
    <col width="14" customWidth="1" min="15" max="15"/>
    <col width="18" customWidth="1" min="16" max="16"/>
    <col width="12" customWidth="1" min="17" max="17"/>
    <col width="12" customWidth="1" min="18" max="18"/>
    <col width="24" customWidth="1" min="19" max="19"/>
  </cols>
  <sheetData>
    <row r="1" ht="28" customHeight="1">
      <c r="A1" s="1" t="inlineStr">
        <is>
          <t>CONTRACTORS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18" customHeight="1">
      <c r="A2" s="3" t="inlineStr">
        <is>
          <t>Profiles, insurance, licenses  ·  Score = average of Quality / On-time / Budget / Communication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</row>
    <row r="4" ht="22" customHeight="1">
      <c r="A4" s="66" t="inlineStr">
        <is>
          <t>Contractor ID</t>
        </is>
      </c>
      <c r="B4" s="66" t="inlineStr">
        <is>
          <t>Company</t>
        </is>
      </c>
      <c r="C4" s="66" t="inlineStr">
        <is>
          <t>Contact</t>
        </is>
      </c>
      <c r="D4" s="66" t="inlineStr">
        <is>
          <t>Trade</t>
        </is>
      </c>
      <c r="E4" s="66" t="inlineStr">
        <is>
          <t>Skills</t>
        </is>
      </c>
      <c r="F4" s="66" t="inlineStr">
        <is>
          <t>Phone</t>
        </is>
      </c>
      <c r="G4" s="66" t="inlineStr">
        <is>
          <t>Email</t>
        </is>
      </c>
      <c r="H4" s="66" t="inlineStr">
        <is>
          <t>Rating</t>
        </is>
      </c>
      <c r="I4" s="66" t="inlineStr">
        <is>
          <t>Quality</t>
        </is>
      </c>
      <c r="J4" s="66" t="inlineStr">
        <is>
          <t>On-Time</t>
        </is>
      </c>
      <c r="K4" s="66" t="inlineStr">
        <is>
          <t>Budget</t>
        </is>
      </c>
      <c r="L4" s="66" t="inlineStr">
        <is>
          <t>Communication</t>
        </is>
      </c>
      <c r="M4" s="66" t="inlineStr">
        <is>
          <t>Score</t>
        </is>
      </c>
      <c r="N4" s="66" t="inlineStr">
        <is>
          <t>Insurance Exp</t>
        </is>
      </c>
      <c r="O4" s="66" t="inlineStr">
        <is>
          <t>License</t>
        </is>
      </c>
      <c r="P4" s="66" t="inlineStr">
        <is>
          <t>Availability</t>
        </is>
      </c>
      <c r="Q4" s="66" t="inlineStr">
        <is>
          <t>Rate ($/hr)</t>
        </is>
      </c>
      <c r="R4" s="66" t="inlineStr">
        <is>
          <t>Status</t>
        </is>
      </c>
      <c r="S4" s="66" t="inlineStr">
        <is>
          <t>Portfolio</t>
        </is>
      </c>
    </row>
    <row r="5" ht="18" customHeight="1">
      <c r="A5" s="67" t="inlineStr">
        <is>
          <t>CTR-001</t>
        </is>
      </c>
      <c r="B5" s="67" t="inlineStr">
        <is>
          <t>Cascade Cabinets</t>
        </is>
      </c>
      <c r="C5" s="67" t="inlineStr">
        <is>
          <t>Maya Chen</t>
        </is>
      </c>
      <c r="D5" s="67" t="inlineStr">
        <is>
          <t>Cabinetry</t>
        </is>
      </c>
      <c r="E5" s="68" t="inlineStr">
        <is>
          <t>Custom millwork, inset doors</t>
        </is>
      </c>
      <c r="F5" s="68" t="inlineStr">
        <is>
          <t>+1-503-555-0111</t>
        </is>
      </c>
      <c r="G5" s="68" t="inlineStr">
        <is>
          <t>maya@cascadecabinets.example</t>
        </is>
      </c>
      <c r="H5" s="67" t="n">
        <v>4.8</v>
      </c>
      <c r="I5" s="105" t="n">
        <v>0.92</v>
      </c>
      <c r="J5" s="105" t="n">
        <v>0.87</v>
      </c>
      <c r="K5" s="72" t="n">
        <v>0.95</v>
      </c>
      <c r="L5" s="72" t="n">
        <v>0.9</v>
      </c>
      <c r="M5" s="106">
        <f>IF($A5="","",AVERAGE(I5:L5))</f>
        <v/>
      </c>
      <c r="N5" s="70" t="n">
        <v>46447</v>
      </c>
      <c r="O5" s="67" t="inlineStr">
        <is>
          <t>CCB-210998</t>
        </is>
      </c>
      <c r="P5" s="68" t="inlineStr">
        <is>
          <t>Aug 20–Sep 15</t>
        </is>
      </c>
      <c r="Q5" s="83" t="n">
        <v>85</v>
      </c>
      <c r="R5" s="67" t="inlineStr">
        <is>
          <t>Active</t>
        </is>
      </c>
      <c r="S5" s="67" t="inlineStr">
        <is>
          <t>drive/portfolio/cascade</t>
        </is>
      </c>
    </row>
    <row r="6" ht="18" customHeight="1">
      <c r="A6" s="75" t="inlineStr">
        <is>
          <t>CTR-002</t>
        </is>
      </c>
      <c r="B6" s="75" t="inlineStr">
        <is>
          <t>Northwest Electric</t>
        </is>
      </c>
      <c r="C6" s="75" t="inlineStr">
        <is>
          <t>Jordan Hale</t>
        </is>
      </c>
      <c r="D6" s="75" t="inlineStr">
        <is>
          <t>Electrical</t>
        </is>
      </c>
      <c r="E6" s="76" t="inlineStr">
        <is>
          <t>Residential remodel, lighting</t>
        </is>
      </c>
      <c r="F6" s="76" t="inlineStr">
        <is>
          <t>+1-503-555-0133</t>
        </is>
      </c>
      <c r="G6" s="76" t="inlineStr">
        <is>
          <t>jordan@nw-electric.example</t>
        </is>
      </c>
      <c r="H6" s="75" t="n">
        <v>4.7</v>
      </c>
      <c r="I6" s="107" t="n">
        <v>0.9399999999999999</v>
      </c>
      <c r="J6" s="107" t="n">
        <v>0.91</v>
      </c>
      <c r="K6" s="80" t="n">
        <v>0.88</v>
      </c>
      <c r="L6" s="80" t="n">
        <v>0.86</v>
      </c>
      <c r="M6" s="106">
        <f>IF($A6="","",AVERAGE(I6:L6))</f>
        <v/>
      </c>
      <c r="N6" s="78" t="n">
        <v>46371</v>
      </c>
      <c r="O6" s="75" t="inlineStr">
        <is>
          <t>EL-44821</t>
        </is>
      </c>
      <c r="P6" s="76" t="inlineStr">
        <is>
          <t>On call</t>
        </is>
      </c>
      <c r="Q6" s="87" t="n">
        <v>110</v>
      </c>
      <c r="R6" s="75" t="inlineStr">
        <is>
          <t>Active</t>
        </is>
      </c>
      <c r="S6" s="75" t="inlineStr">
        <is>
          <t>drive/portfolio/nwe</t>
        </is>
      </c>
    </row>
    <row r="7" ht="18" customHeight="1">
      <c r="A7" s="67" t="inlineStr">
        <is>
          <t>CTR-003</t>
        </is>
      </c>
      <c r="B7" s="67" t="inlineStr">
        <is>
          <t>Pacific Plumbing</t>
        </is>
      </c>
      <c r="C7" s="67" t="inlineStr">
        <is>
          <t>Sam Ortiz</t>
        </is>
      </c>
      <c r="D7" s="67" t="inlineStr">
        <is>
          <t>Plumbing</t>
        </is>
      </c>
      <c r="E7" s="68" t="inlineStr">
        <is>
          <t>Repipe, fixtures, radiant</t>
        </is>
      </c>
      <c r="F7" s="68" t="inlineStr">
        <is>
          <t>+1-503-555-0140</t>
        </is>
      </c>
      <c r="G7" s="68" t="inlineStr">
        <is>
          <t>sam@pacificplumbing.example</t>
        </is>
      </c>
      <c r="H7" s="67" t="n">
        <v>4.6</v>
      </c>
      <c r="I7" s="105" t="n">
        <v>0.9</v>
      </c>
      <c r="J7" s="105" t="n">
        <v>0.84</v>
      </c>
      <c r="K7" s="72" t="n">
        <v>0.93</v>
      </c>
      <c r="L7" s="72" t="n">
        <v>0.88</v>
      </c>
      <c r="M7" s="106">
        <f>IF($A7="","",AVERAGE(I7:L7))</f>
        <v/>
      </c>
      <c r="N7" s="70" t="n">
        <v>46407</v>
      </c>
      <c r="O7" s="67" t="inlineStr">
        <is>
          <t>PL-77310</t>
        </is>
      </c>
      <c r="P7" s="68" t="inlineStr">
        <is>
          <t>Wrap this week</t>
        </is>
      </c>
      <c r="Q7" s="83" t="n">
        <v>120</v>
      </c>
      <c r="R7" s="67" t="inlineStr">
        <is>
          <t>Active</t>
        </is>
      </c>
      <c r="S7" s="67" t="inlineStr">
        <is>
          <t>drive/portfolio/pp</t>
        </is>
      </c>
    </row>
    <row r="8" ht="18" customHeight="1">
      <c r="A8" s="75" t="inlineStr">
        <is>
          <t>CTR-004</t>
        </is>
      </c>
      <c r="B8" s="75" t="inlineStr">
        <is>
          <t>Heritage Tile &amp; Stone</t>
        </is>
      </c>
      <c r="C8" s="75" t="inlineStr">
        <is>
          <t>Priya Shah</t>
        </is>
      </c>
      <c r="D8" s="75" t="inlineStr">
        <is>
          <t>Tile &amp; Stone</t>
        </is>
      </c>
      <c r="E8" s="76" t="inlineStr">
        <is>
          <t>Porcelain, slab, steam</t>
        </is>
      </c>
      <c r="F8" s="76" t="inlineStr">
        <is>
          <t>+1-503-555-0155</t>
        </is>
      </c>
      <c r="G8" s="76" t="inlineStr">
        <is>
          <t>priya@heritagetile.example</t>
        </is>
      </c>
      <c r="H8" s="75" t="n">
        <v>4.9</v>
      </c>
      <c r="I8" s="107" t="n">
        <v>0.96</v>
      </c>
      <c r="J8" s="107" t="n">
        <v>0.89</v>
      </c>
      <c r="K8" s="80" t="n">
        <v>0.91</v>
      </c>
      <c r="L8" s="80" t="n">
        <v>0.93</v>
      </c>
      <c r="M8" s="106">
        <f>IF($A8="","",AVERAGE(I8:L8))</f>
        <v/>
      </c>
      <c r="N8" s="78" t="n">
        <v>46539</v>
      </c>
      <c r="O8" s="75" t="inlineStr">
        <is>
          <t>CCB-188442</t>
        </is>
      </c>
      <c r="P8" s="76" t="inlineStr">
        <is>
          <t>Punch list</t>
        </is>
      </c>
      <c r="Q8" s="87" t="n">
        <v>95</v>
      </c>
      <c r="R8" s="75" t="inlineStr">
        <is>
          <t>Active</t>
        </is>
      </c>
      <c r="S8" s="75" t="inlineStr">
        <is>
          <t>drive/portfolio/heritage</t>
        </is>
      </c>
    </row>
    <row r="9" ht="18" customHeight="1">
      <c r="A9" s="67" t="inlineStr">
        <is>
          <t>CTR-005</t>
        </is>
      </c>
      <c r="B9" s="67" t="inlineStr">
        <is>
          <t>Greenfield Painting</t>
        </is>
      </c>
      <c r="C9" s="67" t="inlineStr">
        <is>
          <t>Leo Park</t>
        </is>
      </c>
      <c r="D9" s="67" t="inlineStr">
        <is>
          <t>Painting</t>
        </is>
      </c>
      <c r="E9" s="68" t="inlineStr">
        <is>
          <t>Plaster, limewash, cabinets</t>
        </is>
      </c>
      <c r="F9" s="68" t="inlineStr">
        <is>
          <t>+1-503-555-0122</t>
        </is>
      </c>
      <c r="G9" s="68" t="inlineStr">
        <is>
          <t>leo@greenfieldpaint.example</t>
        </is>
      </c>
      <c r="H9" s="67" t="n">
        <v>4.5</v>
      </c>
      <c r="I9" s="105" t="n">
        <v>0.88</v>
      </c>
      <c r="J9" s="105" t="n">
        <v>0.9</v>
      </c>
      <c r="K9" s="72" t="n">
        <v>0.86</v>
      </c>
      <c r="L9" s="72" t="n">
        <v>0.91</v>
      </c>
      <c r="M9" s="106">
        <f>IF($A9="","",AVERAGE(I9:L9))</f>
        <v/>
      </c>
      <c r="N9" s="70" t="n">
        <v>46356</v>
      </c>
      <c r="O9" s="67" t="inlineStr">
        <is>
          <t>CCB-201774</t>
        </is>
      </c>
      <c r="P9" s="68" t="inlineStr">
        <is>
          <t>Sep 10–28</t>
        </is>
      </c>
      <c r="Q9" s="83" t="n">
        <v>65</v>
      </c>
      <c r="R9" s="67" t="inlineStr">
        <is>
          <t>Active</t>
        </is>
      </c>
      <c r="S9" s="67" t="inlineStr">
        <is>
          <t>drive/portfolio/greenfield</t>
        </is>
      </c>
    </row>
    <row r="10" ht="18" customHeight="1">
      <c r="A10" s="75" t="inlineStr">
        <is>
          <t>CTR-006</t>
        </is>
      </c>
      <c r="B10" s="75" t="inlineStr">
        <is>
          <t>Timberline Floors</t>
        </is>
      </c>
      <c r="C10" s="75" t="inlineStr">
        <is>
          <t>Elena Voss</t>
        </is>
      </c>
      <c r="D10" s="75" t="inlineStr">
        <is>
          <t>Flooring</t>
        </is>
      </c>
      <c r="E10" s="76" t="inlineStr">
        <is>
          <t>White oak, site finish</t>
        </is>
      </c>
      <c r="F10" s="76" t="inlineStr">
        <is>
          <t>+1-503-555-0166</t>
        </is>
      </c>
      <c r="G10" s="76" t="inlineStr">
        <is>
          <t>elena@timberlinefloors.example</t>
        </is>
      </c>
      <c r="H10" s="75" t="n">
        <v>4.7</v>
      </c>
      <c r="I10" s="107" t="n">
        <v>0.91</v>
      </c>
      <c r="J10" s="107" t="n">
        <v>0.83</v>
      </c>
      <c r="K10" s="80" t="n">
        <v>0.9</v>
      </c>
      <c r="L10" s="80" t="n">
        <v>0.87</v>
      </c>
      <c r="M10" s="106">
        <f>IF($A10="","",AVERAGE(I10:L10))</f>
        <v/>
      </c>
      <c r="N10" s="78" t="n">
        <v>46432</v>
      </c>
      <c r="O10" s="75" t="inlineStr">
        <is>
          <t>CCB-176330</t>
        </is>
      </c>
      <c r="P10" s="76" t="inlineStr">
        <is>
          <t>Through Aug 28</t>
        </is>
      </c>
      <c r="Q10" s="87" t="n">
        <v>8</v>
      </c>
      <c r="R10" s="75" t="inlineStr">
        <is>
          <t>Active</t>
        </is>
      </c>
      <c r="S10" s="75" t="inlineStr">
        <is>
          <t>drive/portfolio/timberline</t>
        </is>
      </c>
    </row>
    <row r="11" ht="18" customHeight="1">
      <c r="A11" s="67" t="inlineStr">
        <is>
          <t>CTR-007</t>
        </is>
      </c>
      <c r="B11" s="67" t="inlineStr">
        <is>
          <t>Luna Interiors</t>
        </is>
      </c>
      <c r="C11" s="67" t="inlineStr">
        <is>
          <t>Sofia Alvarez</t>
        </is>
      </c>
      <c r="D11" s="67" t="inlineStr">
        <is>
          <t>Interior Designer</t>
        </is>
      </c>
      <c r="E11" s="68" t="inlineStr">
        <is>
          <t>Residential, kitchen, bath</t>
        </is>
      </c>
      <c r="F11" s="68" t="inlineStr">
        <is>
          <t>+1-503-555-0194</t>
        </is>
      </c>
      <c r="G11" s="68" t="inlineStr">
        <is>
          <t>sofia@lunainteriors.example</t>
        </is>
      </c>
      <c r="H11" s="67" t="n">
        <v>4.9</v>
      </c>
      <c r="I11" s="105" t="n">
        <v>0.95</v>
      </c>
      <c r="J11" s="105" t="n">
        <v>0.9399999999999999</v>
      </c>
      <c r="K11" s="72" t="n">
        <v>0.89</v>
      </c>
      <c r="L11" s="72" t="n">
        <v>0.97</v>
      </c>
      <c r="M11" s="106">
        <f>IF($A11="","",AVERAGE(I11:L11))</f>
        <v/>
      </c>
      <c r="N11" s="70" t="n">
        <v>46296</v>
      </c>
      <c r="O11" s="67" t="inlineStr">
        <is>
          <t>ASID-4491</t>
        </is>
      </c>
      <c r="P11" s="68" t="inlineStr">
        <is>
          <t>Ongoing</t>
        </is>
      </c>
      <c r="Q11" s="83" t="n">
        <v>145</v>
      </c>
      <c r="R11" s="67" t="inlineStr">
        <is>
          <t>Active</t>
        </is>
      </c>
      <c r="S11" s="67" t="inlineStr">
        <is>
          <t>drive/portfolio/luna</t>
        </is>
      </c>
    </row>
    <row r="12" ht="18" customHeight="1">
      <c r="A12" s="75" t="inlineStr">
        <is>
          <t>CTR-008</t>
        </is>
      </c>
      <c r="B12" s="75" t="inlineStr">
        <is>
          <t>Ironwood Construction</t>
        </is>
      </c>
      <c r="C12" s="75" t="inlineStr">
        <is>
          <t>Marcus Webb</t>
        </is>
      </c>
      <c r="D12" s="75" t="inlineStr">
        <is>
          <t>General Contractor</t>
        </is>
      </c>
      <c r="E12" s="76" t="inlineStr">
        <is>
          <t>Remodel GC, historic homes</t>
        </is>
      </c>
      <c r="F12" s="76" t="inlineStr">
        <is>
          <t>+1-503-555-0172</t>
        </is>
      </c>
      <c r="G12" s="76" t="inlineStr">
        <is>
          <t>marcus@ironwood.build</t>
        </is>
      </c>
      <c r="H12" s="75" t="n">
        <v>4.8</v>
      </c>
      <c r="I12" s="107" t="n">
        <v>0.93</v>
      </c>
      <c r="J12" s="107" t="n">
        <v>0.88</v>
      </c>
      <c r="K12" s="80" t="n">
        <v>0.92</v>
      </c>
      <c r="L12" s="80" t="n">
        <v>0.9399999999999999</v>
      </c>
      <c r="M12" s="106">
        <f>IF($A12="","",AVERAGE(I12:L12))</f>
        <v/>
      </c>
      <c r="N12" s="78" t="n">
        <v>46507</v>
      </c>
      <c r="O12" s="75" t="inlineStr">
        <is>
          <t>CCB-154009</t>
        </is>
      </c>
      <c r="P12" s="76" t="inlineStr">
        <is>
          <t>Full project</t>
        </is>
      </c>
      <c r="Q12" s="87" t="n">
        <v>0</v>
      </c>
      <c r="R12" s="75" t="inlineStr">
        <is>
          <t>Active</t>
        </is>
      </c>
      <c r="S12" s="75" t="inlineStr">
        <is>
          <t>drive/portfolio/ironwood</t>
        </is>
      </c>
    </row>
    <row r="13" ht="18" customHeight="1">
      <c r="A13" s="67" t="inlineStr">
        <is>
          <t>CTR-009</t>
        </is>
      </c>
      <c r="B13" s="67" t="inlineStr">
        <is>
          <t>BrightPath Lighting</t>
        </is>
      </c>
      <c r="C13" s="67" t="inlineStr">
        <is>
          <t>Nina Cho</t>
        </is>
      </c>
      <c r="D13" s="67" t="inlineStr">
        <is>
          <t>Lighting</t>
        </is>
      </c>
      <c r="E13" s="68" t="inlineStr">
        <is>
          <t>Specification + supply</t>
        </is>
      </c>
      <c r="F13" s="68" t="inlineStr">
        <is>
          <t>+1-503-555-0180</t>
        </is>
      </c>
      <c r="G13" s="68" t="inlineStr">
        <is>
          <t>nina@brightpath.example</t>
        </is>
      </c>
      <c r="H13" s="67" t="n">
        <v>4.6</v>
      </c>
      <c r="I13" s="105" t="n">
        <v>0.9</v>
      </c>
      <c r="J13" s="105" t="n">
        <v>0.92</v>
      </c>
      <c r="K13" s="72" t="n">
        <v>0.9399999999999999</v>
      </c>
      <c r="L13" s="72" t="n">
        <v>0.89</v>
      </c>
      <c r="M13" s="106">
        <f>IF($A13="","",AVERAGE(I13:L13))</f>
        <v/>
      </c>
      <c r="N13" s="70" t="n">
        <v>46295</v>
      </c>
      <c r="O13" s="67" t="inlineStr">
        <is>
          <t>SUP-8891</t>
        </is>
      </c>
      <c r="P13" s="68" t="inlineStr">
        <is>
          <t>Lead time 3 wks</t>
        </is>
      </c>
      <c r="Q13" s="83" t="n">
        <v>0</v>
      </c>
      <c r="R13" s="67" t="inlineStr">
        <is>
          <t>Active</t>
        </is>
      </c>
      <c r="S13" s="67" t="inlineStr">
        <is>
          <t>drive/portfolio/brightpath</t>
        </is>
      </c>
    </row>
    <row r="14" ht="18" customHeight="1">
      <c r="A14" s="75" t="inlineStr">
        <is>
          <t>CTR-010</t>
        </is>
      </c>
      <c r="B14" s="75" t="inlineStr">
        <is>
          <t>Garden &amp; Gate</t>
        </is>
      </c>
      <c r="C14" s="75" t="inlineStr">
        <is>
          <t>Theo Brooks</t>
        </is>
      </c>
      <c r="D14" s="75" t="inlineStr">
        <is>
          <t>Landscaping</t>
        </is>
      </c>
      <c r="E14" s="76" t="inlineStr">
        <is>
          <t>Paths, planting, irrigation</t>
        </is>
      </c>
      <c r="F14" s="76" t="inlineStr">
        <is>
          <t>+1-503-555-0199</t>
        </is>
      </c>
      <c r="G14" s="76" t="inlineStr">
        <is>
          <t>theo@gardengate.example</t>
        </is>
      </c>
      <c r="H14" s="75" t="n">
        <v>4.4</v>
      </c>
      <c r="I14" s="107" t="n">
        <v>0.86</v>
      </c>
      <c r="J14" s="107" t="n">
        <v>0.8</v>
      </c>
      <c r="K14" s="80" t="n">
        <v>0.88</v>
      </c>
      <c r="L14" s="80" t="n">
        <v>0.85</v>
      </c>
      <c r="M14" s="106">
        <f>IF($A14="","",AVERAGE(I14:L14))</f>
        <v/>
      </c>
      <c r="N14" s="78" t="n">
        <v>46508</v>
      </c>
      <c r="O14" s="75" t="inlineStr">
        <is>
          <t>LCB-3320</t>
        </is>
      </c>
      <c r="P14" s="76" t="inlineStr">
        <is>
          <t>Oct window</t>
        </is>
      </c>
      <c r="Q14" s="87" t="n">
        <v>70</v>
      </c>
      <c r="R14" s="75" t="inlineStr">
        <is>
          <t>Active</t>
        </is>
      </c>
      <c r="S14" s="75" t="inlineStr">
        <is>
          <t>drive/portfolio/gg</t>
        </is>
      </c>
    </row>
    <row r="15" ht="18" customHeight="1">
      <c r="A15" s="67" t="inlineStr">
        <is>
          <t>CTR-011</t>
        </is>
      </c>
      <c r="B15" s="67" t="inlineStr">
        <is>
          <t>Alder Inspection Group</t>
        </is>
      </c>
      <c r="C15" s="67" t="inlineStr">
        <is>
          <t>Riley Grant</t>
        </is>
      </c>
      <c r="D15" s="67" t="inlineStr">
        <is>
          <t>Inspection</t>
        </is>
      </c>
      <c r="E15" s="68" t="inlineStr">
        <is>
          <t>Independent punch</t>
        </is>
      </c>
      <c r="F15" s="68" t="inlineStr">
        <is>
          <t>+1-503-555-0188</t>
        </is>
      </c>
      <c r="G15" s="68" t="inlineStr">
        <is>
          <t>riley@alderinspect.example</t>
        </is>
      </c>
      <c r="H15" s="67" t="n">
        <v>4.8</v>
      </c>
      <c r="I15" s="105" t="n">
        <v>0.97</v>
      </c>
      <c r="J15" s="105" t="n">
        <v>0.95</v>
      </c>
      <c r="K15" s="72" t="n">
        <v>1</v>
      </c>
      <c r="L15" s="72" t="n">
        <v>0.9</v>
      </c>
      <c r="M15" s="106">
        <f>IF($A15="","",AVERAGE(I15:L15))</f>
        <v/>
      </c>
      <c r="N15" s="70" t="n">
        <v>46387</v>
      </c>
      <c r="O15" s="67" t="inlineStr">
        <is>
          <t>OR-INSP-220</t>
        </is>
      </c>
      <c r="P15" s="68" t="inlineStr">
        <is>
          <t>On call</t>
        </is>
      </c>
      <c r="Q15" s="83" t="n">
        <v>175</v>
      </c>
      <c r="R15" s="67" t="inlineStr">
        <is>
          <t>Active</t>
        </is>
      </c>
      <c r="S15" s="67" t="inlineStr"/>
    </row>
    <row r="16">
      <c r="A16" s="82" t="n"/>
      <c r="B16" s="82" t="n"/>
      <c r="C16" s="82" t="n"/>
      <c r="D16" s="82" t="n"/>
      <c r="E16" s="82" t="n"/>
      <c r="F16" s="82" t="n"/>
      <c r="G16" s="82" t="n"/>
      <c r="H16" s="82" t="n"/>
      <c r="I16" s="82" t="n"/>
      <c r="J16" s="82" t="n"/>
      <c r="K16" s="82" t="n"/>
      <c r="L16" s="82" t="n"/>
      <c r="N16" s="82" t="n"/>
      <c r="O16" s="82" t="n"/>
      <c r="P16" s="82" t="n"/>
      <c r="Q16" s="82" t="n"/>
      <c r="R16" s="82" t="n"/>
      <c r="S16" s="82" t="n"/>
    </row>
    <row r="17">
      <c r="A17" s="82" t="n"/>
      <c r="B17" s="82" t="n"/>
      <c r="C17" s="82" t="n"/>
      <c r="D17" s="82" t="n"/>
      <c r="E17" s="82" t="n"/>
      <c r="F17" s="82" t="n"/>
      <c r="G17" s="82" t="n"/>
      <c r="H17" s="82" t="n"/>
      <c r="I17" s="82" t="n"/>
      <c r="J17" s="82" t="n"/>
      <c r="K17" s="82" t="n"/>
      <c r="L17" s="82" t="n"/>
      <c r="N17" s="82" t="n"/>
      <c r="O17" s="82" t="n"/>
      <c r="P17" s="82" t="n"/>
      <c r="Q17" s="82" t="n"/>
      <c r="R17" s="82" t="n"/>
      <c r="S17" s="82" t="n"/>
    </row>
    <row r="18">
      <c r="A18" s="82" t="n"/>
      <c r="B18" s="82" t="n"/>
      <c r="C18" s="82" t="n"/>
      <c r="D18" s="82" t="n"/>
      <c r="E18" s="82" t="n"/>
      <c r="F18" s="82" t="n"/>
      <c r="G18" s="82" t="n"/>
      <c r="H18" s="82" t="n"/>
      <c r="I18" s="82" t="n"/>
      <c r="J18" s="82" t="n"/>
      <c r="K18" s="82" t="n"/>
      <c r="L18" s="82" t="n"/>
      <c r="N18" s="82" t="n"/>
      <c r="O18" s="82" t="n"/>
      <c r="P18" s="82" t="n"/>
      <c r="Q18" s="82" t="n"/>
      <c r="R18" s="82" t="n"/>
      <c r="S18" s="82" t="n"/>
    </row>
    <row r="19">
      <c r="A19" s="82" t="n"/>
      <c r="B19" s="82" t="n"/>
      <c r="C19" s="82" t="n"/>
      <c r="D19" s="82" t="n"/>
      <c r="E19" s="82" t="n"/>
      <c r="F19" s="82" t="n"/>
      <c r="G19" s="82" t="n"/>
      <c r="H19" s="82" t="n"/>
      <c r="I19" s="82" t="n"/>
      <c r="J19" s="82" t="n"/>
      <c r="K19" s="82" t="n"/>
      <c r="L19" s="82" t="n"/>
      <c r="N19" s="82" t="n"/>
      <c r="O19" s="82" t="n"/>
      <c r="P19" s="82" t="n"/>
      <c r="Q19" s="82" t="n"/>
      <c r="R19" s="82" t="n"/>
      <c r="S19" s="82" t="n"/>
    </row>
    <row r="20">
      <c r="A20" s="82" t="n"/>
      <c r="B20" s="82" t="n"/>
      <c r="C20" s="82" t="n"/>
      <c r="D20" s="82" t="n"/>
      <c r="E20" s="82" t="n"/>
      <c r="F20" s="82" t="n"/>
      <c r="G20" s="82" t="n"/>
      <c r="H20" s="82" t="n"/>
      <c r="I20" s="82" t="n"/>
      <c r="J20" s="82" t="n"/>
      <c r="K20" s="82" t="n"/>
      <c r="L20" s="82" t="n"/>
      <c r="N20" s="82" t="n"/>
      <c r="O20" s="82" t="n"/>
      <c r="P20" s="82" t="n"/>
      <c r="Q20" s="82" t="n"/>
      <c r="R20" s="82" t="n"/>
      <c r="S20" s="82" t="n"/>
    </row>
    <row r="21">
      <c r="A21" s="82" t="n"/>
      <c r="B21" s="82" t="n"/>
      <c r="C21" s="82" t="n"/>
      <c r="D21" s="82" t="n"/>
      <c r="E21" s="82" t="n"/>
      <c r="F21" s="82" t="n"/>
      <c r="G21" s="82" t="n"/>
      <c r="H21" s="82" t="n"/>
      <c r="I21" s="82" t="n"/>
      <c r="J21" s="82" t="n"/>
      <c r="K21" s="82" t="n"/>
      <c r="L21" s="82" t="n"/>
      <c r="N21" s="82" t="n"/>
      <c r="O21" s="82" t="n"/>
      <c r="P21" s="82" t="n"/>
      <c r="Q21" s="82" t="n"/>
      <c r="R21" s="82" t="n"/>
      <c r="S21" s="82" t="n"/>
    </row>
    <row r="22">
      <c r="A22" s="82" t="n"/>
      <c r="B22" s="82" t="n"/>
      <c r="C22" s="82" t="n"/>
      <c r="D22" s="82" t="n"/>
      <c r="E22" s="82" t="n"/>
      <c r="F22" s="82" t="n"/>
      <c r="G22" s="82" t="n"/>
      <c r="H22" s="82" t="n"/>
      <c r="I22" s="82" t="n"/>
      <c r="J22" s="82" t="n"/>
      <c r="K22" s="82" t="n"/>
      <c r="L22" s="82" t="n"/>
      <c r="N22" s="82" t="n"/>
      <c r="O22" s="82" t="n"/>
      <c r="P22" s="82" t="n"/>
      <c r="Q22" s="82" t="n"/>
      <c r="R22" s="82" t="n"/>
      <c r="S22" s="82" t="n"/>
    </row>
    <row r="23">
      <c r="A23" s="82" t="n"/>
      <c r="B23" s="82" t="n"/>
      <c r="C23" s="82" t="n"/>
      <c r="D23" s="82" t="n"/>
      <c r="E23" s="82" t="n"/>
      <c r="F23" s="82" t="n"/>
      <c r="G23" s="82" t="n"/>
      <c r="H23" s="82" t="n"/>
      <c r="I23" s="82" t="n"/>
      <c r="J23" s="82" t="n"/>
      <c r="K23" s="82" t="n"/>
      <c r="L23" s="82" t="n"/>
      <c r="N23" s="82" t="n"/>
      <c r="O23" s="82" t="n"/>
      <c r="P23" s="82" t="n"/>
      <c r="Q23" s="82" t="n"/>
      <c r="R23" s="82" t="n"/>
      <c r="S23" s="82" t="n"/>
    </row>
    <row r="24">
      <c r="A24" s="82" t="n"/>
      <c r="B24" s="82" t="n"/>
      <c r="C24" s="82" t="n"/>
      <c r="D24" s="82" t="n"/>
      <c r="E24" s="82" t="n"/>
      <c r="F24" s="82" t="n"/>
      <c r="G24" s="82" t="n"/>
      <c r="H24" s="82" t="n"/>
      <c r="I24" s="82" t="n"/>
      <c r="J24" s="82" t="n"/>
      <c r="K24" s="82" t="n"/>
      <c r="L24" s="82" t="n"/>
      <c r="N24" s="82" t="n"/>
      <c r="O24" s="82" t="n"/>
      <c r="P24" s="82" t="n"/>
      <c r="Q24" s="82" t="n"/>
      <c r="R24" s="82" t="n"/>
      <c r="S24" s="82" t="n"/>
    </row>
    <row r="25">
      <c r="A25" s="82" t="n"/>
      <c r="B25" s="82" t="n"/>
      <c r="C25" s="82" t="n"/>
      <c r="D25" s="82" t="n"/>
      <c r="E25" s="82" t="n"/>
      <c r="F25" s="82" t="n"/>
      <c r="G25" s="82" t="n"/>
      <c r="H25" s="82" t="n"/>
      <c r="I25" s="82" t="n"/>
      <c r="J25" s="82" t="n"/>
      <c r="K25" s="82" t="n"/>
      <c r="L25" s="82" t="n"/>
      <c r="N25" s="82" t="n"/>
      <c r="O25" s="82" t="n"/>
      <c r="P25" s="82" t="n"/>
      <c r="Q25" s="82" t="n"/>
      <c r="R25" s="82" t="n"/>
      <c r="S25" s="82" t="n"/>
    </row>
    <row r="26">
      <c r="A26" s="82" t="n"/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  <c r="L26" s="82" t="n"/>
      <c r="N26" s="82" t="n"/>
      <c r="O26" s="82" t="n"/>
      <c r="P26" s="82" t="n"/>
      <c r="Q26" s="82" t="n"/>
      <c r="R26" s="82" t="n"/>
      <c r="S26" s="82" t="n"/>
    </row>
    <row r="27">
      <c r="A27" s="82" t="n"/>
      <c r="B27" s="82" t="n"/>
      <c r="C27" s="82" t="n"/>
      <c r="D27" s="82" t="n"/>
      <c r="E27" s="82" t="n"/>
      <c r="F27" s="82" t="n"/>
      <c r="G27" s="82" t="n"/>
      <c r="H27" s="82" t="n"/>
      <c r="I27" s="82" t="n"/>
      <c r="J27" s="82" t="n"/>
      <c r="K27" s="82" t="n"/>
      <c r="L27" s="82" t="n"/>
      <c r="N27" s="82" t="n"/>
      <c r="O27" s="82" t="n"/>
      <c r="P27" s="82" t="n"/>
      <c r="Q27" s="82" t="n"/>
      <c r="R27" s="82" t="n"/>
      <c r="S27" s="82" t="n"/>
    </row>
    <row r="28">
      <c r="A28" s="82" t="n"/>
      <c r="B28" s="82" t="n"/>
      <c r="C28" s="82" t="n"/>
      <c r="D28" s="82" t="n"/>
      <c r="E28" s="82" t="n"/>
      <c r="F28" s="82" t="n"/>
      <c r="G28" s="82" t="n"/>
      <c r="H28" s="82" t="n"/>
      <c r="I28" s="82" t="n"/>
      <c r="J28" s="82" t="n"/>
      <c r="K28" s="82" t="n"/>
      <c r="L28" s="82" t="n"/>
      <c r="N28" s="82" t="n"/>
      <c r="O28" s="82" t="n"/>
      <c r="P28" s="82" t="n"/>
      <c r="Q28" s="82" t="n"/>
      <c r="R28" s="82" t="n"/>
      <c r="S28" s="82" t="n"/>
    </row>
    <row r="29">
      <c r="A29" s="82" t="n"/>
      <c r="B29" s="82" t="n"/>
      <c r="C29" s="82" t="n"/>
      <c r="D29" s="82" t="n"/>
      <c r="E29" s="82" t="n"/>
      <c r="F29" s="82" t="n"/>
      <c r="G29" s="82" t="n"/>
      <c r="H29" s="82" t="n"/>
      <c r="I29" s="82" t="n"/>
      <c r="J29" s="82" t="n"/>
      <c r="K29" s="82" t="n"/>
      <c r="L29" s="82" t="n"/>
      <c r="N29" s="82" t="n"/>
      <c r="O29" s="82" t="n"/>
      <c r="P29" s="82" t="n"/>
      <c r="Q29" s="82" t="n"/>
      <c r="R29" s="82" t="n"/>
      <c r="S29" s="82" t="n"/>
    </row>
    <row r="30">
      <c r="A30" s="82" t="n"/>
      <c r="B30" s="82" t="n"/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  <c r="N30" s="82" t="n"/>
      <c r="O30" s="82" t="n"/>
      <c r="P30" s="82" t="n"/>
      <c r="Q30" s="82" t="n"/>
      <c r="R30" s="82" t="n"/>
      <c r="S30" s="82" t="n"/>
    </row>
    <row r="31">
      <c r="A31" s="82" t="n"/>
      <c r="B31" s="82" t="n"/>
      <c r="C31" s="82" t="n"/>
      <c r="D31" s="82" t="n"/>
      <c r="E31" s="82" t="n"/>
      <c r="F31" s="82" t="n"/>
      <c r="G31" s="82" t="n"/>
      <c r="H31" s="82" t="n"/>
      <c r="I31" s="82" t="n"/>
      <c r="J31" s="82" t="n"/>
      <c r="K31" s="82" t="n"/>
      <c r="L31" s="82" t="n"/>
      <c r="N31" s="82" t="n"/>
      <c r="O31" s="82" t="n"/>
      <c r="P31" s="82" t="n"/>
      <c r="Q31" s="82" t="n"/>
      <c r="R31" s="82" t="n"/>
      <c r="S31" s="82" t="n"/>
    </row>
    <row r="32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  <c r="L32" s="82" t="n"/>
      <c r="N32" s="82" t="n"/>
      <c r="O32" s="82" t="n"/>
      <c r="P32" s="82" t="n"/>
      <c r="Q32" s="82" t="n"/>
      <c r="R32" s="82" t="n"/>
      <c r="S32" s="82" t="n"/>
    </row>
    <row r="33">
      <c r="A33" s="82" t="n"/>
      <c r="B33" s="82" t="n"/>
      <c r="C33" s="82" t="n"/>
      <c r="D33" s="82" t="n"/>
      <c r="E33" s="82" t="n"/>
      <c r="F33" s="82" t="n"/>
      <c r="G33" s="82" t="n"/>
      <c r="H33" s="82" t="n"/>
      <c r="I33" s="82" t="n"/>
      <c r="J33" s="82" t="n"/>
      <c r="K33" s="82" t="n"/>
      <c r="L33" s="82" t="n"/>
      <c r="N33" s="82" t="n"/>
      <c r="O33" s="82" t="n"/>
      <c r="P33" s="82" t="n"/>
      <c r="Q33" s="82" t="n"/>
      <c r="R33" s="82" t="n"/>
      <c r="S33" s="82" t="n"/>
    </row>
    <row r="34">
      <c r="A34" s="82" t="n"/>
      <c r="B34" s="82" t="n"/>
      <c r="C34" s="82" t="n"/>
      <c r="D34" s="82" t="n"/>
      <c r="E34" s="82" t="n"/>
      <c r="F34" s="82" t="n"/>
      <c r="G34" s="82" t="n"/>
      <c r="H34" s="82" t="n"/>
      <c r="I34" s="82" t="n"/>
      <c r="J34" s="82" t="n"/>
      <c r="K34" s="82" t="n"/>
      <c r="L34" s="82" t="n"/>
      <c r="N34" s="82" t="n"/>
      <c r="O34" s="82" t="n"/>
      <c r="P34" s="82" t="n"/>
      <c r="Q34" s="82" t="n"/>
      <c r="R34" s="82" t="n"/>
      <c r="S34" s="82" t="n"/>
    </row>
    <row r="35">
      <c r="A35" s="82" t="n"/>
      <c r="B35" s="82" t="n"/>
      <c r="C35" s="82" t="n"/>
      <c r="D35" s="82" t="n"/>
      <c r="E35" s="82" t="n"/>
      <c r="F35" s="82" t="n"/>
      <c r="G35" s="82" t="n"/>
      <c r="H35" s="82" t="n"/>
      <c r="I35" s="82" t="n"/>
      <c r="J35" s="82" t="n"/>
      <c r="K35" s="82" t="n"/>
      <c r="L35" s="82" t="n"/>
      <c r="N35" s="82" t="n"/>
      <c r="O35" s="82" t="n"/>
      <c r="P35" s="82" t="n"/>
      <c r="Q35" s="82" t="n"/>
      <c r="R35" s="82" t="n"/>
      <c r="S35" s="82" t="n"/>
    </row>
    <row r="36">
      <c r="A36" s="82" t="n"/>
      <c r="B36" s="82" t="n"/>
      <c r="C36" s="82" t="n"/>
      <c r="D36" s="82" t="n"/>
      <c r="E36" s="82" t="n"/>
      <c r="F36" s="82" t="n"/>
      <c r="G36" s="82" t="n"/>
      <c r="H36" s="82" t="n"/>
      <c r="I36" s="82" t="n"/>
      <c r="J36" s="82" t="n"/>
      <c r="K36" s="82" t="n"/>
      <c r="L36" s="82" t="n"/>
      <c r="N36" s="82" t="n"/>
      <c r="O36" s="82" t="n"/>
      <c r="P36" s="82" t="n"/>
      <c r="Q36" s="82" t="n"/>
      <c r="R36" s="82" t="n"/>
      <c r="S36" s="82" t="n"/>
    </row>
    <row r="37">
      <c r="A37" s="82" t="n"/>
      <c r="B37" s="82" t="n"/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  <c r="L37" s="82" t="n"/>
      <c r="N37" s="82" t="n"/>
      <c r="O37" s="82" t="n"/>
      <c r="P37" s="82" t="n"/>
      <c r="Q37" s="82" t="n"/>
      <c r="R37" s="82" t="n"/>
      <c r="S37" s="82" t="n"/>
    </row>
    <row r="38">
      <c r="A38" s="82" t="n"/>
      <c r="B38" s="82" t="n"/>
      <c r="C38" s="82" t="n"/>
      <c r="D38" s="82" t="n"/>
      <c r="E38" s="82" t="n"/>
      <c r="F38" s="82" t="n"/>
      <c r="G38" s="82" t="n"/>
      <c r="H38" s="82" t="n"/>
      <c r="I38" s="82" t="n"/>
      <c r="J38" s="82" t="n"/>
      <c r="K38" s="82" t="n"/>
      <c r="L38" s="82" t="n"/>
      <c r="N38" s="82" t="n"/>
      <c r="O38" s="82" t="n"/>
      <c r="P38" s="82" t="n"/>
      <c r="Q38" s="82" t="n"/>
      <c r="R38" s="82" t="n"/>
      <c r="S38" s="82" t="n"/>
    </row>
    <row r="39">
      <c r="A39" s="82" t="n"/>
      <c r="B39" s="82" t="n"/>
      <c r="C39" s="82" t="n"/>
      <c r="D39" s="82" t="n"/>
      <c r="E39" s="82" t="n"/>
      <c r="F39" s="82" t="n"/>
      <c r="G39" s="82" t="n"/>
      <c r="H39" s="82" t="n"/>
      <c r="I39" s="82" t="n"/>
      <c r="J39" s="82" t="n"/>
      <c r="K39" s="82" t="n"/>
      <c r="L39" s="82" t="n"/>
      <c r="N39" s="82" t="n"/>
      <c r="O39" s="82" t="n"/>
      <c r="P39" s="82" t="n"/>
      <c r="Q39" s="82" t="n"/>
      <c r="R39" s="82" t="n"/>
      <c r="S39" s="82" t="n"/>
    </row>
    <row r="40">
      <c r="A40" s="82" t="n"/>
      <c r="B40" s="82" t="n"/>
      <c r="C40" s="82" t="n"/>
      <c r="D40" s="82" t="n"/>
      <c r="E40" s="82" t="n"/>
      <c r="F40" s="82" t="n"/>
      <c r="G40" s="82" t="n"/>
      <c r="H40" s="82" t="n"/>
      <c r="I40" s="82" t="n"/>
      <c r="J40" s="82" t="n"/>
      <c r="K40" s="82" t="n"/>
      <c r="L40" s="82" t="n"/>
      <c r="N40" s="82" t="n"/>
      <c r="O40" s="82" t="n"/>
      <c r="P40" s="82" t="n"/>
      <c r="Q40" s="82" t="n"/>
      <c r="R40" s="82" t="n"/>
      <c r="S40" s="82" t="n"/>
    </row>
    <row r="41">
      <c r="A41" s="82" t="n"/>
      <c r="B41" s="82" t="n"/>
      <c r="C41" s="82" t="n"/>
      <c r="D41" s="82" t="n"/>
      <c r="E41" s="82" t="n"/>
      <c r="F41" s="82" t="n"/>
      <c r="G41" s="82" t="n"/>
      <c r="H41" s="82" t="n"/>
      <c r="I41" s="82" t="n"/>
      <c r="J41" s="82" t="n"/>
      <c r="K41" s="82" t="n"/>
      <c r="L41" s="82" t="n"/>
      <c r="N41" s="82" t="n"/>
      <c r="O41" s="82" t="n"/>
      <c r="P41" s="82" t="n"/>
      <c r="Q41" s="82" t="n"/>
      <c r="R41" s="82" t="n"/>
      <c r="S41" s="82" t="n"/>
    </row>
    <row r="42">
      <c r="A42" s="82" t="n"/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  <c r="L42" s="82" t="n"/>
      <c r="N42" s="82" t="n"/>
      <c r="O42" s="82" t="n"/>
      <c r="P42" s="82" t="n"/>
      <c r="Q42" s="82" t="n"/>
      <c r="R42" s="82" t="n"/>
      <c r="S42" s="82" t="n"/>
    </row>
    <row r="43">
      <c r="A43" s="82" t="n"/>
      <c r="B43" s="82" t="n"/>
      <c r="C43" s="82" t="n"/>
      <c r="D43" s="82" t="n"/>
      <c r="E43" s="82" t="n"/>
      <c r="F43" s="82" t="n"/>
      <c r="G43" s="82" t="n"/>
      <c r="H43" s="82" t="n"/>
      <c r="I43" s="82" t="n"/>
      <c r="J43" s="82" t="n"/>
      <c r="K43" s="82" t="n"/>
      <c r="L43" s="82" t="n"/>
      <c r="N43" s="82" t="n"/>
      <c r="O43" s="82" t="n"/>
      <c r="P43" s="82" t="n"/>
      <c r="Q43" s="82" t="n"/>
      <c r="R43" s="82" t="n"/>
      <c r="S43" s="82" t="n"/>
    </row>
    <row r="44">
      <c r="A44" s="82" t="n"/>
      <c r="B44" s="82" t="n"/>
      <c r="C44" s="82" t="n"/>
      <c r="D44" s="82" t="n"/>
      <c r="E44" s="82" t="n"/>
      <c r="F44" s="82" t="n"/>
      <c r="G44" s="82" t="n"/>
      <c r="H44" s="82" t="n"/>
      <c r="I44" s="82" t="n"/>
      <c r="J44" s="82" t="n"/>
      <c r="K44" s="82" t="n"/>
      <c r="L44" s="82" t="n"/>
      <c r="N44" s="82" t="n"/>
      <c r="O44" s="82" t="n"/>
      <c r="P44" s="82" t="n"/>
      <c r="Q44" s="82" t="n"/>
      <c r="R44" s="82" t="n"/>
      <c r="S44" s="82" t="n"/>
    </row>
    <row r="45">
      <c r="A45" s="82" t="n"/>
      <c r="B45" s="82" t="n"/>
      <c r="C45" s="82" t="n"/>
      <c r="D45" s="82" t="n"/>
      <c r="E45" s="82" t="n"/>
      <c r="F45" s="82" t="n"/>
      <c r="G45" s="82" t="n"/>
      <c r="H45" s="82" t="n"/>
      <c r="I45" s="82" t="n"/>
      <c r="J45" s="82" t="n"/>
      <c r="K45" s="82" t="n"/>
      <c r="L45" s="82" t="n"/>
      <c r="N45" s="82" t="n"/>
      <c r="O45" s="82" t="n"/>
      <c r="P45" s="82" t="n"/>
      <c r="Q45" s="82" t="n"/>
      <c r="R45" s="82" t="n"/>
      <c r="S45" s="82" t="n"/>
    </row>
    <row r="46">
      <c r="A46" s="82" t="n"/>
      <c r="B46" s="82" t="n"/>
      <c r="C46" s="82" t="n"/>
      <c r="D46" s="82" t="n"/>
      <c r="E46" s="82" t="n"/>
      <c r="F46" s="82" t="n"/>
      <c r="G46" s="82" t="n"/>
      <c r="H46" s="82" t="n"/>
      <c r="I46" s="82" t="n"/>
      <c r="J46" s="82" t="n"/>
      <c r="K46" s="82" t="n"/>
      <c r="L46" s="82" t="n"/>
      <c r="N46" s="82" t="n"/>
      <c r="O46" s="82" t="n"/>
      <c r="P46" s="82" t="n"/>
      <c r="Q46" s="82" t="n"/>
      <c r="R46" s="82" t="n"/>
      <c r="S46" s="82" t="n"/>
    </row>
    <row r="47">
      <c r="A47" s="82" t="n"/>
      <c r="B47" s="82" t="n"/>
      <c r="C47" s="82" t="n"/>
      <c r="D47" s="82" t="n"/>
      <c r="E47" s="82" t="n"/>
      <c r="F47" s="82" t="n"/>
      <c r="G47" s="82" t="n"/>
      <c r="H47" s="82" t="n"/>
      <c r="I47" s="82" t="n"/>
      <c r="J47" s="82" t="n"/>
      <c r="K47" s="82" t="n"/>
      <c r="L47" s="82" t="n"/>
      <c r="N47" s="82" t="n"/>
      <c r="O47" s="82" t="n"/>
      <c r="P47" s="82" t="n"/>
      <c r="Q47" s="82" t="n"/>
      <c r="R47" s="82" t="n"/>
      <c r="S47" s="82" t="n"/>
    </row>
    <row r="48">
      <c r="A48" s="82" t="n"/>
      <c r="B48" s="82" t="n"/>
      <c r="C48" s="82" t="n"/>
      <c r="D48" s="82" t="n"/>
      <c r="E48" s="82" t="n"/>
      <c r="F48" s="82" t="n"/>
      <c r="G48" s="82" t="n"/>
      <c r="H48" s="82" t="n"/>
      <c r="I48" s="82" t="n"/>
      <c r="J48" s="82" t="n"/>
      <c r="K48" s="82" t="n"/>
      <c r="L48" s="82" t="n"/>
      <c r="N48" s="82" t="n"/>
      <c r="O48" s="82" t="n"/>
      <c r="P48" s="82" t="n"/>
      <c r="Q48" s="82" t="n"/>
      <c r="R48" s="82" t="n"/>
      <c r="S48" s="82" t="n"/>
    </row>
    <row r="49">
      <c r="A49" s="82" t="n"/>
      <c r="B49" s="82" t="n"/>
      <c r="C49" s="82" t="n"/>
      <c r="D49" s="82" t="n"/>
      <c r="E49" s="82" t="n"/>
      <c r="F49" s="82" t="n"/>
      <c r="G49" s="82" t="n"/>
      <c r="H49" s="82" t="n"/>
      <c r="I49" s="82" t="n"/>
      <c r="J49" s="82" t="n"/>
      <c r="K49" s="82" t="n"/>
      <c r="L49" s="82" t="n"/>
      <c r="N49" s="82" t="n"/>
      <c r="O49" s="82" t="n"/>
      <c r="P49" s="82" t="n"/>
      <c r="Q49" s="82" t="n"/>
      <c r="R49" s="82" t="n"/>
      <c r="S49" s="82" t="n"/>
    </row>
    <row r="50">
      <c r="A50" s="82" t="n"/>
      <c r="B50" s="82" t="n"/>
      <c r="C50" s="82" t="n"/>
      <c r="D50" s="82" t="n"/>
      <c r="E50" s="82" t="n"/>
      <c r="F50" s="82" t="n"/>
      <c r="G50" s="82" t="n"/>
      <c r="H50" s="82" t="n"/>
      <c r="I50" s="82" t="n"/>
      <c r="J50" s="82" t="n"/>
      <c r="K50" s="82" t="n"/>
      <c r="L50" s="82" t="n"/>
      <c r="N50" s="82" t="n"/>
      <c r="O50" s="82" t="n"/>
      <c r="P50" s="82" t="n"/>
      <c r="Q50" s="82" t="n"/>
      <c r="R50" s="82" t="n"/>
      <c r="S50" s="82" t="n"/>
    </row>
    <row r="51">
      <c r="A51" s="82" t="n"/>
      <c r="B51" s="82" t="n"/>
      <c r="C51" s="82" t="n"/>
      <c r="D51" s="82" t="n"/>
      <c r="E51" s="82" t="n"/>
      <c r="F51" s="82" t="n"/>
      <c r="G51" s="82" t="n"/>
      <c r="H51" s="82" t="n"/>
      <c r="I51" s="82" t="n"/>
      <c r="J51" s="82" t="n"/>
      <c r="K51" s="82" t="n"/>
      <c r="L51" s="82" t="n"/>
      <c r="N51" s="82" t="n"/>
      <c r="O51" s="82" t="n"/>
      <c r="P51" s="82" t="n"/>
      <c r="Q51" s="82" t="n"/>
      <c r="R51" s="82" t="n"/>
      <c r="S51" s="82" t="n"/>
    </row>
    <row r="52">
      <c r="A52" s="82" t="n"/>
      <c r="B52" s="82" t="n"/>
      <c r="C52" s="82" t="n"/>
      <c r="D52" s="82" t="n"/>
      <c r="E52" s="82" t="n"/>
      <c r="F52" s="82" t="n"/>
      <c r="G52" s="82" t="n"/>
      <c r="H52" s="82" t="n"/>
      <c r="I52" s="82" t="n"/>
      <c r="J52" s="82" t="n"/>
      <c r="K52" s="82" t="n"/>
      <c r="L52" s="82" t="n"/>
      <c r="N52" s="82" t="n"/>
      <c r="O52" s="82" t="n"/>
      <c r="P52" s="82" t="n"/>
      <c r="Q52" s="82" t="n"/>
      <c r="R52" s="82" t="n"/>
      <c r="S52" s="82" t="n"/>
    </row>
    <row r="53">
      <c r="A53" s="82" t="n"/>
      <c r="B53" s="82" t="n"/>
      <c r="C53" s="82" t="n"/>
      <c r="D53" s="82" t="n"/>
      <c r="E53" s="82" t="n"/>
      <c r="F53" s="82" t="n"/>
      <c r="G53" s="82" t="n"/>
      <c r="H53" s="82" t="n"/>
      <c r="I53" s="82" t="n"/>
      <c r="J53" s="82" t="n"/>
      <c r="K53" s="82" t="n"/>
      <c r="L53" s="82" t="n"/>
      <c r="N53" s="82" t="n"/>
      <c r="O53" s="82" t="n"/>
      <c r="P53" s="82" t="n"/>
      <c r="Q53" s="82" t="n"/>
      <c r="R53" s="82" t="n"/>
      <c r="S53" s="82" t="n"/>
    </row>
    <row r="54">
      <c r="A54" s="82" t="n"/>
      <c r="B54" s="82" t="n"/>
      <c r="C54" s="82" t="n"/>
      <c r="D54" s="82" t="n"/>
      <c r="E54" s="82" t="n"/>
      <c r="F54" s="82" t="n"/>
      <c r="G54" s="82" t="n"/>
      <c r="H54" s="82" t="n"/>
      <c r="I54" s="82" t="n"/>
      <c r="J54" s="82" t="n"/>
      <c r="K54" s="82" t="n"/>
      <c r="L54" s="82" t="n"/>
      <c r="N54" s="82" t="n"/>
      <c r="O54" s="82" t="n"/>
      <c r="P54" s="82" t="n"/>
      <c r="Q54" s="82" t="n"/>
      <c r="R54" s="82" t="n"/>
      <c r="S54" s="82" t="n"/>
    </row>
    <row r="55">
      <c r="A55" s="82" t="n"/>
      <c r="B55" s="82" t="n"/>
      <c r="C55" s="82" t="n"/>
      <c r="D55" s="82" t="n"/>
      <c r="E55" s="82" t="n"/>
      <c r="F55" s="82" t="n"/>
      <c r="G55" s="82" t="n"/>
      <c r="H55" s="82" t="n"/>
      <c r="I55" s="82" t="n"/>
      <c r="J55" s="82" t="n"/>
      <c r="K55" s="82" t="n"/>
      <c r="L55" s="82" t="n"/>
      <c r="N55" s="82" t="n"/>
      <c r="O55" s="82" t="n"/>
      <c r="P55" s="82" t="n"/>
      <c r="Q55" s="82" t="n"/>
      <c r="R55" s="82" t="n"/>
      <c r="S55" s="82" t="n"/>
    </row>
    <row r="56">
      <c r="A56" s="82" t="n"/>
      <c r="B56" s="82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2" t="n"/>
      <c r="L56" s="82" t="n"/>
      <c r="N56" s="82" t="n"/>
      <c r="O56" s="82" t="n"/>
      <c r="P56" s="82" t="n"/>
      <c r="Q56" s="82" t="n"/>
      <c r="R56" s="82" t="n"/>
      <c r="S56" s="82" t="n"/>
    </row>
    <row r="57">
      <c r="A57" s="82" t="n"/>
      <c r="B57" s="82" t="n"/>
      <c r="C57" s="82" t="n"/>
      <c r="D57" s="82" t="n"/>
      <c r="E57" s="82" t="n"/>
      <c r="F57" s="82" t="n"/>
      <c r="G57" s="82" t="n"/>
      <c r="H57" s="82" t="n"/>
      <c r="I57" s="82" t="n"/>
      <c r="J57" s="82" t="n"/>
      <c r="K57" s="82" t="n"/>
      <c r="L57" s="82" t="n"/>
      <c r="N57" s="82" t="n"/>
      <c r="O57" s="82" t="n"/>
      <c r="P57" s="82" t="n"/>
      <c r="Q57" s="82" t="n"/>
      <c r="R57" s="82" t="n"/>
      <c r="S57" s="82" t="n"/>
    </row>
    <row r="58">
      <c r="A58" s="82" t="n"/>
      <c r="B58" s="82" t="n"/>
      <c r="C58" s="82" t="n"/>
      <c r="D58" s="82" t="n"/>
      <c r="E58" s="82" t="n"/>
      <c r="F58" s="82" t="n"/>
      <c r="G58" s="82" t="n"/>
      <c r="H58" s="82" t="n"/>
      <c r="I58" s="82" t="n"/>
      <c r="J58" s="82" t="n"/>
      <c r="K58" s="82" t="n"/>
      <c r="L58" s="82" t="n"/>
      <c r="N58" s="82" t="n"/>
      <c r="O58" s="82" t="n"/>
      <c r="P58" s="82" t="n"/>
      <c r="Q58" s="82" t="n"/>
      <c r="R58" s="82" t="n"/>
      <c r="S58" s="82" t="n"/>
    </row>
    <row r="59">
      <c r="A59" s="82" t="n"/>
      <c r="B59" s="82" t="n"/>
      <c r="C59" s="82" t="n"/>
      <c r="D59" s="82" t="n"/>
      <c r="E59" s="82" t="n"/>
      <c r="F59" s="82" t="n"/>
      <c r="G59" s="82" t="n"/>
      <c r="H59" s="82" t="n"/>
      <c r="I59" s="82" t="n"/>
      <c r="J59" s="82" t="n"/>
      <c r="K59" s="82" t="n"/>
      <c r="L59" s="82" t="n"/>
      <c r="N59" s="82" t="n"/>
      <c r="O59" s="82" t="n"/>
      <c r="P59" s="82" t="n"/>
      <c r="Q59" s="82" t="n"/>
      <c r="R59" s="82" t="n"/>
      <c r="S59" s="82" t="n"/>
    </row>
    <row r="60">
      <c r="A60" s="82" t="n"/>
      <c r="B60" s="82" t="n"/>
      <c r="C60" s="82" t="n"/>
      <c r="D60" s="82" t="n"/>
      <c r="E60" s="82" t="n"/>
      <c r="F60" s="82" t="n"/>
      <c r="G60" s="82" t="n"/>
      <c r="H60" s="82" t="n"/>
      <c r="I60" s="82" t="n"/>
      <c r="J60" s="82" t="n"/>
      <c r="K60" s="82" t="n"/>
      <c r="L60" s="82" t="n"/>
      <c r="N60" s="82" t="n"/>
      <c r="O60" s="82" t="n"/>
      <c r="P60" s="82" t="n"/>
      <c r="Q60" s="82" t="n"/>
      <c r="R60" s="82" t="n"/>
      <c r="S60" s="82" t="n"/>
    </row>
    <row r="61">
      <c r="A61" s="82" t="n"/>
      <c r="B61" s="82" t="n"/>
      <c r="C61" s="82" t="n"/>
      <c r="D61" s="82" t="n"/>
      <c r="E61" s="82" t="n"/>
      <c r="F61" s="82" t="n"/>
      <c r="G61" s="82" t="n"/>
      <c r="H61" s="82" t="n"/>
      <c r="I61" s="82" t="n"/>
      <c r="J61" s="82" t="n"/>
      <c r="K61" s="82" t="n"/>
      <c r="L61" s="82" t="n"/>
      <c r="N61" s="82" t="n"/>
      <c r="O61" s="82" t="n"/>
      <c r="P61" s="82" t="n"/>
      <c r="Q61" s="82" t="n"/>
      <c r="R61" s="82" t="n"/>
      <c r="S61" s="82" t="n"/>
    </row>
    <row r="62">
      <c r="A62" s="82" t="n"/>
      <c r="B62" s="82" t="n"/>
      <c r="C62" s="82" t="n"/>
      <c r="D62" s="82" t="n"/>
      <c r="E62" s="82" t="n"/>
      <c r="F62" s="82" t="n"/>
      <c r="G62" s="82" t="n"/>
      <c r="H62" s="82" t="n"/>
      <c r="I62" s="82" t="n"/>
      <c r="J62" s="82" t="n"/>
      <c r="K62" s="82" t="n"/>
      <c r="L62" s="82" t="n"/>
      <c r="N62" s="82" t="n"/>
      <c r="O62" s="82" t="n"/>
      <c r="P62" s="82" t="n"/>
      <c r="Q62" s="82" t="n"/>
      <c r="R62" s="82" t="n"/>
      <c r="S62" s="82" t="n"/>
    </row>
    <row r="63">
      <c r="A63" s="82" t="n"/>
      <c r="B63" s="82" t="n"/>
      <c r="C63" s="82" t="n"/>
      <c r="D63" s="82" t="n"/>
      <c r="E63" s="82" t="n"/>
      <c r="F63" s="82" t="n"/>
      <c r="G63" s="82" t="n"/>
      <c r="H63" s="82" t="n"/>
      <c r="I63" s="82" t="n"/>
      <c r="J63" s="82" t="n"/>
      <c r="K63" s="82" t="n"/>
      <c r="L63" s="82" t="n"/>
      <c r="N63" s="82" t="n"/>
      <c r="O63" s="82" t="n"/>
      <c r="P63" s="82" t="n"/>
      <c r="Q63" s="82" t="n"/>
      <c r="R63" s="82" t="n"/>
      <c r="S63" s="82" t="n"/>
    </row>
    <row r="64">
      <c r="A64" s="82" t="n"/>
      <c r="B64" s="82" t="n"/>
      <c r="C64" s="82" t="n"/>
      <c r="D64" s="82" t="n"/>
      <c r="E64" s="82" t="n"/>
      <c r="F64" s="82" t="n"/>
      <c r="G64" s="82" t="n"/>
      <c r="H64" s="82" t="n"/>
      <c r="I64" s="82" t="n"/>
      <c r="J64" s="82" t="n"/>
      <c r="K64" s="82" t="n"/>
      <c r="L64" s="82" t="n"/>
      <c r="N64" s="82" t="n"/>
      <c r="O64" s="82" t="n"/>
      <c r="P64" s="82" t="n"/>
      <c r="Q64" s="82" t="n"/>
      <c r="R64" s="82" t="n"/>
      <c r="S64" s="82" t="n"/>
    </row>
    <row r="65">
      <c r="A65" s="82" t="n"/>
      <c r="B65" s="82" t="n"/>
      <c r="C65" s="82" t="n"/>
      <c r="D65" s="82" t="n"/>
      <c r="E65" s="82" t="n"/>
      <c r="F65" s="82" t="n"/>
      <c r="G65" s="82" t="n"/>
      <c r="H65" s="82" t="n"/>
      <c r="I65" s="82" t="n"/>
      <c r="J65" s="82" t="n"/>
      <c r="K65" s="82" t="n"/>
      <c r="L65" s="82" t="n"/>
      <c r="N65" s="82" t="n"/>
      <c r="O65" s="82" t="n"/>
      <c r="P65" s="82" t="n"/>
      <c r="Q65" s="82" t="n"/>
      <c r="R65" s="82" t="n"/>
      <c r="S65" s="82" t="n"/>
    </row>
    <row r="66">
      <c r="A66" s="82" t="n"/>
      <c r="B66" s="82" t="n"/>
      <c r="C66" s="82" t="n"/>
      <c r="D66" s="82" t="n"/>
      <c r="E66" s="82" t="n"/>
      <c r="F66" s="82" t="n"/>
      <c r="G66" s="82" t="n"/>
      <c r="H66" s="82" t="n"/>
      <c r="I66" s="82" t="n"/>
      <c r="J66" s="82" t="n"/>
      <c r="K66" s="82" t="n"/>
      <c r="L66" s="82" t="n"/>
      <c r="N66" s="82" t="n"/>
      <c r="O66" s="82" t="n"/>
      <c r="P66" s="82" t="n"/>
      <c r="Q66" s="82" t="n"/>
      <c r="R66" s="82" t="n"/>
      <c r="S66" s="82" t="n"/>
    </row>
    <row r="67">
      <c r="A67" s="82" t="n"/>
      <c r="B67" s="82" t="n"/>
      <c r="C67" s="82" t="n"/>
      <c r="D67" s="82" t="n"/>
      <c r="E67" s="82" t="n"/>
      <c r="F67" s="82" t="n"/>
      <c r="G67" s="82" t="n"/>
      <c r="H67" s="82" t="n"/>
      <c r="I67" s="82" t="n"/>
      <c r="J67" s="82" t="n"/>
      <c r="K67" s="82" t="n"/>
      <c r="L67" s="82" t="n"/>
      <c r="N67" s="82" t="n"/>
      <c r="O67" s="82" t="n"/>
      <c r="P67" s="82" t="n"/>
      <c r="Q67" s="82" t="n"/>
      <c r="R67" s="82" t="n"/>
      <c r="S67" s="82" t="n"/>
    </row>
    <row r="68">
      <c r="A68" s="82" t="n"/>
      <c r="B68" s="82" t="n"/>
      <c r="C68" s="82" t="n"/>
      <c r="D68" s="82" t="n"/>
      <c r="E68" s="82" t="n"/>
      <c r="F68" s="82" t="n"/>
      <c r="G68" s="82" t="n"/>
      <c r="H68" s="82" t="n"/>
      <c r="I68" s="82" t="n"/>
      <c r="J68" s="82" t="n"/>
      <c r="K68" s="82" t="n"/>
      <c r="L68" s="82" t="n"/>
      <c r="N68" s="82" t="n"/>
      <c r="O68" s="82" t="n"/>
      <c r="P68" s="82" t="n"/>
      <c r="Q68" s="82" t="n"/>
      <c r="R68" s="82" t="n"/>
      <c r="S68" s="82" t="n"/>
    </row>
    <row r="69">
      <c r="A69" s="82" t="n"/>
      <c r="B69" s="82" t="n"/>
      <c r="C69" s="82" t="n"/>
      <c r="D69" s="82" t="n"/>
      <c r="E69" s="82" t="n"/>
      <c r="F69" s="82" t="n"/>
      <c r="G69" s="82" t="n"/>
      <c r="H69" s="82" t="n"/>
      <c r="I69" s="82" t="n"/>
      <c r="J69" s="82" t="n"/>
      <c r="K69" s="82" t="n"/>
      <c r="L69" s="82" t="n"/>
      <c r="N69" s="82" t="n"/>
      <c r="O69" s="82" t="n"/>
      <c r="P69" s="82" t="n"/>
      <c r="Q69" s="82" t="n"/>
      <c r="R69" s="82" t="n"/>
      <c r="S69" s="82" t="n"/>
    </row>
    <row r="70">
      <c r="A70" s="82" t="n"/>
      <c r="B70" s="82" t="n"/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N70" s="82" t="n"/>
      <c r="O70" s="82" t="n"/>
      <c r="P70" s="82" t="n"/>
      <c r="Q70" s="82" t="n"/>
      <c r="R70" s="82" t="n"/>
      <c r="S70" s="82" t="n"/>
    </row>
    <row r="71">
      <c r="A71" s="82" t="n"/>
      <c r="B71" s="82" t="n"/>
      <c r="C71" s="82" t="n"/>
      <c r="D71" s="82" t="n"/>
      <c r="E71" s="82" t="n"/>
      <c r="F71" s="82" t="n"/>
      <c r="G71" s="82" t="n"/>
      <c r="H71" s="82" t="n"/>
      <c r="I71" s="82" t="n"/>
      <c r="J71" s="82" t="n"/>
      <c r="K71" s="82" t="n"/>
      <c r="L71" s="82" t="n"/>
      <c r="N71" s="82" t="n"/>
      <c r="O71" s="82" t="n"/>
      <c r="P71" s="82" t="n"/>
      <c r="Q71" s="82" t="n"/>
      <c r="R71" s="82" t="n"/>
      <c r="S71" s="82" t="n"/>
    </row>
    <row r="72">
      <c r="A72" s="82" t="n"/>
      <c r="B72" s="82" t="n"/>
      <c r="C72" s="82" t="n"/>
      <c r="D72" s="82" t="n"/>
      <c r="E72" s="82" t="n"/>
      <c r="F72" s="82" t="n"/>
      <c r="G72" s="82" t="n"/>
      <c r="H72" s="82" t="n"/>
      <c r="I72" s="82" t="n"/>
      <c r="J72" s="82" t="n"/>
      <c r="K72" s="82" t="n"/>
      <c r="L72" s="82" t="n"/>
      <c r="N72" s="82" t="n"/>
      <c r="O72" s="82" t="n"/>
      <c r="P72" s="82" t="n"/>
      <c r="Q72" s="82" t="n"/>
      <c r="R72" s="82" t="n"/>
      <c r="S72" s="82" t="n"/>
    </row>
    <row r="73">
      <c r="A73" s="82" t="n"/>
      <c r="B73" s="82" t="n"/>
      <c r="C73" s="82" t="n"/>
      <c r="D73" s="82" t="n"/>
      <c r="E73" s="82" t="n"/>
      <c r="F73" s="82" t="n"/>
      <c r="G73" s="82" t="n"/>
      <c r="H73" s="82" t="n"/>
      <c r="I73" s="82" t="n"/>
      <c r="J73" s="82" t="n"/>
      <c r="K73" s="82" t="n"/>
      <c r="L73" s="82" t="n"/>
      <c r="N73" s="82" t="n"/>
      <c r="O73" s="82" t="n"/>
      <c r="P73" s="82" t="n"/>
      <c r="Q73" s="82" t="n"/>
      <c r="R73" s="82" t="n"/>
      <c r="S73" s="82" t="n"/>
    </row>
    <row r="74">
      <c r="A74" s="82" t="n"/>
      <c r="B74" s="82" t="n"/>
      <c r="C74" s="82" t="n"/>
      <c r="D74" s="82" t="n"/>
      <c r="E74" s="82" t="n"/>
      <c r="F74" s="82" t="n"/>
      <c r="G74" s="82" t="n"/>
      <c r="H74" s="82" t="n"/>
      <c r="I74" s="82" t="n"/>
      <c r="J74" s="82" t="n"/>
      <c r="K74" s="82" t="n"/>
      <c r="L74" s="82" t="n"/>
      <c r="N74" s="82" t="n"/>
      <c r="O74" s="82" t="n"/>
      <c r="P74" s="82" t="n"/>
      <c r="Q74" s="82" t="n"/>
      <c r="R74" s="82" t="n"/>
      <c r="S74" s="82" t="n"/>
    </row>
    <row r="75">
      <c r="A75" s="82" t="n"/>
      <c r="B75" s="82" t="n"/>
      <c r="C75" s="82" t="n"/>
      <c r="D75" s="82" t="n"/>
      <c r="E75" s="82" t="n"/>
      <c r="F75" s="82" t="n"/>
      <c r="G75" s="82" t="n"/>
      <c r="H75" s="82" t="n"/>
      <c r="I75" s="82" t="n"/>
      <c r="J75" s="82" t="n"/>
      <c r="K75" s="82" t="n"/>
      <c r="L75" s="82" t="n"/>
      <c r="N75" s="82" t="n"/>
      <c r="O75" s="82" t="n"/>
      <c r="P75" s="82" t="n"/>
      <c r="Q75" s="82" t="n"/>
      <c r="R75" s="82" t="n"/>
      <c r="S75" s="82" t="n"/>
    </row>
    <row r="76">
      <c r="A76" s="82" t="n"/>
      <c r="B76" s="82" t="n"/>
      <c r="C76" s="82" t="n"/>
      <c r="D76" s="82" t="n"/>
      <c r="E76" s="82" t="n"/>
      <c r="F76" s="82" t="n"/>
      <c r="G76" s="82" t="n"/>
      <c r="H76" s="82" t="n"/>
      <c r="I76" s="82" t="n"/>
      <c r="J76" s="82" t="n"/>
      <c r="K76" s="82" t="n"/>
      <c r="L76" s="82" t="n"/>
      <c r="N76" s="82" t="n"/>
      <c r="O76" s="82" t="n"/>
      <c r="P76" s="82" t="n"/>
      <c r="Q76" s="82" t="n"/>
      <c r="R76" s="82" t="n"/>
      <c r="S76" s="82" t="n"/>
    </row>
    <row r="77">
      <c r="A77" s="82" t="n"/>
      <c r="B77" s="82" t="n"/>
      <c r="C77" s="82" t="n"/>
      <c r="D77" s="82" t="n"/>
      <c r="E77" s="82" t="n"/>
      <c r="F77" s="82" t="n"/>
      <c r="G77" s="82" t="n"/>
      <c r="H77" s="82" t="n"/>
      <c r="I77" s="82" t="n"/>
      <c r="J77" s="82" t="n"/>
      <c r="K77" s="82" t="n"/>
      <c r="L77" s="82" t="n"/>
      <c r="N77" s="82" t="n"/>
      <c r="O77" s="82" t="n"/>
      <c r="P77" s="82" t="n"/>
      <c r="Q77" s="82" t="n"/>
      <c r="R77" s="82" t="n"/>
      <c r="S77" s="82" t="n"/>
    </row>
    <row r="78">
      <c r="A78" s="82" t="n"/>
      <c r="B78" s="82" t="n"/>
      <c r="C78" s="82" t="n"/>
      <c r="D78" s="82" t="n"/>
      <c r="E78" s="82" t="n"/>
      <c r="F78" s="82" t="n"/>
      <c r="G78" s="82" t="n"/>
      <c r="H78" s="82" t="n"/>
      <c r="I78" s="82" t="n"/>
      <c r="J78" s="82" t="n"/>
      <c r="K78" s="82" t="n"/>
      <c r="L78" s="82" t="n"/>
      <c r="N78" s="82" t="n"/>
      <c r="O78" s="82" t="n"/>
      <c r="P78" s="82" t="n"/>
      <c r="Q78" s="82" t="n"/>
      <c r="R78" s="82" t="n"/>
      <c r="S78" s="82" t="n"/>
    </row>
    <row r="79">
      <c r="A79" s="82" t="n"/>
      <c r="B79" s="82" t="n"/>
      <c r="C79" s="82" t="n"/>
      <c r="D79" s="82" t="n"/>
      <c r="E79" s="82" t="n"/>
      <c r="F79" s="82" t="n"/>
      <c r="G79" s="82" t="n"/>
      <c r="H79" s="82" t="n"/>
      <c r="I79" s="82" t="n"/>
      <c r="J79" s="82" t="n"/>
      <c r="K79" s="82" t="n"/>
      <c r="L79" s="82" t="n"/>
      <c r="N79" s="82" t="n"/>
      <c r="O79" s="82" t="n"/>
      <c r="P79" s="82" t="n"/>
      <c r="Q79" s="82" t="n"/>
      <c r="R79" s="82" t="n"/>
      <c r="S79" s="82" t="n"/>
    </row>
    <row r="80">
      <c r="A80" s="82" t="n"/>
      <c r="B80" s="82" t="n"/>
      <c r="C80" s="82" t="n"/>
      <c r="D80" s="82" t="n"/>
      <c r="E80" s="82" t="n"/>
      <c r="F80" s="82" t="n"/>
      <c r="G80" s="82" t="n"/>
      <c r="H80" s="82" t="n"/>
      <c r="I80" s="82" t="n"/>
      <c r="J80" s="82" t="n"/>
      <c r="K80" s="82" t="n"/>
      <c r="L80" s="82" t="n"/>
      <c r="N80" s="82" t="n"/>
      <c r="O80" s="82" t="n"/>
      <c r="P80" s="82" t="n"/>
      <c r="Q80" s="82" t="n"/>
      <c r="R80" s="82" t="n"/>
      <c r="S80" s="82" t="n"/>
    </row>
    <row r="81">
      <c r="A81" s="82" t="n"/>
      <c r="B81" s="82" t="n"/>
      <c r="C81" s="82" t="n"/>
      <c r="D81" s="82" t="n"/>
      <c r="E81" s="82" t="n"/>
      <c r="F81" s="82" t="n"/>
      <c r="G81" s="82" t="n"/>
      <c r="H81" s="82" t="n"/>
      <c r="I81" s="82" t="n"/>
      <c r="J81" s="82" t="n"/>
      <c r="K81" s="82" t="n"/>
      <c r="L81" s="82" t="n"/>
      <c r="N81" s="82" t="n"/>
      <c r="O81" s="82" t="n"/>
      <c r="P81" s="82" t="n"/>
      <c r="Q81" s="82" t="n"/>
      <c r="R81" s="82" t="n"/>
      <c r="S81" s="82" t="n"/>
    </row>
    <row r="82">
      <c r="A82" s="82" t="n"/>
      <c r="B82" s="82" t="n"/>
      <c r="C82" s="82" t="n"/>
      <c r="D82" s="82" t="n"/>
      <c r="E82" s="82" t="n"/>
      <c r="F82" s="82" t="n"/>
      <c r="G82" s="82" t="n"/>
      <c r="H82" s="82" t="n"/>
      <c r="I82" s="82" t="n"/>
      <c r="J82" s="82" t="n"/>
      <c r="K82" s="82" t="n"/>
      <c r="L82" s="82" t="n"/>
      <c r="N82" s="82" t="n"/>
      <c r="O82" s="82" t="n"/>
      <c r="P82" s="82" t="n"/>
      <c r="Q82" s="82" t="n"/>
      <c r="R82" s="82" t="n"/>
      <c r="S82" s="82" t="n"/>
    </row>
    <row r="83">
      <c r="A83" s="82" t="n"/>
      <c r="B83" s="82" t="n"/>
      <c r="C83" s="82" t="n"/>
      <c r="D83" s="82" t="n"/>
      <c r="E83" s="82" t="n"/>
      <c r="F83" s="82" t="n"/>
      <c r="G83" s="82" t="n"/>
      <c r="H83" s="82" t="n"/>
      <c r="I83" s="82" t="n"/>
      <c r="J83" s="82" t="n"/>
      <c r="K83" s="82" t="n"/>
      <c r="L83" s="82" t="n"/>
      <c r="N83" s="82" t="n"/>
      <c r="O83" s="82" t="n"/>
      <c r="P83" s="82" t="n"/>
      <c r="Q83" s="82" t="n"/>
      <c r="R83" s="82" t="n"/>
      <c r="S83" s="82" t="n"/>
    </row>
    <row r="84">
      <c r="A84" s="82" t="n"/>
      <c r="B84" s="82" t="n"/>
      <c r="C84" s="82" t="n"/>
      <c r="D84" s="82" t="n"/>
      <c r="E84" s="82" t="n"/>
      <c r="F84" s="82" t="n"/>
      <c r="G84" s="82" t="n"/>
      <c r="H84" s="82" t="n"/>
      <c r="I84" s="82" t="n"/>
      <c r="J84" s="82" t="n"/>
      <c r="K84" s="82" t="n"/>
      <c r="L84" s="82" t="n"/>
      <c r="N84" s="82" t="n"/>
      <c r="O84" s="82" t="n"/>
      <c r="P84" s="82" t="n"/>
      <c r="Q84" s="82" t="n"/>
      <c r="R84" s="82" t="n"/>
      <c r="S84" s="82" t="n"/>
    </row>
    <row r="85">
      <c r="A85" s="82" t="n"/>
      <c r="B85" s="82" t="n"/>
      <c r="C85" s="82" t="n"/>
      <c r="D85" s="82" t="n"/>
      <c r="E85" s="82" t="n"/>
      <c r="F85" s="82" t="n"/>
      <c r="G85" s="82" t="n"/>
      <c r="H85" s="82" t="n"/>
      <c r="I85" s="82" t="n"/>
      <c r="J85" s="82" t="n"/>
      <c r="K85" s="82" t="n"/>
      <c r="L85" s="82" t="n"/>
      <c r="N85" s="82" t="n"/>
      <c r="O85" s="82" t="n"/>
      <c r="P85" s="82" t="n"/>
      <c r="Q85" s="82" t="n"/>
      <c r="R85" s="82" t="n"/>
      <c r="S85" s="82" t="n"/>
    </row>
    <row r="86">
      <c r="A86" s="82" t="n"/>
      <c r="B86" s="82" t="n"/>
      <c r="C86" s="82" t="n"/>
      <c r="D86" s="82" t="n"/>
      <c r="E86" s="82" t="n"/>
      <c r="F86" s="82" t="n"/>
      <c r="G86" s="82" t="n"/>
      <c r="H86" s="82" t="n"/>
      <c r="I86" s="82" t="n"/>
      <c r="J86" s="82" t="n"/>
      <c r="K86" s="82" t="n"/>
      <c r="L86" s="82" t="n"/>
      <c r="N86" s="82" t="n"/>
      <c r="O86" s="82" t="n"/>
      <c r="P86" s="82" t="n"/>
      <c r="Q86" s="82" t="n"/>
      <c r="R86" s="82" t="n"/>
      <c r="S86" s="82" t="n"/>
    </row>
    <row r="87">
      <c r="A87" s="82" t="n"/>
      <c r="B87" s="82" t="n"/>
      <c r="C87" s="82" t="n"/>
      <c r="D87" s="82" t="n"/>
      <c r="E87" s="82" t="n"/>
      <c r="F87" s="82" t="n"/>
      <c r="G87" s="82" t="n"/>
      <c r="H87" s="82" t="n"/>
      <c r="I87" s="82" t="n"/>
      <c r="J87" s="82" t="n"/>
      <c r="K87" s="82" t="n"/>
      <c r="L87" s="82" t="n"/>
      <c r="N87" s="82" t="n"/>
      <c r="O87" s="82" t="n"/>
      <c r="P87" s="82" t="n"/>
      <c r="Q87" s="82" t="n"/>
      <c r="R87" s="82" t="n"/>
      <c r="S87" s="82" t="n"/>
    </row>
    <row r="88">
      <c r="A88" s="82" t="n"/>
      <c r="B88" s="82" t="n"/>
      <c r="C88" s="82" t="n"/>
      <c r="D88" s="82" t="n"/>
      <c r="E88" s="82" t="n"/>
      <c r="F88" s="82" t="n"/>
      <c r="G88" s="82" t="n"/>
      <c r="H88" s="82" t="n"/>
      <c r="I88" s="82" t="n"/>
      <c r="J88" s="82" t="n"/>
      <c r="K88" s="82" t="n"/>
      <c r="L88" s="82" t="n"/>
      <c r="N88" s="82" t="n"/>
      <c r="O88" s="82" t="n"/>
      <c r="P88" s="82" t="n"/>
      <c r="Q88" s="82" t="n"/>
      <c r="R88" s="82" t="n"/>
      <c r="S88" s="82" t="n"/>
    </row>
    <row r="89">
      <c r="A89" s="82" t="n"/>
      <c r="B89" s="82" t="n"/>
      <c r="C89" s="82" t="n"/>
      <c r="D89" s="82" t="n"/>
      <c r="E89" s="82" t="n"/>
      <c r="F89" s="82" t="n"/>
      <c r="G89" s="82" t="n"/>
      <c r="H89" s="82" t="n"/>
      <c r="I89" s="82" t="n"/>
      <c r="J89" s="82" t="n"/>
      <c r="K89" s="82" t="n"/>
      <c r="L89" s="82" t="n"/>
      <c r="N89" s="82" t="n"/>
      <c r="O89" s="82" t="n"/>
      <c r="P89" s="82" t="n"/>
      <c r="Q89" s="82" t="n"/>
      <c r="R89" s="82" t="n"/>
      <c r="S89" s="82" t="n"/>
    </row>
    <row r="90">
      <c r="A90" s="82" t="n"/>
      <c r="B90" s="82" t="n"/>
      <c r="C90" s="82" t="n"/>
      <c r="D90" s="82" t="n"/>
      <c r="E90" s="82" t="n"/>
      <c r="F90" s="82" t="n"/>
      <c r="G90" s="82" t="n"/>
      <c r="H90" s="82" t="n"/>
      <c r="I90" s="82" t="n"/>
      <c r="J90" s="82" t="n"/>
      <c r="K90" s="82" t="n"/>
      <c r="L90" s="82" t="n"/>
      <c r="N90" s="82" t="n"/>
      <c r="O90" s="82" t="n"/>
      <c r="P90" s="82" t="n"/>
      <c r="Q90" s="82" t="n"/>
      <c r="R90" s="82" t="n"/>
      <c r="S90" s="82" t="n"/>
    </row>
    <row r="91">
      <c r="A91" s="82" t="n"/>
      <c r="B91" s="82" t="n"/>
      <c r="C91" s="82" t="n"/>
      <c r="D91" s="82" t="n"/>
      <c r="E91" s="82" t="n"/>
      <c r="F91" s="82" t="n"/>
      <c r="G91" s="82" t="n"/>
      <c r="H91" s="82" t="n"/>
      <c r="I91" s="82" t="n"/>
      <c r="J91" s="82" t="n"/>
      <c r="K91" s="82" t="n"/>
      <c r="L91" s="82" t="n"/>
      <c r="N91" s="82" t="n"/>
      <c r="O91" s="82" t="n"/>
      <c r="P91" s="82" t="n"/>
      <c r="Q91" s="82" t="n"/>
      <c r="R91" s="82" t="n"/>
      <c r="S91" s="82" t="n"/>
    </row>
    <row r="92">
      <c r="A92" s="82" t="n"/>
      <c r="B92" s="82" t="n"/>
      <c r="C92" s="82" t="n"/>
      <c r="D92" s="82" t="n"/>
      <c r="E92" s="82" t="n"/>
      <c r="F92" s="82" t="n"/>
      <c r="G92" s="82" t="n"/>
      <c r="H92" s="82" t="n"/>
      <c r="I92" s="82" t="n"/>
      <c r="J92" s="82" t="n"/>
      <c r="K92" s="82" t="n"/>
      <c r="L92" s="82" t="n"/>
      <c r="N92" s="82" t="n"/>
      <c r="O92" s="82" t="n"/>
      <c r="P92" s="82" t="n"/>
      <c r="Q92" s="82" t="n"/>
      <c r="R92" s="82" t="n"/>
      <c r="S92" s="82" t="n"/>
    </row>
    <row r="93">
      <c r="A93" s="82" t="n"/>
      <c r="B93" s="82" t="n"/>
      <c r="C93" s="82" t="n"/>
      <c r="D93" s="82" t="n"/>
      <c r="E93" s="82" t="n"/>
      <c r="F93" s="82" t="n"/>
      <c r="G93" s="82" t="n"/>
      <c r="H93" s="82" t="n"/>
      <c r="I93" s="82" t="n"/>
      <c r="J93" s="82" t="n"/>
      <c r="K93" s="82" t="n"/>
      <c r="L93" s="82" t="n"/>
      <c r="N93" s="82" t="n"/>
      <c r="O93" s="82" t="n"/>
      <c r="P93" s="82" t="n"/>
      <c r="Q93" s="82" t="n"/>
      <c r="R93" s="82" t="n"/>
      <c r="S93" s="82" t="n"/>
    </row>
    <row r="94">
      <c r="A94" s="82" t="n"/>
      <c r="B94" s="82" t="n"/>
      <c r="C94" s="82" t="n"/>
      <c r="D94" s="82" t="n"/>
      <c r="E94" s="82" t="n"/>
      <c r="F94" s="82" t="n"/>
      <c r="G94" s="82" t="n"/>
      <c r="H94" s="82" t="n"/>
      <c r="I94" s="82" t="n"/>
      <c r="J94" s="82" t="n"/>
      <c r="K94" s="82" t="n"/>
      <c r="L94" s="82" t="n"/>
      <c r="N94" s="82" t="n"/>
      <c r="O94" s="82" t="n"/>
      <c r="P94" s="82" t="n"/>
      <c r="Q94" s="82" t="n"/>
      <c r="R94" s="82" t="n"/>
      <c r="S94" s="82" t="n"/>
    </row>
    <row r="95">
      <c r="A95" s="82" t="n"/>
      <c r="B95" s="82" t="n"/>
      <c r="C95" s="82" t="n"/>
      <c r="D95" s="82" t="n"/>
      <c r="E95" s="82" t="n"/>
      <c r="F95" s="82" t="n"/>
      <c r="G95" s="82" t="n"/>
      <c r="H95" s="82" t="n"/>
      <c r="I95" s="82" t="n"/>
      <c r="J95" s="82" t="n"/>
      <c r="K95" s="82" t="n"/>
      <c r="L95" s="82" t="n"/>
      <c r="N95" s="82" t="n"/>
      <c r="O95" s="82" t="n"/>
      <c r="P95" s="82" t="n"/>
      <c r="Q95" s="82" t="n"/>
      <c r="R95" s="82" t="n"/>
      <c r="S95" s="82" t="n"/>
    </row>
    <row r="96">
      <c r="A96" s="82" t="n"/>
      <c r="B96" s="82" t="n"/>
      <c r="C96" s="82" t="n"/>
      <c r="D96" s="82" t="n"/>
      <c r="E96" s="82" t="n"/>
      <c r="F96" s="82" t="n"/>
      <c r="G96" s="82" t="n"/>
      <c r="H96" s="82" t="n"/>
      <c r="I96" s="82" t="n"/>
      <c r="J96" s="82" t="n"/>
      <c r="K96" s="82" t="n"/>
      <c r="L96" s="82" t="n"/>
      <c r="N96" s="82" t="n"/>
      <c r="O96" s="82" t="n"/>
      <c r="P96" s="82" t="n"/>
      <c r="Q96" s="82" t="n"/>
      <c r="R96" s="82" t="n"/>
      <c r="S96" s="82" t="n"/>
    </row>
    <row r="97">
      <c r="A97" s="82" t="n"/>
      <c r="B97" s="82" t="n"/>
      <c r="C97" s="82" t="n"/>
      <c r="D97" s="82" t="n"/>
      <c r="E97" s="82" t="n"/>
      <c r="F97" s="82" t="n"/>
      <c r="G97" s="82" t="n"/>
      <c r="H97" s="82" t="n"/>
      <c r="I97" s="82" t="n"/>
      <c r="J97" s="82" t="n"/>
      <c r="K97" s="82" t="n"/>
      <c r="L97" s="82" t="n"/>
      <c r="N97" s="82" t="n"/>
      <c r="O97" s="82" t="n"/>
      <c r="P97" s="82" t="n"/>
      <c r="Q97" s="82" t="n"/>
      <c r="R97" s="82" t="n"/>
      <c r="S97" s="82" t="n"/>
    </row>
    <row r="98">
      <c r="A98" s="82" t="n"/>
      <c r="B98" s="82" t="n"/>
      <c r="C98" s="82" t="n"/>
      <c r="D98" s="82" t="n"/>
      <c r="E98" s="82" t="n"/>
      <c r="F98" s="82" t="n"/>
      <c r="G98" s="82" t="n"/>
      <c r="H98" s="82" t="n"/>
      <c r="I98" s="82" t="n"/>
      <c r="J98" s="82" t="n"/>
      <c r="K98" s="82" t="n"/>
      <c r="L98" s="82" t="n"/>
      <c r="N98" s="82" t="n"/>
      <c r="O98" s="82" t="n"/>
      <c r="P98" s="82" t="n"/>
      <c r="Q98" s="82" t="n"/>
      <c r="R98" s="82" t="n"/>
      <c r="S98" s="82" t="n"/>
    </row>
    <row r="99">
      <c r="A99" s="82" t="n"/>
      <c r="B99" s="82" t="n"/>
      <c r="C99" s="82" t="n"/>
      <c r="D99" s="82" t="n"/>
      <c r="E99" s="82" t="n"/>
      <c r="F99" s="82" t="n"/>
      <c r="G99" s="82" t="n"/>
      <c r="H99" s="82" t="n"/>
      <c r="I99" s="82" t="n"/>
      <c r="J99" s="82" t="n"/>
      <c r="K99" s="82" t="n"/>
      <c r="L99" s="82" t="n"/>
      <c r="N99" s="82" t="n"/>
      <c r="O99" s="82" t="n"/>
      <c r="P99" s="82" t="n"/>
      <c r="Q99" s="82" t="n"/>
      <c r="R99" s="82" t="n"/>
      <c r="S99" s="82" t="n"/>
    </row>
    <row r="100">
      <c r="A100" s="82" t="n"/>
      <c r="B100" s="82" t="n"/>
      <c r="C100" s="82" t="n"/>
      <c r="D100" s="82" t="n"/>
      <c r="E100" s="82" t="n"/>
      <c r="F100" s="82" t="n"/>
      <c r="G100" s="82" t="n"/>
      <c r="H100" s="82" t="n"/>
      <c r="I100" s="82" t="n"/>
      <c r="J100" s="82" t="n"/>
      <c r="K100" s="82" t="n"/>
      <c r="L100" s="82" t="n"/>
      <c r="N100" s="82" t="n"/>
      <c r="O100" s="82" t="n"/>
      <c r="P100" s="82" t="n"/>
      <c r="Q100" s="82" t="n"/>
      <c r="R100" s="82" t="n"/>
      <c r="S100" s="82" t="n"/>
    </row>
    <row r="101">
      <c r="A101" s="82" t="n"/>
      <c r="B101" s="82" t="n"/>
      <c r="C101" s="82" t="n"/>
      <c r="D101" s="82" t="n"/>
      <c r="E101" s="82" t="n"/>
      <c r="F101" s="82" t="n"/>
      <c r="G101" s="82" t="n"/>
      <c r="H101" s="82" t="n"/>
      <c r="I101" s="82" t="n"/>
      <c r="J101" s="82" t="n"/>
      <c r="K101" s="82" t="n"/>
      <c r="L101" s="82" t="n"/>
      <c r="N101" s="82" t="n"/>
      <c r="O101" s="82" t="n"/>
      <c r="P101" s="82" t="n"/>
      <c r="Q101" s="82" t="n"/>
      <c r="R101" s="82" t="n"/>
      <c r="S101" s="82" t="n"/>
    </row>
    <row r="102">
      <c r="A102" s="82" t="n"/>
      <c r="B102" s="82" t="n"/>
      <c r="C102" s="82" t="n"/>
      <c r="D102" s="82" t="n"/>
      <c r="E102" s="82" t="n"/>
      <c r="F102" s="82" t="n"/>
      <c r="G102" s="82" t="n"/>
      <c r="H102" s="82" t="n"/>
      <c r="I102" s="82" t="n"/>
      <c r="J102" s="82" t="n"/>
      <c r="K102" s="82" t="n"/>
      <c r="L102" s="82" t="n"/>
      <c r="N102" s="82" t="n"/>
      <c r="O102" s="82" t="n"/>
      <c r="P102" s="82" t="n"/>
      <c r="Q102" s="82" t="n"/>
      <c r="R102" s="82" t="n"/>
      <c r="S102" s="82" t="n"/>
    </row>
    <row r="103">
      <c r="A103" s="82" t="n"/>
      <c r="B103" s="82" t="n"/>
      <c r="C103" s="82" t="n"/>
      <c r="D103" s="82" t="n"/>
      <c r="E103" s="82" t="n"/>
      <c r="F103" s="82" t="n"/>
      <c r="G103" s="82" t="n"/>
      <c r="H103" s="82" t="n"/>
      <c r="I103" s="82" t="n"/>
      <c r="J103" s="82" t="n"/>
      <c r="K103" s="82" t="n"/>
      <c r="L103" s="82" t="n"/>
      <c r="N103" s="82" t="n"/>
      <c r="O103" s="82" t="n"/>
      <c r="P103" s="82" t="n"/>
      <c r="Q103" s="82" t="n"/>
      <c r="R103" s="82" t="n"/>
      <c r="S103" s="82" t="n"/>
    </row>
    <row r="104">
      <c r="A104" s="82" t="n"/>
      <c r="B104" s="82" t="n"/>
      <c r="C104" s="82" t="n"/>
      <c r="D104" s="82" t="n"/>
      <c r="E104" s="82" t="n"/>
      <c r="F104" s="82" t="n"/>
      <c r="G104" s="82" t="n"/>
      <c r="H104" s="82" t="n"/>
      <c r="I104" s="82" t="n"/>
      <c r="J104" s="82" t="n"/>
      <c r="K104" s="82" t="n"/>
      <c r="L104" s="82" t="n"/>
      <c r="N104" s="82" t="n"/>
      <c r="O104" s="82" t="n"/>
      <c r="P104" s="82" t="n"/>
      <c r="Q104" s="82" t="n"/>
      <c r="R104" s="82" t="n"/>
      <c r="S104" s="82" t="n"/>
    </row>
    <row r="105">
      <c r="A105" s="82" t="n"/>
      <c r="B105" s="82" t="n"/>
      <c r="C105" s="82" t="n"/>
      <c r="D105" s="82" t="n"/>
      <c r="E105" s="82" t="n"/>
      <c r="F105" s="82" t="n"/>
      <c r="G105" s="82" t="n"/>
      <c r="H105" s="82" t="n"/>
      <c r="I105" s="82" t="n"/>
      <c r="J105" s="82" t="n"/>
      <c r="K105" s="82" t="n"/>
      <c r="L105" s="82" t="n"/>
      <c r="N105" s="82" t="n"/>
      <c r="O105" s="82" t="n"/>
      <c r="P105" s="82" t="n"/>
      <c r="Q105" s="82" t="n"/>
      <c r="R105" s="82" t="n"/>
      <c r="S105" s="82" t="n"/>
    </row>
    <row r="106">
      <c r="A106" s="82" t="n"/>
      <c r="B106" s="82" t="n"/>
      <c r="C106" s="82" t="n"/>
      <c r="D106" s="82" t="n"/>
      <c r="E106" s="82" t="n"/>
      <c r="F106" s="82" t="n"/>
      <c r="G106" s="82" t="n"/>
      <c r="H106" s="82" t="n"/>
      <c r="I106" s="82" t="n"/>
      <c r="J106" s="82" t="n"/>
      <c r="K106" s="82" t="n"/>
      <c r="L106" s="82" t="n"/>
      <c r="N106" s="82" t="n"/>
      <c r="O106" s="82" t="n"/>
      <c r="P106" s="82" t="n"/>
      <c r="Q106" s="82" t="n"/>
      <c r="R106" s="82" t="n"/>
      <c r="S106" s="82" t="n"/>
    </row>
    <row r="107">
      <c r="A107" s="82" t="n"/>
      <c r="B107" s="82" t="n"/>
      <c r="C107" s="82" t="n"/>
      <c r="D107" s="82" t="n"/>
      <c r="E107" s="82" t="n"/>
      <c r="F107" s="82" t="n"/>
      <c r="G107" s="82" t="n"/>
      <c r="H107" s="82" t="n"/>
      <c r="I107" s="82" t="n"/>
      <c r="J107" s="82" t="n"/>
      <c r="K107" s="82" t="n"/>
      <c r="L107" s="82" t="n"/>
      <c r="N107" s="82" t="n"/>
      <c r="O107" s="82" t="n"/>
      <c r="P107" s="82" t="n"/>
      <c r="Q107" s="82" t="n"/>
      <c r="R107" s="82" t="n"/>
      <c r="S107" s="82" t="n"/>
    </row>
    <row r="108">
      <c r="A108" s="82" t="n"/>
      <c r="B108" s="82" t="n"/>
      <c r="C108" s="82" t="n"/>
      <c r="D108" s="82" t="n"/>
      <c r="E108" s="82" t="n"/>
      <c r="F108" s="82" t="n"/>
      <c r="G108" s="82" t="n"/>
      <c r="H108" s="82" t="n"/>
      <c r="I108" s="82" t="n"/>
      <c r="J108" s="82" t="n"/>
      <c r="K108" s="82" t="n"/>
      <c r="L108" s="82" t="n"/>
      <c r="N108" s="82" t="n"/>
      <c r="O108" s="82" t="n"/>
      <c r="P108" s="82" t="n"/>
      <c r="Q108" s="82" t="n"/>
      <c r="R108" s="82" t="n"/>
      <c r="S108" s="82" t="n"/>
    </row>
    <row r="109">
      <c r="A109" s="82" t="n"/>
      <c r="B109" s="82" t="n"/>
      <c r="C109" s="82" t="n"/>
      <c r="D109" s="82" t="n"/>
      <c r="E109" s="82" t="n"/>
      <c r="F109" s="82" t="n"/>
      <c r="G109" s="82" t="n"/>
      <c r="H109" s="82" t="n"/>
      <c r="I109" s="82" t="n"/>
      <c r="J109" s="82" t="n"/>
      <c r="K109" s="82" t="n"/>
      <c r="L109" s="82" t="n"/>
      <c r="N109" s="82" t="n"/>
      <c r="O109" s="82" t="n"/>
      <c r="P109" s="82" t="n"/>
      <c r="Q109" s="82" t="n"/>
      <c r="R109" s="82" t="n"/>
      <c r="S109" s="82" t="n"/>
    </row>
    <row r="110">
      <c r="A110" s="82" t="n"/>
      <c r="B110" s="82" t="n"/>
      <c r="C110" s="82" t="n"/>
      <c r="D110" s="82" t="n"/>
      <c r="E110" s="82" t="n"/>
      <c r="F110" s="82" t="n"/>
      <c r="G110" s="82" t="n"/>
      <c r="H110" s="82" t="n"/>
      <c r="I110" s="82" t="n"/>
      <c r="J110" s="82" t="n"/>
      <c r="K110" s="82" t="n"/>
      <c r="L110" s="82" t="n"/>
      <c r="N110" s="82" t="n"/>
      <c r="O110" s="82" t="n"/>
      <c r="P110" s="82" t="n"/>
      <c r="Q110" s="82" t="n"/>
      <c r="R110" s="82" t="n"/>
      <c r="S110" s="82" t="n"/>
    </row>
    <row r="111">
      <c r="A111" s="82" t="n"/>
      <c r="B111" s="82" t="n"/>
      <c r="C111" s="82" t="n"/>
      <c r="D111" s="82" t="n"/>
      <c r="E111" s="82" t="n"/>
      <c r="F111" s="82" t="n"/>
      <c r="G111" s="82" t="n"/>
      <c r="H111" s="82" t="n"/>
      <c r="I111" s="82" t="n"/>
      <c r="J111" s="82" t="n"/>
      <c r="K111" s="82" t="n"/>
      <c r="L111" s="82" t="n"/>
      <c r="N111" s="82" t="n"/>
      <c r="O111" s="82" t="n"/>
      <c r="P111" s="82" t="n"/>
      <c r="Q111" s="82" t="n"/>
      <c r="R111" s="82" t="n"/>
      <c r="S111" s="82" t="n"/>
    </row>
    <row r="112">
      <c r="A112" s="82" t="n"/>
      <c r="B112" s="82" t="n"/>
      <c r="C112" s="82" t="n"/>
      <c r="D112" s="82" t="n"/>
      <c r="E112" s="82" t="n"/>
      <c r="F112" s="82" t="n"/>
      <c r="G112" s="82" t="n"/>
      <c r="H112" s="82" t="n"/>
      <c r="I112" s="82" t="n"/>
      <c r="J112" s="82" t="n"/>
      <c r="K112" s="82" t="n"/>
      <c r="L112" s="82" t="n"/>
      <c r="N112" s="82" t="n"/>
      <c r="O112" s="82" t="n"/>
      <c r="P112" s="82" t="n"/>
      <c r="Q112" s="82" t="n"/>
      <c r="R112" s="82" t="n"/>
      <c r="S112" s="82" t="n"/>
    </row>
    <row r="113">
      <c r="A113" s="82" t="n"/>
      <c r="B113" s="82" t="n"/>
      <c r="C113" s="82" t="n"/>
      <c r="D113" s="82" t="n"/>
      <c r="E113" s="82" t="n"/>
      <c r="F113" s="82" t="n"/>
      <c r="G113" s="82" t="n"/>
      <c r="H113" s="82" t="n"/>
      <c r="I113" s="82" t="n"/>
      <c r="J113" s="82" t="n"/>
      <c r="K113" s="82" t="n"/>
      <c r="L113" s="82" t="n"/>
      <c r="N113" s="82" t="n"/>
      <c r="O113" s="82" t="n"/>
      <c r="P113" s="82" t="n"/>
      <c r="Q113" s="82" t="n"/>
      <c r="R113" s="82" t="n"/>
      <c r="S113" s="82" t="n"/>
    </row>
    <row r="114">
      <c r="A114" s="82" t="n"/>
      <c r="B114" s="82" t="n"/>
      <c r="C114" s="82" t="n"/>
      <c r="D114" s="82" t="n"/>
      <c r="E114" s="82" t="n"/>
      <c r="F114" s="82" t="n"/>
      <c r="G114" s="82" t="n"/>
      <c r="H114" s="82" t="n"/>
      <c r="I114" s="82" t="n"/>
      <c r="J114" s="82" t="n"/>
      <c r="K114" s="82" t="n"/>
      <c r="L114" s="82" t="n"/>
      <c r="N114" s="82" t="n"/>
      <c r="O114" s="82" t="n"/>
      <c r="P114" s="82" t="n"/>
      <c r="Q114" s="82" t="n"/>
      <c r="R114" s="82" t="n"/>
      <c r="S114" s="82" t="n"/>
    </row>
    <row r="115">
      <c r="A115" s="82" t="n"/>
      <c r="B115" s="82" t="n"/>
      <c r="C115" s="82" t="n"/>
      <c r="D115" s="82" t="n"/>
      <c r="E115" s="82" t="n"/>
      <c r="F115" s="82" t="n"/>
      <c r="G115" s="82" t="n"/>
      <c r="H115" s="82" t="n"/>
      <c r="I115" s="82" t="n"/>
      <c r="J115" s="82" t="n"/>
      <c r="K115" s="82" t="n"/>
      <c r="L115" s="82" t="n"/>
      <c r="N115" s="82" t="n"/>
      <c r="O115" s="82" t="n"/>
      <c r="P115" s="82" t="n"/>
      <c r="Q115" s="82" t="n"/>
      <c r="R115" s="82" t="n"/>
      <c r="S115" s="82" t="n"/>
    </row>
    <row r="116">
      <c r="A116" s="82" t="n"/>
      <c r="B116" s="82" t="n"/>
      <c r="C116" s="82" t="n"/>
      <c r="D116" s="82" t="n"/>
      <c r="E116" s="82" t="n"/>
      <c r="F116" s="82" t="n"/>
      <c r="G116" s="82" t="n"/>
      <c r="H116" s="82" t="n"/>
      <c r="I116" s="82" t="n"/>
      <c r="J116" s="82" t="n"/>
      <c r="K116" s="82" t="n"/>
      <c r="L116" s="82" t="n"/>
      <c r="N116" s="82" t="n"/>
      <c r="O116" s="82" t="n"/>
      <c r="P116" s="82" t="n"/>
      <c r="Q116" s="82" t="n"/>
      <c r="R116" s="82" t="n"/>
      <c r="S116" s="82" t="n"/>
    </row>
    <row r="117">
      <c r="A117" s="82" t="n"/>
      <c r="B117" s="82" t="n"/>
      <c r="C117" s="82" t="n"/>
      <c r="D117" s="82" t="n"/>
      <c r="E117" s="82" t="n"/>
      <c r="F117" s="82" t="n"/>
      <c r="G117" s="82" t="n"/>
      <c r="H117" s="82" t="n"/>
      <c r="I117" s="82" t="n"/>
      <c r="J117" s="82" t="n"/>
      <c r="K117" s="82" t="n"/>
      <c r="L117" s="82" t="n"/>
      <c r="N117" s="82" t="n"/>
      <c r="O117" s="82" t="n"/>
      <c r="P117" s="82" t="n"/>
      <c r="Q117" s="82" t="n"/>
      <c r="R117" s="82" t="n"/>
      <c r="S117" s="82" t="n"/>
    </row>
    <row r="118">
      <c r="A118" s="82" t="n"/>
      <c r="B118" s="82" t="n"/>
      <c r="C118" s="82" t="n"/>
      <c r="D118" s="82" t="n"/>
      <c r="E118" s="82" t="n"/>
      <c r="F118" s="82" t="n"/>
      <c r="G118" s="82" t="n"/>
      <c r="H118" s="82" t="n"/>
      <c r="I118" s="82" t="n"/>
      <c r="J118" s="82" t="n"/>
      <c r="K118" s="82" t="n"/>
      <c r="L118" s="82" t="n"/>
      <c r="N118" s="82" t="n"/>
      <c r="O118" s="82" t="n"/>
      <c r="P118" s="82" t="n"/>
      <c r="Q118" s="82" t="n"/>
      <c r="R118" s="82" t="n"/>
      <c r="S118" s="82" t="n"/>
    </row>
    <row r="119">
      <c r="A119" s="82" t="n"/>
      <c r="B119" s="82" t="n"/>
      <c r="C119" s="82" t="n"/>
      <c r="D119" s="82" t="n"/>
      <c r="E119" s="82" t="n"/>
      <c r="F119" s="82" t="n"/>
      <c r="G119" s="82" t="n"/>
      <c r="H119" s="82" t="n"/>
      <c r="I119" s="82" t="n"/>
      <c r="J119" s="82" t="n"/>
      <c r="K119" s="82" t="n"/>
      <c r="L119" s="82" t="n"/>
      <c r="N119" s="82" t="n"/>
      <c r="O119" s="82" t="n"/>
      <c r="P119" s="82" t="n"/>
      <c r="Q119" s="82" t="n"/>
      <c r="R119" s="82" t="n"/>
      <c r="S119" s="82" t="n"/>
    </row>
    <row r="120">
      <c r="A120" s="82" t="n"/>
      <c r="B120" s="82" t="n"/>
      <c r="C120" s="82" t="n"/>
      <c r="D120" s="82" t="n"/>
      <c r="E120" s="82" t="n"/>
      <c r="F120" s="82" t="n"/>
      <c r="G120" s="82" t="n"/>
      <c r="H120" s="82" t="n"/>
      <c r="I120" s="82" t="n"/>
      <c r="J120" s="82" t="n"/>
      <c r="K120" s="82" t="n"/>
      <c r="L120" s="82" t="n"/>
      <c r="N120" s="82" t="n"/>
      <c r="O120" s="82" t="n"/>
      <c r="P120" s="82" t="n"/>
      <c r="Q120" s="82" t="n"/>
      <c r="R120" s="82" t="n"/>
      <c r="S120" s="82" t="n"/>
    </row>
    <row r="121">
      <c r="A121" s="82" t="n"/>
      <c r="B121" s="82" t="n"/>
      <c r="C121" s="82" t="n"/>
      <c r="D121" s="82" t="n"/>
      <c r="E121" s="82" t="n"/>
      <c r="F121" s="82" t="n"/>
      <c r="G121" s="82" t="n"/>
      <c r="H121" s="82" t="n"/>
      <c r="I121" s="82" t="n"/>
      <c r="J121" s="82" t="n"/>
      <c r="K121" s="82" t="n"/>
      <c r="L121" s="82" t="n"/>
      <c r="N121" s="82" t="n"/>
      <c r="O121" s="82" t="n"/>
      <c r="P121" s="82" t="n"/>
      <c r="Q121" s="82" t="n"/>
      <c r="R121" s="82" t="n"/>
      <c r="S121" s="82" t="n"/>
    </row>
    <row r="122">
      <c r="A122" s="82" t="n"/>
      <c r="B122" s="82" t="n"/>
      <c r="C122" s="82" t="n"/>
      <c r="D122" s="82" t="n"/>
      <c r="E122" s="82" t="n"/>
      <c r="F122" s="82" t="n"/>
      <c r="G122" s="82" t="n"/>
      <c r="H122" s="82" t="n"/>
      <c r="I122" s="82" t="n"/>
      <c r="J122" s="82" t="n"/>
      <c r="K122" s="82" t="n"/>
      <c r="L122" s="82" t="n"/>
      <c r="N122" s="82" t="n"/>
      <c r="O122" s="82" t="n"/>
      <c r="P122" s="82" t="n"/>
      <c r="Q122" s="82" t="n"/>
      <c r="R122" s="82" t="n"/>
      <c r="S122" s="82" t="n"/>
    </row>
    <row r="123">
      <c r="A123" s="82" t="n"/>
      <c r="B123" s="82" t="n"/>
      <c r="C123" s="82" t="n"/>
      <c r="D123" s="82" t="n"/>
      <c r="E123" s="82" t="n"/>
      <c r="F123" s="82" t="n"/>
      <c r="G123" s="82" t="n"/>
      <c r="H123" s="82" t="n"/>
      <c r="I123" s="82" t="n"/>
      <c r="J123" s="82" t="n"/>
      <c r="K123" s="82" t="n"/>
      <c r="L123" s="82" t="n"/>
      <c r="N123" s="82" t="n"/>
      <c r="O123" s="82" t="n"/>
      <c r="P123" s="82" t="n"/>
      <c r="Q123" s="82" t="n"/>
      <c r="R123" s="82" t="n"/>
      <c r="S123" s="82" t="n"/>
    </row>
    <row r="124">
      <c r="A124" s="82" t="n"/>
      <c r="B124" s="82" t="n"/>
      <c r="C124" s="82" t="n"/>
      <c r="D124" s="82" t="n"/>
      <c r="E124" s="82" t="n"/>
      <c r="F124" s="82" t="n"/>
      <c r="G124" s="82" t="n"/>
      <c r="H124" s="82" t="n"/>
      <c r="I124" s="82" t="n"/>
      <c r="J124" s="82" t="n"/>
      <c r="K124" s="82" t="n"/>
      <c r="L124" s="82" t="n"/>
      <c r="N124" s="82" t="n"/>
      <c r="O124" s="82" t="n"/>
      <c r="P124" s="82" t="n"/>
      <c r="Q124" s="82" t="n"/>
      <c r="R124" s="82" t="n"/>
      <c r="S124" s="82" t="n"/>
    </row>
    <row r="125">
      <c r="A125" s="82" t="n"/>
      <c r="B125" s="82" t="n"/>
      <c r="C125" s="82" t="n"/>
      <c r="D125" s="82" t="n"/>
      <c r="E125" s="82" t="n"/>
      <c r="F125" s="82" t="n"/>
      <c r="G125" s="82" t="n"/>
      <c r="H125" s="82" t="n"/>
      <c r="I125" s="82" t="n"/>
      <c r="J125" s="82" t="n"/>
      <c r="K125" s="82" t="n"/>
      <c r="L125" s="82" t="n"/>
      <c r="N125" s="82" t="n"/>
      <c r="O125" s="82" t="n"/>
      <c r="P125" s="82" t="n"/>
      <c r="Q125" s="82" t="n"/>
      <c r="R125" s="82" t="n"/>
      <c r="S125" s="82" t="n"/>
    </row>
    <row r="126">
      <c r="A126" s="82" t="n"/>
      <c r="B126" s="82" t="n"/>
      <c r="C126" s="82" t="n"/>
      <c r="D126" s="82" t="n"/>
      <c r="E126" s="82" t="n"/>
      <c r="F126" s="82" t="n"/>
      <c r="G126" s="82" t="n"/>
      <c r="H126" s="82" t="n"/>
      <c r="I126" s="82" t="n"/>
      <c r="J126" s="82" t="n"/>
      <c r="K126" s="82" t="n"/>
      <c r="L126" s="82" t="n"/>
      <c r="N126" s="82" t="n"/>
      <c r="O126" s="82" t="n"/>
      <c r="P126" s="82" t="n"/>
      <c r="Q126" s="82" t="n"/>
      <c r="R126" s="82" t="n"/>
      <c r="S126" s="82" t="n"/>
    </row>
    <row r="127">
      <c r="A127" s="82" t="n"/>
      <c r="B127" s="82" t="n"/>
      <c r="C127" s="82" t="n"/>
      <c r="D127" s="82" t="n"/>
      <c r="E127" s="82" t="n"/>
      <c r="F127" s="82" t="n"/>
      <c r="G127" s="82" t="n"/>
      <c r="H127" s="82" t="n"/>
      <c r="I127" s="82" t="n"/>
      <c r="J127" s="82" t="n"/>
      <c r="K127" s="82" t="n"/>
      <c r="L127" s="82" t="n"/>
      <c r="N127" s="82" t="n"/>
      <c r="O127" s="82" t="n"/>
      <c r="P127" s="82" t="n"/>
      <c r="Q127" s="82" t="n"/>
      <c r="R127" s="82" t="n"/>
      <c r="S127" s="82" t="n"/>
    </row>
    <row r="128">
      <c r="A128" s="82" t="n"/>
      <c r="B128" s="82" t="n"/>
      <c r="C128" s="82" t="n"/>
      <c r="D128" s="82" t="n"/>
      <c r="E128" s="82" t="n"/>
      <c r="F128" s="82" t="n"/>
      <c r="G128" s="82" t="n"/>
      <c r="H128" s="82" t="n"/>
      <c r="I128" s="82" t="n"/>
      <c r="J128" s="82" t="n"/>
      <c r="K128" s="82" t="n"/>
      <c r="L128" s="82" t="n"/>
      <c r="N128" s="82" t="n"/>
      <c r="O128" s="82" t="n"/>
      <c r="P128" s="82" t="n"/>
      <c r="Q128" s="82" t="n"/>
      <c r="R128" s="82" t="n"/>
      <c r="S128" s="82" t="n"/>
    </row>
    <row r="129">
      <c r="A129" s="82" t="n"/>
      <c r="B129" s="82" t="n"/>
      <c r="C129" s="82" t="n"/>
      <c r="D129" s="82" t="n"/>
      <c r="E129" s="82" t="n"/>
      <c r="F129" s="82" t="n"/>
      <c r="G129" s="82" t="n"/>
      <c r="H129" s="82" t="n"/>
      <c r="I129" s="82" t="n"/>
      <c r="J129" s="82" t="n"/>
      <c r="K129" s="82" t="n"/>
      <c r="L129" s="82" t="n"/>
      <c r="N129" s="82" t="n"/>
      <c r="O129" s="82" t="n"/>
      <c r="P129" s="82" t="n"/>
      <c r="Q129" s="82" t="n"/>
      <c r="R129" s="82" t="n"/>
      <c r="S129" s="82" t="n"/>
    </row>
    <row r="130">
      <c r="A130" s="82" t="n"/>
      <c r="B130" s="82" t="n"/>
      <c r="C130" s="82" t="n"/>
      <c r="D130" s="82" t="n"/>
      <c r="E130" s="82" t="n"/>
      <c r="F130" s="82" t="n"/>
      <c r="G130" s="82" t="n"/>
      <c r="H130" s="82" t="n"/>
      <c r="I130" s="82" t="n"/>
      <c r="J130" s="82" t="n"/>
      <c r="K130" s="82" t="n"/>
      <c r="L130" s="82" t="n"/>
      <c r="N130" s="82" t="n"/>
      <c r="O130" s="82" t="n"/>
      <c r="P130" s="82" t="n"/>
      <c r="Q130" s="82" t="n"/>
      <c r="R130" s="82" t="n"/>
      <c r="S130" s="82" t="n"/>
    </row>
    <row r="131">
      <c r="A131" s="82" t="n"/>
      <c r="B131" s="82" t="n"/>
      <c r="C131" s="82" t="n"/>
      <c r="D131" s="82" t="n"/>
      <c r="E131" s="82" t="n"/>
      <c r="F131" s="82" t="n"/>
      <c r="G131" s="82" t="n"/>
      <c r="H131" s="82" t="n"/>
      <c r="I131" s="82" t="n"/>
      <c r="J131" s="82" t="n"/>
      <c r="K131" s="82" t="n"/>
      <c r="L131" s="82" t="n"/>
      <c r="N131" s="82" t="n"/>
      <c r="O131" s="82" t="n"/>
      <c r="P131" s="82" t="n"/>
      <c r="Q131" s="82" t="n"/>
      <c r="R131" s="82" t="n"/>
      <c r="S131" s="82" t="n"/>
    </row>
    <row r="132">
      <c r="A132" s="82" t="n"/>
      <c r="B132" s="82" t="n"/>
      <c r="C132" s="82" t="n"/>
      <c r="D132" s="82" t="n"/>
      <c r="E132" s="82" t="n"/>
      <c r="F132" s="82" t="n"/>
      <c r="G132" s="82" t="n"/>
      <c r="H132" s="82" t="n"/>
      <c r="I132" s="82" t="n"/>
      <c r="J132" s="82" t="n"/>
      <c r="K132" s="82" t="n"/>
      <c r="L132" s="82" t="n"/>
      <c r="N132" s="82" t="n"/>
      <c r="O132" s="82" t="n"/>
      <c r="P132" s="82" t="n"/>
      <c r="Q132" s="82" t="n"/>
      <c r="R132" s="82" t="n"/>
      <c r="S132" s="82" t="n"/>
    </row>
    <row r="133">
      <c r="A133" s="82" t="n"/>
      <c r="B133" s="82" t="n"/>
      <c r="C133" s="82" t="n"/>
      <c r="D133" s="82" t="n"/>
      <c r="E133" s="82" t="n"/>
      <c r="F133" s="82" t="n"/>
      <c r="G133" s="82" t="n"/>
      <c r="H133" s="82" t="n"/>
      <c r="I133" s="82" t="n"/>
      <c r="J133" s="82" t="n"/>
      <c r="K133" s="82" t="n"/>
      <c r="L133" s="82" t="n"/>
      <c r="N133" s="82" t="n"/>
      <c r="O133" s="82" t="n"/>
      <c r="P133" s="82" t="n"/>
      <c r="Q133" s="82" t="n"/>
      <c r="R133" s="82" t="n"/>
      <c r="S133" s="82" t="n"/>
    </row>
    <row r="134">
      <c r="A134" s="82" t="n"/>
      <c r="B134" s="82" t="n"/>
      <c r="C134" s="82" t="n"/>
      <c r="D134" s="82" t="n"/>
      <c r="E134" s="82" t="n"/>
      <c r="F134" s="82" t="n"/>
      <c r="G134" s="82" t="n"/>
      <c r="H134" s="82" t="n"/>
      <c r="I134" s="82" t="n"/>
      <c r="J134" s="82" t="n"/>
      <c r="K134" s="82" t="n"/>
      <c r="L134" s="82" t="n"/>
      <c r="N134" s="82" t="n"/>
      <c r="O134" s="82" t="n"/>
      <c r="P134" s="82" t="n"/>
      <c r="Q134" s="82" t="n"/>
      <c r="R134" s="82" t="n"/>
      <c r="S134" s="82" t="n"/>
    </row>
    <row r="135">
      <c r="A135" s="82" t="n"/>
      <c r="B135" s="82" t="n"/>
      <c r="C135" s="82" t="n"/>
      <c r="D135" s="82" t="n"/>
      <c r="E135" s="82" t="n"/>
      <c r="F135" s="82" t="n"/>
      <c r="G135" s="82" t="n"/>
      <c r="H135" s="82" t="n"/>
      <c r="I135" s="82" t="n"/>
      <c r="J135" s="82" t="n"/>
      <c r="K135" s="82" t="n"/>
      <c r="L135" s="82" t="n"/>
      <c r="N135" s="82" t="n"/>
      <c r="O135" s="82" t="n"/>
      <c r="P135" s="82" t="n"/>
      <c r="Q135" s="82" t="n"/>
      <c r="R135" s="82" t="n"/>
      <c r="S135" s="82" t="n"/>
    </row>
    <row r="136">
      <c r="A136" s="82" t="n"/>
      <c r="B136" s="82" t="n"/>
      <c r="C136" s="82" t="n"/>
      <c r="D136" s="82" t="n"/>
      <c r="E136" s="82" t="n"/>
      <c r="F136" s="82" t="n"/>
      <c r="G136" s="82" t="n"/>
      <c r="H136" s="82" t="n"/>
      <c r="I136" s="82" t="n"/>
      <c r="J136" s="82" t="n"/>
      <c r="K136" s="82" t="n"/>
      <c r="L136" s="82" t="n"/>
      <c r="N136" s="82" t="n"/>
      <c r="O136" s="82" t="n"/>
      <c r="P136" s="82" t="n"/>
      <c r="Q136" s="82" t="n"/>
      <c r="R136" s="82" t="n"/>
      <c r="S136" s="82" t="n"/>
    </row>
    <row r="137">
      <c r="A137" s="82" t="n"/>
      <c r="B137" s="82" t="n"/>
      <c r="C137" s="82" t="n"/>
      <c r="D137" s="82" t="n"/>
      <c r="E137" s="82" t="n"/>
      <c r="F137" s="82" t="n"/>
      <c r="G137" s="82" t="n"/>
      <c r="H137" s="82" t="n"/>
      <c r="I137" s="82" t="n"/>
      <c r="J137" s="82" t="n"/>
      <c r="K137" s="82" t="n"/>
      <c r="L137" s="82" t="n"/>
      <c r="N137" s="82" t="n"/>
      <c r="O137" s="82" t="n"/>
      <c r="P137" s="82" t="n"/>
      <c r="Q137" s="82" t="n"/>
      <c r="R137" s="82" t="n"/>
      <c r="S137" s="82" t="n"/>
    </row>
    <row r="138">
      <c r="A138" s="82" t="n"/>
      <c r="B138" s="82" t="n"/>
      <c r="C138" s="82" t="n"/>
      <c r="D138" s="82" t="n"/>
      <c r="E138" s="82" t="n"/>
      <c r="F138" s="82" t="n"/>
      <c r="G138" s="82" t="n"/>
      <c r="H138" s="82" t="n"/>
      <c r="I138" s="82" t="n"/>
      <c r="J138" s="82" t="n"/>
      <c r="K138" s="82" t="n"/>
      <c r="L138" s="82" t="n"/>
      <c r="N138" s="82" t="n"/>
      <c r="O138" s="82" t="n"/>
      <c r="P138" s="82" t="n"/>
      <c r="Q138" s="82" t="n"/>
      <c r="R138" s="82" t="n"/>
      <c r="S138" s="82" t="n"/>
    </row>
    <row r="139">
      <c r="A139" s="82" t="n"/>
      <c r="B139" s="82" t="n"/>
      <c r="C139" s="82" t="n"/>
      <c r="D139" s="82" t="n"/>
      <c r="E139" s="82" t="n"/>
      <c r="F139" s="82" t="n"/>
      <c r="G139" s="82" t="n"/>
      <c r="H139" s="82" t="n"/>
      <c r="I139" s="82" t="n"/>
      <c r="J139" s="82" t="n"/>
      <c r="K139" s="82" t="n"/>
      <c r="L139" s="82" t="n"/>
      <c r="N139" s="82" t="n"/>
      <c r="O139" s="82" t="n"/>
      <c r="P139" s="82" t="n"/>
      <c r="Q139" s="82" t="n"/>
      <c r="R139" s="82" t="n"/>
      <c r="S139" s="82" t="n"/>
    </row>
    <row r="140">
      <c r="A140" s="82" t="n"/>
      <c r="B140" s="82" t="n"/>
      <c r="C140" s="82" t="n"/>
      <c r="D140" s="82" t="n"/>
      <c r="E140" s="82" t="n"/>
      <c r="F140" s="82" t="n"/>
      <c r="G140" s="82" t="n"/>
      <c r="H140" s="82" t="n"/>
      <c r="I140" s="82" t="n"/>
      <c r="J140" s="82" t="n"/>
      <c r="K140" s="82" t="n"/>
      <c r="L140" s="82" t="n"/>
      <c r="N140" s="82" t="n"/>
      <c r="O140" s="82" t="n"/>
      <c r="P140" s="82" t="n"/>
      <c r="Q140" s="82" t="n"/>
      <c r="R140" s="82" t="n"/>
      <c r="S140" s="82" t="n"/>
    </row>
    <row r="141">
      <c r="A141" s="82" t="n"/>
      <c r="B141" s="82" t="n"/>
      <c r="C141" s="82" t="n"/>
      <c r="D141" s="82" t="n"/>
      <c r="E141" s="82" t="n"/>
      <c r="F141" s="82" t="n"/>
      <c r="G141" s="82" t="n"/>
      <c r="H141" s="82" t="n"/>
      <c r="I141" s="82" t="n"/>
      <c r="J141" s="82" t="n"/>
      <c r="K141" s="82" t="n"/>
      <c r="L141" s="82" t="n"/>
      <c r="N141" s="82" t="n"/>
      <c r="O141" s="82" t="n"/>
      <c r="P141" s="82" t="n"/>
      <c r="Q141" s="82" t="n"/>
      <c r="R141" s="82" t="n"/>
      <c r="S141" s="82" t="n"/>
    </row>
    <row r="142">
      <c r="A142" s="82" t="n"/>
      <c r="B142" s="82" t="n"/>
      <c r="C142" s="82" t="n"/>
      <c r="D142" s="82" t="n"/>
      <c r="E142" s="82" t="n"/>
      <c r="F142" s="82" t="n"/>
      <c r="G142" s="82" t="n"/>
      <c r="H142" s="82" t="n"/>
      <c r="I142" s="82" t="n"/>
      <c r="J142" s="82" t="n"/>
      <c r="K142" s="82" t="n"/>
      <c r="L142" s="82" t="n"/>
      <c r="N142" s="82" t="n"/>
      <c r="O142" s="82" t="n"/>
      <c r="P142" s="82" t="n"/>
      <c r="Q142" s="82" t="n"/>
      <c r="R142" s="82" t="n"/>
      <c r="S142" s="82" t="n"/>
    </row>
    <row r="143">
      <c r="A143" s="82" t="n"/>
      <c r="B143" s="82" t="n"/>
      <c r="C143" s="82" t="n"/>
      <c r="D143" s="82" t="n"/>
      <c r="E143" s="82" t="n"/>
      <c r="F143" s="82" t="n"/>
      <c r="G143" s="82" t="n"/>
      <c r="H143" s="82" t="n"/>
      <c r="I143" s="82" t="n"/>
      <c r="J143" s="82" t="n"/>
      <c r="K143" s="82" t="n"/>
      <c r="L143" s="82" t="n"/>
      <c r="N143" s="82" t="n"/>
      <c r="O143" s="82" t="n"/>
      <c r="P143" s="82" t="n"/>
      <c r="Q143" s="82" t="n"/>
      <c r="R143" s="82" t="n"/>
      <c r="S143" s="82" t="n"/>
    </row>
    <row r="144">
      <c r="A144" s="82" t="n"/>
      <c r="B144" s="82" t="n"/>
      <c r="C144" s="82" t="n"/>
      <c r="D144" s="82" t="n"/>
      <c r="E144" s="82" t="n"/>
      <c r="F144" s="82" t="n"/>
      <c r="G144" s="82" t="n"/>
      <c r="H144" s="82" t="n"/>
      <c r="I144" s="82" t="n"/>
      <c r="J144" s="82" t="n"/>
      <c r="K144" s="82" t="n"/>
      <c r="L144" s="82" t="n"/>
      <c r="N144" s="82" t="n"/>
      <c r="O144" s="82" t="n"/>
      <c r="P144" s="82" t="n"/>
      <c r="Q144" s="82" t="n"/>
      <c r="R144" s="82" t="n"/>
      <c r="S144" s="82" t="n"/>
    </row>
    <row r="145">
      <c r="A145" s="82" t="n"/>
      <c r="B145" s="82" t="n"/>
      <c r="C145" s="82" t="n"/>
      <c r="D145" s="82" t="n"/>
      <c r="E145" s="82" t="n"/>
      <c r="F145" s="82" t="n"/>
      <c r="G145" s="82" t="n"/>
      <c r="H145" s="82" t="n"/>
      <c r="I145" s="82" t="n"/>
      <c r="J145" s="82" t="n"/>
      <c r="K145" s="82" t="n"/>
      <c r="L145" s="82" t="n"/>
      <c r="N145" s="82" t="n"/>
      <c r="O145" s="82" t="n"/>
      <c r="P145" s="82" t="n"/>
      <c r="Q145" s="82" t="n"/>
      <c r="R145" s="82" t="n"/>
      <c r="S145" s="82" t="n"/>
    </row>
    <row r="146">
      <c r="A146" s="82" t="n"/>
      <c r="B146" s="82" t="n"/>
      <c r="C146" s="82" t="n"/>
      <c r="D146" s="82" t="n"/>
      <c r="E146" s="82" t="n"/>
      <c r="F146" s="82" t="n"/>
      <c r="G146" s="82" t="n"/>
      <c r="H146" s="82" t="n"/>
      <c r="I146" s="82" t="n"/>
      <c r="J146" s="82" t="n"/>
      <c r="K146" s="82" t="n"/>
      <c r="L146" s="82" t="n"/>
      <c r="N146" s="82" t="n"/>
      <c r="O146" s="82" t="n"/>
      <c r="P146" s="82" t="n"/>
      <c r="Q146" s="82" t="n"/>
      <c r="R146" s="82" t="n"/>
      <c r="S146" s="82" t="n"/>
    </row>
    <row r="147">
      <c r="A147" s="82" t="n"/>
      <c r="B147" s="82" t="n"/>
      <c r="C147" s="82" t="n"/>
      <c r="D147" s="82" t="n"/>
      <c r="E147" s="82" t="n"/>
      <c r="F147" s="82" t="n"/>
      <c r="G147" s="82" t="n"/>
      <c r="H147" s="82" t="n"/>
      <c r="I147" s="82" t="n"/>
      <c r="J147" s="82" t="n"/>
      <c r="K147" s="82" t="n"/>
      <c r="L147" s="82" t="n"/>
      <c r="N147" s="82" t="n"/>
      <c r="O147" s="82" t="n"/>
      <c r="P147" s="82" t="n"/>
      <c r="Q147" s="82" t="n"/>
      <c r="R147" s="82" t="n"/>
      <c r="S147" s="82" t="n"/>
    </row>
    <row r="148">
      <c r="A148" s="82" t="n"/>
      <c r="B148" s="82" t="n"/>
      <c r="C148" s="82" t="n"/>
      <c r="D148" s="82" t="n"/>
      <c r="E148" s="82" t="n"/>
      <c r="F148" s="82" t="n"/>
      <c r="G148" s="82" t="n"/>
      <c r="H148" s="82" t="n"/>
      <c r="I148" s="82" t="n"/>
      <c r="J148" s="82" t="n"/>
      <c r="K148" s="82" t="n"/>
      <c r="L148" s="82" t="n"/>
      <c r="N148" s="82" t="n"/>
      <c r="O148" s="82" t="n"/>
      <c r="P148" s="82" t="n"/>
      <c r="Q148" s="82" t="n"/>
      <c r="R148" s="82" t="n"/>
      <c r="S148" s="82" t="n"/>
    </row>
    <row r="149">
      <c r="A149" s="82" t="n"/>
      <c r="B149" s="82" t="n"/>
      <c r="C149" s="82" t="n"/>
      <c r="D149" s="82" t="n"/>
      <c r="E149" s="82" t="n"/>
      <c r="F149" s="82" t="n"/>
      <c r="G149" s="82" t="n"/>
      <c r="H149" s="82" t="n"/>
      <c r="I149" s="82" t="n"/>
      <c r="J149" s="82" t="n"/>
      <c r="K149" s="82" t="n"/>
      <c r="L149" s="82" t="n"/>
      <c r="N149" s="82" t="n"/>
      <c r="O149" s="82" t="n"/>
      <c r="P149" s="82" t="n"/>
      <c r="Q149" s="82" t="n"/>
      <c r="R149" s="82" t="n"/>
      <c r="S149" s="82" t="n"/>
    </row>
    <row r="150">
      <c r="A150" s="82" t="n"/>
      <c r="B150" s="82" t="n"/>
      <c r="C150" s="82" t="n"/>
      <c r="D150" s="82" t="n"/>
      <c r="E150" s="82" t="n"/>
      <c r="F150" s="82" t="n"/>
      <c r="G150" s="82" t="n"/>
      <c r="H150" s="82" t="n"/>
      <c r="I150" s="82" t="n"/>
      <c r="J150" s="82" t="n"/>
      <c r="K150" s="82" t="n"/>
      <c r="L150" s="82" t="n"/>
      <c r="N150" s="82" t="n"/>
      <c r="O150" s="82" t="n"/>
      <c r="P150" s="82" t="n"/>
      <c r="Q150" s="82" t="n"/>
      <c r="R150" s="82" t="n"/>
      <c r="S150" s="82" t="n"/>
    </row>
    <row r="151">
      <c r="A151" s="82" t="n"/>
      <c r="B151" s="82" t="n"/>
      <c r="C151" s="82" t="n"/>
      <c r="D151" s="82" t="n"/>
      <c r="E151" s="82" t="n"/>
      <c r="F151" s="82" t="n"/>
      <c r="G151" s="82" t="n"/>
      <c r="H151" s="82" t="n"/>
      <c r="I151" s="82" t="n"/>
      <c r="J151" s="82" t="n"/>
      <c r="K151" s="82" t="n"/>
      <c r="L151" s="82" t="n"/>
      <c r="N151" s="82" t="n"/>
      <c r="O151" s="82" t="n"/>
      <c r="P151" s="82" t="n"/>
      <c r="Q151" s="82" t="n"/>
      <c r="R151" s="82" t="n"/>
      <c r="S151" s="82" t="n"/>
    </row>
    <row r="152">
      <c r="A152" s="82" t="n"/>
      <c r="B152" s="82" t="n"/>
      <c r="C152" s="82" t="n"/>
      <c r="D152" s="82" t="n"/>
      <c r="E152" s="82" t="n"/>
      <c r="F152" s="82" t="n"/>
      <c r="G152" s="82" t="n"/>
      <c r="H152" s="82" t="n"/>
      <c r="I152" s="82" t="n"/>
      <c r="J152" s="82" t="n"/>
      <c r="K152" s="82" t="n"/>
      <c r="L152" s="82" t="n"/>
      <c r="N152" s="82" t="n"/>
      <c r="O152" s="82" t="n"/>
      <c r="P152" s="82" t="n"/>
      <c r="Q152" s="82" t="n"/>
      <c r="R152" s="82" t="n"/>
      <c r="S152" s="82" t="n"/>
    </row>
    <row r="153">
      <c r="A153" s="82" t="n"/>
      <c r="B153" s="82" t="n"/>
      <c r="C153" s="82" t="n"/>
      <c r="D153" s="82" t="n"/>
      <c r="E153" s="82" t="n"/>
      <c r="F153" s="82" t="n"/>
      <c r="G153" s="82" t="n"/>
      <c r="H153" s="82" t="n"/>
      <c r="I153" s="82" t="n"/>
      <c r="J153" s="82" t="n"/>
      <c r="K153" s="82" t="n"/>
      <c r="L153" s="82" t="n"/>
      <c r="N153" s="82" t="n"/>
      <c r="O153" s="82" t="n"/>
      <c r="P153" s="82" t="n"/>
      <c r="Q153" s="82" t="n"/>
      <c r="R153" s="82" t="n"/>
      <c r="S153" s="82" t="n"/>
    </row>
    <row r="154">
      <c r="A154" s="82" t="n"/>
      <c r="B154" s="82" t="n"/>
      <c r="C154" s="82" t="n"/>
      <c r="D154" s="82" t="n"/>
      <c r="E154" s="82" t="n"/>
      <c r="F154" s="82" t="n"/>
      <c r="G154" s="82" t="n"/>
      <c r="H154" s="82" t="n"/>
      <c r="I154" s="82" t="n"/>
      <c r="J154" s="82" t="n"/>
      <c r="K154" s="82" t="n"/>
      <c r="L154" s="82" t="n"/>
      <c r="N154" s="82" t="n"/>
      <c r="O154" s="82" t="n"/>
      <c r="P154" s="82" t="n"/>
      <c r="Q154" s="82" t="n"/>
      <c r="R154" s="82" t="n"/>
      <c r="S154" s="82" t="n"/>
    </row>
    <row r="155">
      <c r="A155" s="82" t="n"/>
      <c r="B155" s="82" t="n"/>
      <c r="C155" s="82" t="n"/>
      <c r="D155" s="82" t="n"/>
      <c r="E155" s="82" t="n"/>
      <c r="F155" s="82" t="n"/>
      <c r="G155" s="82" t="n"/>
      <c r="H155" s="82" t="n"/>
      <c r="I155" s="82" t="n"/>
      <c r="J155" s="82" t="n"/>
      <c r="K155" s="82" t="n"/>
      <c r="L155" s="82" t="n"/>
      <c r="N155" s="82" t="n"/>
      <c r="O155" s="82" t="n"/>
      <c r="P155" s="82" t="n"/>
      <c r="Q155" s="82" t="n"/>
      <c r="R155" s="82" t="n"/>
      <c r="S155" s="82" t="n"/>
    </row>
    <row r="156">
      <c r="A156" s="82" t="n"/>
      <c r="B156" s="82" t="n"/>
      <c r="C156" s="82" t="n"/>
      <c r="D156" s="82" t="n"/>
      <c r="E156" s="82" t="n"/>
      <c r="F156" s="82" t="n"/>
      <c r="G156" s="82" t="n"/>
      <c r="H156" s="82" t="n"/>
      <c r="I156" s="82" t="n"/>
      <c r="J156" s="82" t="n"/>
      <c r="K156" s="82" t="n"/>
      <c r="L156" s="82" t="n"/>
      <c r="N156" s="82" t="n"/>
      <c r="O156" s="82" t="n"/>
      <c r="P156" s="82" t="n"/>
      <c r="Q156" s="82" t="n"/>
      <c r="R156" s="82" t="n"/>
      <c r="S156" s="82" t="n"/>
    </row>
    <row r="157">
      <c r="A157" s="82" t="n"/>
      <c r="B157" s="82" t="n"/>
      <c r="C157" s="82" t="n"/>
      <c r="D157" s="82" t="n"/>
      <c r="E157" s="82" t="n"/>
      <c r="F157" s="82" t="n"/>
      <c r="G157" s="82" t="n"/>
      <c r="H157" s="82" t="n"/>
      <c r="I157" s="82" t="n"/>
      <c r="J157" s="82" t="n"/>
      <c r="K157" s="82" t="n"/>
      <c r="L157" s="82" t="n"/>
      <c r="N157" s="82" t="n"/>
      <c r="O157" s="82" t="n"/>
      <c r="P157" s="82" t="n"/>
      <c r="Q157" s="82" t="n"/>
      <c r="R157" s="82" t="n"/>
      <c r="S157" s="82" t="n"/>
    </row>
    <row r="158">
      <c r="A158" s="82" t="n"/>
      <c r="B158" s="82" t="n"/>
      <c r="C158" s="82" t="n"/>
      <c r="D158" s="82" t="n"/>
      <c r="E158" s="82" t="n"/>
      <c r="F158" s="82" t="n"/>
      <c r="G158" s="82" t="n"/>
      <c r="H158" s="82" t="n"/>
      <c r="I158" s="82" t="n"/>
      <c r="J158" s="82" t="n"/>
      <c r="K158" s="82" t="n"/>
      <c r="L158" s="82" t="n"/>
      <c r="N158" s="82" t="n"/>
      <c r="O158" s="82" t="n"/>
      <c r="P158" s="82" t="n"/>
      <c r="Q158" s="82" t="n"/>
      <c r="R158" s="82" t="n"/>
      <c r="S158" s="82" t="n"/>
    </row>
    <row r="159">
      <c r="A159" s="82" t="n"/>
      <c r="B159" s="82" t="n"/>
      <c r="C159" s="82" t="n"/>
      <c r="D159" s="82" t="n"/>
      <c r="E159" s="82" t="n"/>
      <c r="F159" s="82" t="n"/>
      <c r="G159" s="82" t="n"/>
      <c r="H159" s="82" t="n"/>
      <c r="I159" s="82" t="n"/>
      <c r="J159" s="82" t="n"/>
      <c r="K159" s="82" t="n"/>
      <c r="L159" s="82" t="n"/>
      <c r="N159" s="82" t="n"/>
      <c r="O159" s="82" t="n"/>
      <c r="P159" s="82" t="n"/>
      <c r="Q159" s="82" t="n"/>
      <c r="R159" s="82" t="n"/>
      <c r="S159" s="82" t="n"/>
    </row>
    <row r="160">
      <c r="A160" s="82" t="n"/>
      <c r="B160" s="82" t="n"/>
      <c r="C160" s="82" t="n"/>
      <c r="D160" s="82" t="n"/>
      <c r="E160" s="82" t="n"/>
      <c r="F160" s="82" t="n"/>
      <c r="G160" s="82" t="n"/>
      <c r="H160" s="82" t="n"/>
      <c r="I160" s="82" t="n"/>
      <c r="J160" s="82" t="n"/>
      <c r="K160" s="82" t="n"/>
      <c r="L160" s="82" t="n"/>
      <c r="N160" s="82" t="n"/>
      <c r="O160" s="82" t="n"/>
      <c r="P160" s="82" t="n"/>
      <c r="Q160" s="82" t="n"/>
      <c r="R160" s="82" t="n"/>
      <c r="S160" s="82" t="n"/>
    </row>
    <row r="161">
      <c r="A161" s="82" t="n"/>
      <c r="B161" s="82" t="n"/>
      <c r="C161" s="82" t="n"/>
      <c r="D161" s="82" t="n"/>
      <c r="E161" s="82" t="n"/>
      <c r="F161" s="82" t="n"/>
      <c r="G161" s="82" t="n"/>
      <c r="H161" s="82" t="n"/>
      <c r="I161" s="82" t="n"/>
      <c r="J161" s="82" t="n"/>
      <c r="K161" s="82" t="n"/>
      <c r="L161" s="82" t="n"/>
      <c r="N161" s="82" t="n"/>
      <c r="O161" s="82" t="n"/>
      <c r="P161" s="82" t="n"/>
      <c r="Q161" s="82" t="n"/>
      <c r="R161" s="82" t="n"/>
      <c r="S161" s="82" t="n"/>
    </row>
    <row r="162">
      <c r="A162" s="82" t="n"/>
      <c r="B162" s="82" t="n"/>
      <c r="C162" s="82" t="n"/>
      <c r="D162" s="82" t="n"/>
      <c r="E162" s="82" t="n"/>
      <c r="F162" s="82" t="n"/>
      <c r="G162" s="82" t="n"/>
      <c r="H162" s="82" t="n"/>
      <c r="I162" s="82" t="n"/>
      <c r="J162" s="82" t="n"/>
      <c r="K162" s="82" t="n"/>
      <c r="L162" s="82" t="n"/>
      <c r="N162" s="82" t="n"/>
      <c r="O162" s="82" t="n"/>
      <c r="P162" s="82" t="n"/>
      <c r="Q162" s="82" t="n"/>
      <c r="R162" s="82" t="n"/>
      <c r="S162" s="82" t="n"/>
    </row>
    <row r="163">
      <c r="A163" s="82" t="n"/>
      <c r="B163" s="82" t="n"/>
      <c r="C163" s="82" t="n"/>
      <c r="D163" s="82" t="n"/>
      <c r="E163" s="82" t="n"/>
      <c r="F163" s="82" t="n"/>
      <c r="G163" s="82" t="n"/>
      <c r="H163" s="82" t="n"/>
      <c r="I163" s="82" t="n"/>
      <c r="J163" s="82" t="n"/>
      <c r="K163" s="82" t="n"/>
      <c r="L163" s="82" t="n"/>
      <c r="N163" s="82" t="n"/>
      <c r="O163" s="82" t="n"/>
      <c r="P163" s="82" t="n"/>
      <c r="Q163" s="82" t="n"/>
      <c r="R163" s="82" t="n"/>
      <c r="S163" s="82" t="n"/>
    </row>
    <row r="164">
      <c r="A164" s="82" t="n"/>
      <c r="B164" s="82" t="n"/>
      <c r="C164" s="82" t="n"/>
      <c r="D164" s="82" t="n"/>
      <c r="E164" s="82" t="n"/>
      <c r="F164" s="82" t="n"/>
      <c r="G164" s="82" t="n"/>
      <c r="H164" s="82" t="n"/>
      <c r="I164" s="82" t="n"/>
      <c r="J164" s="82" t="n"/>
      <c r="K164" s="82" t="n"/>
      <c r="L164" s="82" t="n"/>
      <c r="N164" s="82" t="n"/>
      <c r="O164" s="82" t="n"/>
      <c r="P164" s="82" t="n"/>
      <c r="Q164" s="82" t="n"/>
      <c r="R164" s="82" t="n"/>
      <c r="S164" s="82" t="n"/>
    </row>
    <row r="165">
      <c r="A165" s="82" t="n"/>
      <c r="B165" s="82" t="n"/>
      <c r="C165" s="82" t="n"/>
      <c r="D165" s="82" t="n"/>
      <c r="E165" s="82" t="n"/>
      <c r="F165" s="82" t="n"/>
      <c r="G165" s="82" t="n"/>
      <c r="H165" s="82" t="n"/>
      <c r="I165" s="82" t="n"/>
      <c r="J165" s="82" t="n"/>
      <c r="K165" s="82" t="n"/>
      <c r="L165" s="82" t="n"/>
      <c r="N165" s="82" t="n"/>
      <c r="O165" s="82" t="n"/>
      <c r="P165" s="82" t="n"/>
      <c r="Q165" s="82" t="n"/>
      <c r="R165" s="82" t="n"/>
      <c r="S165" s="82" t="n"/>
    </row>
    <row r="166">
      <c r="A166" s="82" t="n"/>
      <c r="B166" s="82" t="n"/>
      <c r="C166" s="82" t="n"/>
      <c r="D166" s="82" t="n"/>
      <c r="E166" s="82" t="n"/>
      <c r="F166" s="82" t="n"/>
      <c r="G166" s="82" t="n"/>
      <c r="H166" s="82" t="n"/>
      <c r="I166" s="82" t="n"/>
      <c r="J166" s="82" t="n"/>
      <c r="K166" s="82" t="n"/>
      <c r="L166" s="82" t="n"/>
      <c r="N166" s="82" t="n"/>
      <c r="O166" s="82" t="n"/>
      <c r="P166" s="82" t="n"/>
      <c r="Q166" s="82" t="n"/>
      <c r="R166" s="82" t="n"/>
      <c r="S166" s="82" t="n"/>
    </row>
    <row r="167">
      <c r="A167" s="82" t="n"/>
      <c r="B167" s="82" t="n"/>
      <c r="C167" s="82" t="n"/>
      <c r="D167" s="82" t="n"/>
      <c r="E167" s="82" t="n"/>
      <c r="F167" s="82" t="n"/>
      <c r="G167" s="82" t="n"/>
      <c r="H167" s="82" t="n"/>
      <c r="I167" s="82" t="n"/>
      <c r="J167" s="82" t="n"/>
      <c r="K167" s="82" t="n"/>
      <c r="L167" s="82" t="n"/>
      <c r="N167" s="82" t="n"/>
      <c r="O167" s="82" t="n"/>
      <c r="P167" s="82" t="n"/>
      <c r="Q167" s="82" t="n"/>
      <c r="R167" s="82" t="n"/>
      <c r="S167" s="82" t="n"/>
    </row>
    <row r="168">
      <c r="A168" s="82" t="n"/>
      <c r="B168" s="82" t="n"/>
      <c r="C168" s="82" t="n"/>
      <c r="D168" s="82" t="n"/>
      <c r="E168" s="82" t="n"/>
      <c r="F168" s="82" t="n"/>
      <c r="G168" s="82" t="n"/>
      <c r="H168" s="82" t="n"/>
      <c r="I168" s="82" t="n"/>
      <c r="J168" s="82" t="n"/>
      <c r="K168" s="82" t="n"/>
      <c r="L168" s="82" t="n"/>
      <c r="N168" s="82" t="n"/>
      <c r="O168" s="82" t="n"/>
      <c r="P168" s="82" t="n"/>
      <c r="Q168" s="82" t="n"/>
      <c r="R168" s="82" t="n"/>
      <c r="S168" s="82" t="n"/>
    </row>
    <row r="169">
      <c r="A169" s="82" t="n"/>
      <c r="B169" s="82" t="n"/>
      <c r="C169" s="82" t="n"/>
      <c r="D169" s="82" t="n"/>
      <c r="E169" s="82" t="n"/>
      <c r="F169" s="82" t="n"/>
      <c r="G169" s="82" t="n"/>
      <c r="H169" s="82" t="n"/>
      <c r="I169" s="82" t="n"/>
      <c r="J169" s="82" t="n"/>
      <c r="K169" s="82" t="n"/>
      <c r="L169" s="82" t="n"/>
      <c r="N169" s="82" t="n"/>
      <c r="O169" s="82" t="n"/>
      <c r="P169" s="82" t="n"/>
      <c r="Q169" s="82" t="n"/>
      <c r="R169" s="82" t="n"/>
      <c r="S169" s="82" t="n"/>
    </row>
    <row r="170">
      <c r="A170" s="82" t="n"/>
      <c r="B170" s="82" t="n"/>
      <c r="C170" s="82" t="n"/>
      <c r="D170" s="82" t="n"/>
      <c r="E170" s="82" t="n"/>
      <c r="F170" s="82" t="n"/>
      <c r="G170" s="82" t="n"/>
      <c r="H170" s="82" t="n"/>
      <c r="I170" s="82" t="n"/>
      <c r="J170" s="82" t="n"/>
      <c r="K170" s="82" t="n"/>
      <c r="L170" s="82" t="n"/>
      <c r="N170" s="82" t="n"/>
      <c r="O170" s="82" t="n"/>
      <c r="P170" s="82" t="n"/>
      <c r="Q170" s="82" t="n"/>
      <c r="R170" s="82" t="n"/>
      <c r="S170" s="82" t="n"/>
    </row>
    <row r="171">
      <c r="A171" s="82" t="n"/>
      <c r="B171" s="82" t="n"/>
      <c r="C171" s="82" t="n"/>
      <c r="D171" s="82" t="n"/>
      <c r="E171" s="82" t="n"/>
      <c r="F171" s="82" t="n"/>
      <c r="G171" s="82" t="n"/>
      <c r="H171" s="82" t="n"/>
      <c r="I171" s="82" t="n"/>
      <c r="J171" s="82" t="n"/>
      <c r="K171" s="82" t="n"/>
      <c r="L171" s="82" t="n"/>
      <c r="N171" s="82" t="n"/>
      <c r="O171" s="82" t="n"/>
      <c r="P171" s="82" t="n"/>
      <c r="Q171" s="82" t="n"/>
      <c r="R171" s="82" t="n"/>
      <c r="S171" s="82" t="n"/>
    </row>
    <row r="172">
      <c r="A172" s="82" t="n"/>
      <c r="B172" s="82" t="n"/>
      <c r="C172" s="82" t="n"/>
      <c r="D172" s="82" t="n"/>
      <c r="E172" s="82" t="n"/>
      <c r="F172" s="82" t="n"/>
      <c r="G172" s="82" t="n"/>
      <c r="H172" s="82" t="n"/>
      <c r="I172" s="82" t="n"/>
      <c r="J172" s="82" t="n"/>
      <c r="K172" s="82" t="n"/>
      <c r="L172" s="82" t="n"/>
      <c r="N172" s="82" t="n"/>
      <c r="O172" s="82" t="n"/>
      <c r="P172" s="82" t="n"/>
      <c r="Q172" s="82" t="n"/>
      <c r="R172" s="82" t="n"/>
      <c r="S172" s="82" t="n"/>
    </row>
    <row r="173">
      <c r="A173" s="82" t="n"/>
      <c r="B173" s="82" t="n"/>
      <c r="C173" s="82" t="n"/>
      <c r="D173" s="82" t="n"/>
      <c r="E173" s="82" t="n"/>
      <c r="F173" s="82" t="n"/>
      <c r="G173" s="82" t="n"/>
      <c r="H173" s="82" t="n"/>
      <c r="I173" s="82" t="n"/>
      <c r="J173" s="82" t="n"/>
      <c r="K173" s="82" t="n"/>
      <c r="L173" s="82" t="n"/>
      <c r="N173" s="82" t="n"/>
      <c r="O173" s="82" t="n"/>
      <c r="P173" s="82" t="n"/>
      <c r="Q173" s="82" t="n"/>
      <c r="R173" s="82" t="n"/>
      <c r="S173" s="82" t="n"/>
    </row>
    <row r="174">
      <c r="A174" s="82" t="n"/>
      <c r="B174" s="82" t="n"/>
      <c r="C174" s="82" t="n"/>
      <c r="D174" s="82" t="n"/>
      <c r="E174" s="82" t="n"/>
      <c r="F174" s="82" t="n"/>
      <c r="G174" s="82" t="n"/>
      <c r="H174" s="82" t="n"/>
      <c r="I174" s="82" t="n"/>
      <c r="J174" s="82" t="n"/>
      <c r="K174" s="82" t="n"/>
      <c r="L174" s="82" t="n"/>
      <c r="N174" s="82" t="n"/>
      <c r="O174" s="82" t="n"/>
      <c r="P174" s="82" t="n"/>
      <c r="Q174" s="82" t="n"/>
      <c r="R174" s="82" t="n"/>
      <c r="S174" s="82" t="n"/>
    </row>
    <row r="175">
      <c r="A175" s="82" t="n"/>
      <c r="B175" s="82" t="n"/>
      <c r="C175" s="82" t="n"/>
      <c r="D175" s="82" t="n"/>
      <c r="E175" s="82" t="n"/>
      <c r="F175" s="82" t="n"/>
      <c r="G175" s="82" t="n"/>
      <c r="H175" s="82" t="n"/>
      <c r="I175" s="82" t="n"/>
      <c r="J175" s="82" t="n"/>
      <c r="K175" s="82" t="n"/>
      <c r="L175" s="82" t="n"/>
      <c r="N175" s="82" t="n"/>
      <c r="O175" s="82" t="n"/>
      <c r="P175" s="82" t="n"/>
      <c r="Q175" s="82" t="n"/>
      <c r="R175" s="82" t="n"/>
      <c r="S175" s="82" t="n"/>
    </row>
    <row r="176">
      <c r="A176" s="82" t="n"/>
      <c r="B176" s="82" t="n"/>
      <c r="C176" s="82" t="n"/>
      <c r="D176" s="82" t="n"/>
      <c r="E176" s="82" t="n"/>
      <c r="F176" s="82" t="n"/>
      <c r="G176" s="82" t="n"/>
      <c r="H176" s="82" t="n"/>
      <c r="I176" s="82" t="n"/>
      <c r="J176" s="82" t="n"/>
      <c r="K176" s="82" t="n"/>
      <c r="L176" s="82" t="n"/>
      <c r="N176" s="82" t="n"/>
      <c r="O176" s="82" t="n"/>
      <c r="P176" s="82" t="n"/>
      <c r="Q176" s="82" t="n"/>
      <c r="R176" s="82" t="n"/>
      <c r="S176" s="82" t="n"/>
    </row>
    <row r="177">
      <c r="A177" s="82" t="n"/>
      <c r="B177" s="82" t="n"/>
      <c r="C177" s="82" t="n"/>
      <c r="D177" s="82" t="n"/>
      <c r="E177" s="82" t="n"/>
      <c r="F177" s="82" t="n"/>
      <c r="G177" s="82" t="n"/>
      <c r="H177" s="82" t="n"/>
      <c r="I177" s="82" t="n"/>
      <c r="J177" s="82" t="n"/>
      <c r="K177" s="82" t="n"/>
      <c r="L177" s="82" t="n"/>
      <c r="N177" s="82" t="n"/>
      <c r="O177" s="82" t="n"/>
      <c r="P177" s="82" t="n"/>
      <c r="Q177" s="82" t="n"/>
      <c r="R177" s="82" t="n"/>
      <c r="S177" s="82" t="n"/>
    </row>
    <row r="178">
      <c r="A178" s="82" t="n"/>
      <c r="B178" s="82" t="n"/>
      <c r="C178" s="82" t="n"/>
      <c r="D178" s="82" t="n"/>
      <c r="E178" s="82" t="n"/>
      <c r="F178" s="82" t="n"/>
      <c r="G178" s="82" t="n"/>
      <c r="H178" s="82" t="n"/>
      <c r="I178" s="82" t="n"/>
      <c r="J178" s="82" t="n"/>
      <c r="K178" s="82" t="n"/>
      <c r="L178" s="82" t="n"/>
      <c r="N178" s="82" t="n"/>
      <c r="O178" s="82" t="n"/>
      <c r="P178" s="82" t="n"/>
      <c r="Q178" s="82" t="n"/>
      <c r="R178" s="82" t="n"/>
      <c r="S178" s="82" t="n"/>
    </row>
    <row r="179">
      <c r="A179" s="82" t="n"/>
      <c r="B179" s="82" t="n"/>
      <c r="C179" s="82" t="n"/>
      <c r="D179" s="82" t="n"/>
      <c r="E179" s="82" t="n"/>
      <c r="F179" s="82" t="n"/>
      <c r="G179" s="82" t="n"/>
      <c r="H179" s="82" t="n"/>
      <c r="I179" s="82" t="n"/>
      <c r="J179" s="82" t="n"/>
      <c r="K179" s="82" t="n"/>
      <c r="L179" s="82" t="n"/>
      <c r="N179" s="82" t="n"/>
      <c r="O179" s="82" t="n"/>
      <c r="P179" s="82" t="n"/>
      <c r="Q179" s="82" t="n"/>
      <c r="R179" s="82" t="n"/>
      <c r="S179" s="82" t="n"/>
    </row>
    <row r="180">
      <c r="A180" s="82" t="n"/>
      <c r="B180" s="82" t="n"/>
      <c r="C180" s="82" t="n"/>
      <c r="D180" s="82" t="n"/>
      <c r="E180" s="82" t="n"/>
      <c r="F180" s="82" t="n"/>
      <c r="G180" s="82" t="n"/>
      <c r="H180" s="82" t="n"/>
      <c r="I180" s="82" t="n"/>
      <c r="J180" s="82" t="n"/>
      <c r="K180" s="82" t="n"/>
      <c r="L180" s="82" t="n"/>
      <c r="N180" s="82" t="n"/>
      <c r="O180" s="82" t="n"/>
      <c r="P180" s="82" t="n"/>
      <c r="Q180" s="82" t="n"/>
      <c r="R180" s="82" t="n"/>
      <c r="S180" s="82" t="n"/>
    </row>
    <row r="181">
      <c r="A181" s="82" t="n"/>
      <c r="B181" s="82" t="n"/>
      <c r="C181" s="82" t="n"/>
      <c r="D181" s="82" t="n"/>
      <c r="E181" s="82" t="n"/>
      <c r="F181" s="82" t="n"/>
      <c r="G181" s="82" t="n"/>
      <c r="H181" s="82" t="n"/>
      <c r="I181" s="82" t="n"/>
      <c r="J181" s="82" t="n"/>
      <c r="K181" s="82" t="n"/>
      <c r="L181" s="82" t="n"/>
      <c r="N181" s="82" t="n"/>
      <c r="O181" s="82" t="n"/>
      <c r="P181" s="82" t="n"/>
      <c r="Q181" s="82" t="n"/>
      <c r="R181" s="82" t="n"/>
      <c r="S181" s="82" t="n"/>
    </row>
    <row r="182">
      <c r="A182" s="82" t="n"/>
      <c r="B182" s="82" t="n"/>
      <c r="C182" s="82" t="n"/>
      <c r="D182" s="82" t="n"/>
      <c r="E182" s="82" t="n"/>
      <c r="F182" s="82" t="n"/>
      <c r="G182" s="82" t="n"/>
      <c r="H182" s="82" t="n"/>
      <c r="I182" s="82" t="n"/>
      <c r="J182" s="82" t="n"/>
      <c r="K182" s="82" t="n"/>
      <c r="L182" s="82" t="n"/>
      <c r="N182" s="82" t="n"/>
      <c r="O182" s="82" t="n"/>
      <c r="P182" s="82" t="n"/>
      <c r="Q182" s="82" t="n"/>
      <c r="R182" s="82" t="n"/>
      <c r="S182" s="82" t="n"/>
    </row>
    <row r="183">
      <c r="A183" s="82" t="n"/>
      <c r="B183" s="82" t="n"/>
      <c r="C183" s="82" t="n"/>
      <c r="D183" s="82" t="n"/>
      <c r="E183" s="82" t="n"/>
      <c r="F183" s="82" t="n"/>
      <c r="G183" s="82" t="n"/>
      <c r="H183" s="82" t="n"/>
      <c r="I183" s="82" t="n"/>
      <c r="J183" s="82" t="n"/>
      <c r="K183" s="82" t="n"/>
      <c r="L183" s="82" t="n"/>
      <c r="N183" s="82" t="n"/>
      <c r="O183" s="82" t="n"/>
      <c r="P183" s="82" t="n"/>
      <c r="Q183" s="82" t="n"/>
      <c r="R183" s="82" t="n"/>
      <c r="S183" s="82" t="n"/>
    </row>
    <row r="184">
      <c r="A184" s="82" t="n"/>
      <c r="B184" s="82" t="n"/>
      <c r="C184" s="82" t="n"/>
      <c r="D184" s="82" t="n"/>
      <c r="E184" s="82" t="n"/>
      <c r="F184" s="82" t="n"/>
      <c r="G184" s="82" t="n"/>
      <c r="H184" s="82" t="n"/>
      <c r="I184" s="82" t="n"/>
      <c r="J184" s="82" t="n"/>
      <c r="K184" s="82" t="n"/>
      <c r="L184" s="82" t="n"/>
      <c r="N184" s="82" t="n"/>
      <c r="O184" s="82" t="n"/>
      <c r="P184" s="82" t="n"/>
      <c r="Q184" s="82" t="n"/>
      <c r="R184" s="82" t="n"/>
      <c r="S184" s="82" t="n"/>
    </row>
    <row r="185">
      <c r="A185" s="82" t="n"/>
      <c r="B185" s="82" t="n"/>
      <c r="C185" s="82" t="n"/>
      <c r="D185" s="82" t="n"/>
      <c r="E185" s="82" t="n"/>
      <c r="F185" s="82" t="n"/>
      <c r="G185" s="82" t="n"/>
      <c r="H185" s="82" t="n"/>
      <c r="I185" s="82" t="n"/>
      <c r="J185" s="82" t="n"/>
      <c r="K185" s="82" t="n"/>
      <c r="L185" s="82" t="n"/>
      <c r="N185" s="82" t="n"/>
      <c r="O185" s="82" t="n"/>
      <c r="P185" s="82" t="n"/>
      <c r="Q185" s="82" t="n"/>
      <c r="R185" s="82" t="n"/>
      <c r="S185" s="82" t="n"/>
    </row>
    <row r="186">
      <c r="A186" s="82" t="n"/>
      <c r="B186" s="82" t="n"/>
      <c r="C186" s="82" t="n"/>
      <c r="D186" s="82" t="n"/>
      <c r="E186" s="82" t="n"/>
      <c r="F186" s="82" t="n"/>
      <c r="G186" s="82" t="n"/>
      <c r="H186" s="82" t="n"/>
      <c r="I186" s="82" t="n"/>
      <c r="J186" s="82" t="n"/>
      <c r="K186" s="82" t="n"/>
      <c r="L186" s="82" t="n"/>
      <c r="N186" s="82" t="n"/>
      <c r="O186" s="82" t="n"/>
      <c r="P186" s="82" t="n"/>
      <c r="Q186" s="82" t="n"/>
      <c r="R186" s="82" t="n"/>
      <c r="S186" s="82" t="n"/>
    </row>
    <row r="187">
      <c r="A187" s="82" t="n"/>
      <c r="B187" s="82" t="n"/>
      <c r="C187" s="82" t="n"/>
      <c r="D187" s="82" t="n"/>
      <c r="E187" s="82" t="n"/>
      <c r="F187" s="82" t="n"/>
      <c r="G187" s="82" t="n"/>
      <c r="H187" s="82" t="n"/>
      <c r="I187" s="82" t="n"/>
      <c r="J187" s="82" t="n"/>
      <c r="K187" s="82" t="n"/>
      <c r="L187" s="82" t="n"/>
      <c r="N187" s="82" t="n"/>
      <c r="O187" s="82" t="n"/>
      <c r="P187" s="82" t="n"/>
      <c r="Q187" s="82" t="n"/>
      <c r="R187" s="82" t="n"/>
      <c r="S187" s="82" t="n"/>
    </row>
    <row r="188">
      <c r="A188" s="82" t="n"/>
      <c r="B188" s="82" t="n"/>
      <c r="C188" s="82" t="n"/>
      <c r="D188" s="82" t="n"/>
      <c r="E188" s="82" t="n"/>
      <c r="F188" s="82" t="n"/>
      <c r="G188" s="82" t="n"/>
      <c r="H188" s="82" t="n"/>
      <c r="I188" s="82" t="n"/>
      <c r="J188" s="82" t="n"/>
      <c r="K188" s="82" t="n"/>
      <c r="L188" s="82" t="n"/>
      <c r="N188" s="82" t="n"/>
      <c r="O188" s="82" t="n"/>
      <c r="P188" s="82" t="n"/>
      <c r="Q188" s="82" t="n"/>
      <c r="R188" s="82" t="n"/>
      <c r="S188" s="82" t="n"/>
    </row>
    <row r="189">
      <c r="A189" s="82" t="n"/>
      <c r="B189" s="82" t="n"/>
      <c r="C189" s="82" t="n"/>
      <c r="D189" s="82" t="n"/>
      <c r="E189" s="82" t="n"/>
      <c r="F189" s="82" t="n"/>
      <c r="G189" s="82" t="n"/>
      <c r="H189" s="82" t="n"/>
      <c r="I189" s="82" t="n"/>
      <c r="J189" s="82" t="n"/>
      <c r="K189" s="82" t="n"/>
      <c r="L189" s="82" t="n"/>
      <c r="N189" s="82" t="n"/>
      <c r="O189" s="82" t="n"/>
      <c r="P189" s="82" t="n"/>
      <c r="Q189" s="82" t="n"/>
      <c r="R189" s="82" t="n"/>
      <c r="S189" s="82" t="n"/>
    </row>
    <row r="190">
      <c r="A190" s="82" t="n"/>
      <c r="B190" s="82" t="n"/>
      <c r="C190" s="82" t="n"/>
      <c r="D190" s="82" t="n"/>
      <c r="E190" s="82" t="n"/>
      <c r="F190" s="82" t="n"/>
      <c r="G190" s="82" t="n"/>
      <c r="H190" s="82" t="n"/>
      <c r="I190" s="82" t="n"/>
      <c r="J190" s="82" t="n"/>
      <c r="K190" s="82" t="n"/>
      <c r="L190" s="82" t="n"/>
      <c r="N190" s="82" t="n"/>
      <c r="O190" s="82" t="n"/>
      <c r="P190" s="82" t="n"/>
      <c r="Q190" s="82" t="n"/>
      <c r="R190" s="82" t="n"/>
      <c r="S190" s="82" t="n"/>
    </row>
    <row r="191">
      <c r="A191" s="82" t="n"/>
      <c r="B191" s="82" t="n"/>
      <c r="C191" s="82" t="n"/>
      <c r="D191" s="82" t="n"/>
      <c r="E191" s="82" t="n"/>
      <c r="F191" s="82" t="n"/>
      <c r="G191" s="82" t="n"/>
      <c r="H191" s="82" t="n"/>
      <c r="I191" s="82" t="n"/>
      <c r="J191" s="82" t="n"/>
      <c r="K191" s="82" t="n"/>
      <c r="L191" s="82" t="n"/>
      <c r="N191" s="82" t="n"/>
      <c r="O191" s="82" t="n"/>
      <c r="P191" s="82" t="n"/>
      <c r="Q191" s="82" t="n"/>
      <c r="R191" s="82" t="n"/>
      <c r="S191" s="82" t="n"/>
    </row>
    <row r="192">
      <c r="A192" s="82" t="n"/>
      <c r="B192" s="82" t="n"/>
      <c r="C192" s="82" t="n"/>
      <c r="D192" s="82" t="n"/>
      <c r="E192" s="82" t="n"/>
      <c r="F192" s="82" t="n"/>
      <c r="G192" s="82" t="n"/>
      <c r="H192" s="82" t="n"/>
      <c r="I192" s="82" t="n"/>
      <c r="J192" s="82" t="n"/>
      <c r="K192" s="82" t="n"/>
      <c r="L192" s="82" t="n"/>
      <c r="N192" s="82" t="n"/>
      <c r="O192" s="82" t="n"/>
      <c r="P192" s="82" t="n"/>
      <c r="Q192" s="82" t="n"/>
      <c r="R192" s="82" t="n"/>
      <c r="S192" s="82" t="n"/>
    </row>
    <row r="193">
      <c r="A193" s="82" t="n"/>
      <c r="B193" s="82" t="n"/>
      <c r="C193" s="82" t="n"/>
      <c r="D193" s="82" t="n"/>
      <c r="E193" s="82" t="n"/>
      <c r="F193" s="82" t="n"/>
      <c r="G193" s="82" t="n"/>
      <c r="H193" s="82" t="n"/>
      <c r="I193" s="82" t="n"/>
      <c r="J193" s="82" t="n"/>
      <c r="K193" s="82" t="n"/>
      <c r="L193" s="82" t="n"/>
      <c r="N193" s="82" t="n"/>
      <c r="O193" s="82" t="n"/>
      <c r="P193" s="82" t="n"/>
      <c r="Q193" s="82" t="n"/>
      <c r="R193" s="82" t="n"/>
      <c r="S193" s="82" t="n"/>
    </row>
    <row r="194">
      <c r="A194" s="82" t="n"/>
      <c r="B194" s="82" t="n"/>
      <c r="C194" s="82" t="n"/>
      <c r="D194" s="82" t="n"/>
      <c r="E194" s="82" t="n"/>
      <c r="F194" s="82" t="n"/>
      <c r="G194" s="82" t="n"/>
      <c r="H194" s="82" t="n"/>
      <c r="I194" s="82" t="n"/>
      <c r="J194" s="82" t="n"/>
      <c r="K194" s="82" t="n"/>
      <c r="L194" s="82" t="n"/>
      <c r="N194" s="82" t="n"/>
      <c r="O194" s="82" t="n"/>
      <c r="P194" s="82" t="n"/>
      <c r="Q194" s="82" t="n"/>
      <c r="R194" s="82" t="n"/>
      <c r="S194" s="82" t="n"/>
    </row>
    <row r="195">
      <c r="A195" s="82" t="n"/>
      <c r="B195" s="82" t="n"/>
      <c r="C195" s="82" t="n"/>
      <c r="D195" s="82" t="n"/>
      <c r="E195" s="82" t="n"/>
      <c r="F195" s="82" t="n"/>
      <c r="G195" s="82" t="n"/>
      <c r="H195" s="82" t="n"/>
      <c r="I195" s="82" t="n"/>
      <c r="J195" s="82" t="n"/>
      <c r="K195" s="82" t="n"/>
      <c r="L195" s="82" t="n"/>
      <c r="N195" s="82" t="n"/>
      <c r="O195" s="82" t="n"/>
      <c r="P195" s="82" t="n"/>
      <c r="Q195" s="82" t="n"/>
      <c r="R195" s="82" t="n"/>
      <c r="S195" s="82" t="n"/>
    </row>
    <row r="196">
      <c r="A196" s="82" t="n"/>
      <c r="B196" s="82" t="n"/>
      <c r="C196" s="82" t="n"/>
      <c r="D196" s="82" t="n"/>
      <c r="E196" s="82" t="n"/>
      <c r="F196" s="82" t="n"/>
      <c r="G196" s="82" t="n"/>
      <c r="H196" s="82" t="n"/>
      <c r="I196" s="82" t="n"/>
      <c r="J196" s="82" t="n"/>
      <c r="K196" s="82" t="n"/>
      <c r="L196" s="82" t="n"/>
      <c r="N196" s="82" t="n"/>
      <c r="O196" s="82" t="n"/>
      <c r="P196" s="82" t="n"/>
      <c r="Q196" s="82" t="n"/>
      <c r="R196" s="82" t="n"/>
      <c r="S196" s="82" t="n"/>
    </row>
    <row r="197">
      <c r="A197" s="82" t="n"/>
      <c r="B197" s="82" t="n"/>
      <c r="C197" s="82" t="n"/>
      <c r="D197" s="82" t="n"/>
      <c r="E197" s="82" t="n"/>
      <c r="F197" s="82" t="n"/>
      <c r="G197" s="82" t="n"/>
      <c r="H197" s="82" t="n"/>
      <c r="I197" s="82" t="n"/>
      <c r="J197" s="82" t="n"/>
      <c r="K197" s="82" t="n"/>
      <c r="L197" s="82" t="n"/>
      <c r="N197" s="82" t="n"/>
      <c r="O197" s="82" t="n"/>
      <c r="P197" s="82" t="n"/>
      <c r="Q197" s="82" t="n"/>
      <c r="R197" s="82" t="n"/>
      <c r="S197" s="82" t="n"/>
    </row>
    <row r="198">
      <c r="A198" s="82" t="n"/>
      <c r="B198" s="82" t="n"/>
      <c r="C198" s="82" t="n"/>
      <c r="D198" s="82" t="n"/>
      <c r="E198" s="82" t="n"/>
      <c r="F198" s="82" t="n"/>
      <c r="G198" s="82" t="n"/>
      <c r="H198" s="82" t="n"/>
      <c r="I198" s="82" t="n"/>
      <c r="J198" s="82" t="n"/>
      <c r="K198" s="82" t="n"/>
      <c r="L198" s="82" t="n"/>
      <c r="N198" s="82" t="n"/>
      <c r="O198" s="82" t="n"/>
      <c r="P198" s="82" t="n"/>
      <c r="Q198" s="82" t="n"/>
      <c r="R198" s="82" t="n"/>
      <c r="S198" s="82" t="n"/>
    </row>
    <row r="199">
      <c r="A199" s="82" t="n"/>
      <c r="B199" s="82" t="n"/>
      <c r="C199" s="82" t="n"/>
      <c r="D199" s="82" t="n"/>
      <c r="E199" s="82" t="n"/>
      <c r="F199" s="82" t="n"/>
      <c r="G199" s="82" t="n"/>
      <c r="H199" s="82" t="n"/>
      <c r="I199" s="82" t="n"/>
      <c r="J199" s="82" t="n"/>
      <c r="K199" s="82" t="n"/>
      <c r="L199" s="82" t="n"/>
      <c r="N199" s="82" t="n"/>
      <c r="O199" s="82" t="n"/>
      <c r="P199" s="82" t="n"/>
      <c r="Q199" s="82" t="n"/>
      <c r="R199" s="82" t="n"/>
      <c r="S199" s="82" t="n"/>
    </row>
    <row r="200">
      <c r="A200" s="82" t="n"/>
      <c r="B200" s="82" t="n"/>
      <c r="C200" s="82" t="n"/>
      <c r="D200" s="82" t="n"/>
      <c r="E200" s="82" t="n"/>
      <c r="F200" s="82" t="n"/>
      <c r="G200" s="82" t="n"/>
      <c r="H200" s="82" t="n"/>
      <c r="I200" s="82" t="n"/>
      <c r="J200" s="82" t="n"/>
      <c r="K200" s="82" t="n"/>
      <c r="L200" s="82" t="n"/>
      <c r="N200" s="82" t="n"/>
      <c r="O200" s="82" t="n"/>
      <c r="P200" s="82" t="n"/>
      <c r="Q200" s="82" t="n"/>
      <c r="R200" s="82" t="n"/>
      <c r="S200" s="82" t="n"/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autoFilter ref="A4:S15"/>
  <mergeCells count="2">
    <mergeCell ref="A2:S2"/>
    <mergeCell ref="A1:S1"/>
  </mergeCells>
  <conditionalFormatting sqref="R5:R80">
    <cfRule type="expression" priority="1" dxfId="0">
      <formula>R5="Active"</formula>
    </cfRule>
    <cfRule type="expression" priority="2" dxfId="8">
      <formula>R5="Inactive"</formula>
    </cfRule>
    <cfRule type="expression" priority="3" dxfId="4">
      <formula>R5="Do Not Use"</formula>
    </cfRule>
  </conditionalFormatting>
  <conditionalFormatting sqref="M5:M80">
    <cfRule type="colorScale" priority="4">
      <colorScale>
        <cfvo type="num" val="0.7"/>
        <cfvo type="num" val="0.88"/>
        <cfvo type="num" val="1"/>
        <color rgb="00C75C5C"/>
        <color rgb="00D99A3D"/>
        <color rgb="00719B7A"/>
      </colorScale>
    </cfRule>
  </conditionalFormatting>
  <dataValidations count="1">
    <dataValidation sqref="D5:D80" showDropDown="0" showInputMessage="0" showErrorMessage="1" allowBlank="1" errorTitle="Invalid value" error="Pick a value from the list." type="list">
      <formula1>=Trade</formula1>
    </dataValidation>
  </dataValidations>
  <pageMargins left="0.4" right="0.4" top="0.6" bottom="0.5" header="0.25" footer="0.25"/>
  <pageSetup orientation="landscape" paperSize="3" fitToHeight="0" fitToWidth="1"/>
  <headerFooter>
    <oddHeader>&amp;LNovality Store  ·  Home Renovation System&amp;RContractors</oddHeader>
    <oddFooter>&amp;LConfidential  ·  Digital twin of the home&amp;RPage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D99A3D"/>
    <outlinePr summaryBelow="1" summaryRight="1"/>
    <pageSetUpPr fitToPage="1"/>
  </sheetPr>
  <dimension ref="A1:K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6" customWidth="1" min="5" max="5"/>
    <col width="52" customWidth="1" min="6" max="6"/>
    <col width="12" customWidth="1" min="7" max="7"/>
    <col width="14" customWidth="1" min="8" max="8"/>
    <col width="12" customWidth="1" min="9" max="9"/>
    <col width="12" customWidth="1" min="10" max="10"/>
    <col width="36" customWidth="1" min="11" max="11"/>
  </cols>
  <sheetData>
    <row r="1" ht="28" customHeight="1">
      <c r="A1" s="1" t="inlineStr">
        <is>
          <t>QUOTES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8" customHeight="1">
      <c r="A2" s="3" t="inlineStr">
        <is>
          <t>Request → receive → compare → award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 ht="22" customHeight="1">
      <c r="A4" s="66" t="inlineStr">
        <is>
          <t>Quote ID</t>
        </is>
      </c>
      <c r="B4" s="66" t="inlineStr">
        <is>
          <t>Project ID</t>
        </is>
      </c>
      <c r="C4" s="66" t="inlineStr">
        <is>
          <t>Room ID</t>
        </is>
      </c>
      <c r="D4" s="66" t="inlineStr">
        <is>
          <t>Contractor ID</t>
        </is>
      </c>
      <c r="E4" s="66" t="inlineStr">
        <is>
          <t>Trade</t>
        </is>
      </c>
      <c r="F4" s="66" t="inlineStr">
        <is>
          <t>Scope</t>
        </is>
      </c>
      <c r="G4" s="66" t="inlineStr">
        <is>
          <t>Amount</t>
        </is>
      </c>
      <c r="H4" s="66" t="inlineStr">
        <is>
          <t>Timeline (days)</t>
        </is>
      </c>
      <c r="I4" s="66" t="inlineStr">
        <is>
          <t>Valid Until</t>
        </is>
      </c>
      <c r="J4" s="66" t="inlineStr">
        <is>
          <t>Status</t>
        </is>
      </c>
      <c r="K4" s="66" t="inlineStr">
        <is>
          <t>Notes</t>
        </is>
      </c>
    </row>
    <row r="5" ht="18" customHeight="1">
      <c r="A5" s="67" t="inlineStr">
        <is>
          <t>Q-001</t>
        </is>
      </c>
      <c r="B5" s="67" t="inlineStr">
        <is>
          <t>PRJ-001</t>
        </is>
      </c>
      <c r="C5" s="67" t="inlineStr">
        <is>
          <t>RM-01</t>
        </is>
      </c>
      <c r="D5" s="67" t="inlineStr">
        <is>
          <t>CTR-001</t>
        </is>
      </c>
      <c r="E5" s="68" t="inlineStr">
        <is>
          <t>Cabinetry</t>
        </is>
      </c>
      <c r="F5" s="68" t="inlineStr">
        <is>
          <t>Full kitchen millwork — sage shaker + walnut island</t>
        </is>
      </c>
      <c r="G5" s="83" t="n">
        <v>14800</v>
      </c>
      <c r="H5" s="67" t="n">
        <v>18</v>
      </c>
      <c r="I5" s="70" t="n">
        <v>46172</v>
      </c>
      <c r="J5" s="67" t="inlineStr">
        <is>
          <t>Accepted</t>
        </is>
      </c>
      <c r="K5" s="68" t="inlineStr">
        <is>
          <t>Awarded. Deposit paid.</t>
        </is>
      </c>
    </row>
    <row r="6" ht="18" customHeight="1">
      <c r="A6" s="75" t="inlineStr">
        <is>
          <t>Q-002</t>
        </is>
      </c>
      <c r="B6" s="75" t="inlineStr">
        <is>
          <t>PRJ-001</t>
        </is>
      </c>
      <c r="C6" s="75" t="inlineStr">
        <is>
          <t>RM-01</t>
        </is>
      </c>
      <c r="D6" s="75" t="inlineStr">
        <is>
          <t>CTR-001</t>
        </is>
      </c>
      <c r="E6" s="76" t="inlineStr">
        <is>
          <t>Cabinetry</t>
        </is>
      </c>
      <c r="F6" s="76" t="inlineStr">
        <is>
          <t>Alternate: all walnut</t>
        </is>
      </c>
      <c r="G6" s="87" t="n">
        <v>18600</v>
      </c>
      <c r="H6" s="75" t="n">
        <v>22</v>
      </c>
      <c r="I6" s="78" t="n">
        <v>46172</v>
      </c>
      <c r="J6" s="75" t="inlineStr">
        <is>
          <t>Rejected</t>
        </is>
      </c>
      <c r="K6" s="76" t="inlineStr">
        <is>
          <t>Over palette and budget.</t>
        </is>
      </c>
    </row>
    <row r="7" ht="18" customHeight="1">
      <c r="A7" s="67" t="inlineStr">
        <is>
          <t>Q-003</t>
        </is>
      </c>
      <c r="B7" s="67" t="inlineStr">
        <is>
          <t>PRJ-001</t>
        </is>
      </c>
      <c r="C7" s="67" t="inlineStr">
        <is>
          <t>RM-03</t>
        </is>
      </c>
      <c r="D7" s="67" t="inlineStr">
        <is>
          <t>CTR-004</t>
        </is>
      </c>
      <c r="E7" s="68" t="inlineStr">
        <is>
          <t>Tile &amp; Stone</t>
        </is>
      </c>
      <c r="F7" s="68" t="inlineStr">
        <is>
          <t>Marble floor + shower</t>
        </is>
      </c>
      <c r="G7" s="83" t="n">
        <v>9100</v>
      </c>
      <c r="H7" s="67" t="n">
        <v>14</v>
      </c>
      <c r="I7" s="70" t="n">
        <v>46162</v>
      </c>
      <c r="J7" s="67" t="inlineStr">
        <is>
          <t>Rejected</t>
        </is>
      </c>
      <c r="K7" s="68" t="inlineStr">
        <is>
          <t>AI flagged 18% save with porcelain.</t>
        </is>
      </c>
    </row>
    <row r="8" ht="18" customHeight="1">
      <c r="A8" s="75" t="inlineStr">
        <is>
          <t>Q-004</t>
        </is>
      </c>
      <c r="B8" s="75" t="inlineStr">
        <is>
          <t>PRJ-001</t>
        </is>
      </c>
      <c r="C8" s="75" t="inlineStr">
        <is>
          <t>RM-03</t>
        </is>
      </c>
      <c r="D8" s="75" t="inlineStr">
        <is>
          <t>CTR-004</t>
        </is>
      </c>
      <c r="E8" s="76" t="inlineStr">
        <is>
          <t>Tile &amp; Stone</t>
        </is>
      </c>
      <c r="F8" s="76" t="inlineStr">
        <is>
          <t>Porcelain floor + shower + slab niche</t>
        </is>
      </c>
      <c r="G8" s="87" t="n">
        <v>7460</v>
      </c>
      <c r="H8" s="75" t="n">
        <v>12</v>
      </c>
      <c r="I8" s="78" t="n">
        <v>46162</v>
      </c>
      <c r="J8" s="75" t="inlineStr">
        <is>
          <t>Accepted</t>
        </is>
      </c>
      <c r="K8" s="76" t="inlineStr">
        <is>
          <t>Selected.</t>
        </is>
      </c>
    </row>
    <row r="9" ht="18" customHeight="1">
      <c r="A9" s="67" t="inlineStr">
        <is>
          <t>Q-005</t>
        </is>
      </c>
      <c r="B9" s="67" t="inlineStr">
        <is>
          <t>PRJ-001</t>
        </is>
      </c>
      <c r="C9" s="67" t="inlineStr"/>
      <c r="D9" s="67" t="inlineStr">
        <is>
          <t>CTR-009</t>
        </is>
      </c>
      <c r="E9" s="68" t="inlineStr">
        <is>
          <t>Lighting</t>
        </is>
      </c>
      <c r="F9" s="68" t="inlineStr">
        <is>
          <t>Whole-home spec package</t>
        </is>
      </c>
      <c r="G9" s="83" t="n">
        <v>4120</v>
      </c>
      <c r="H9" s="67" t="n">
        <v>21</v>
      </c>
      <c r="I9" s="70" t="n">
        <v>46188</v>
      </c>
      <c r="J9" s="67" t="inlineStr">
        <is>
          <t>Accepted</t>
        </is>
      </c>
      <c r="K9" s="68" t="inlineStr">
        <is>
          <t>Best communication score.</t>
        </is>
      </c>
    </row>
    <row r="10" ht="18" customHeight="1">
      <c r="A10" s="75" t="inlineStr">
        <is>
          <t>Q-006</t>
        </is>
      </c>
      <c r="B10" s="75" t="inlineStr">
        <is>
          <t>PRJ-001</t>
        </is>
      </c>
      <c r="C10" s="75" t="inlineStr"/>
      <c r="D10" s="75" t="inlineStr">
        <is>
          <t>CTR-009</t>
        </is>
      </c>
      <c r="E10" s="76" t="inlineStr">
        <is>
          <t>Lighting</t>
        </is>
      </c>
      <c r="F10" s="76" t="inlineStr">
        <is>
          <t>Competitor A package</t>
        </is>
      </c>
      <c r="G10" s="87" t="n">
        <v>3680</v>
      </c>
      <c r="H10" s="75" t="n">
        <v>28</v>
      </c>
      <c r="I10" s="78" t="n">
        <v>46188</v>
      </c>
      <c r="J10" s="75" t="inlineStr">
        <is>
          <t>Compared</t>
        </is>
      </c>
      <c r="K10" s="76" t="inlineStr">
        <is>
          <t>Cheaper, slower, weaker spec.</t>
        </is>
      </c>
    </row>
    <row r="11" ht="18" customHeight="1">
      <c r="A11" s="67" t="inlineStr">
        <is>
          <t>Q-007</t>
        </is>
      </c>
      <c r="B11" s="67" t="inlineStr">
        <is>
          <t>PRJ-001</t>
        </is>
      </c>
      <c r="C11" s="67" t="inlineStr"/>
      <c r="D11" s="67" t="inlineStr">
        <is>
          <t>CTR-009</t>
        </is>
      </c>
      <c r="E11" s="68" t="inlineStr">
        <is>
          <t>Lighting</t>
        </is>
      </c>
      <c r="F11" s="68" t="inlineStr">
        <is>
          <t>Competitor B package</t>
        </is>
      </c>
      <c r="G11" s="83" t="n">
        <v>4490</v>
      </c>
      <c r="H11" s="67" t="n">
        <v>18</v>
      </c>
      <c r="I11" s="70" t="n">
        <v>46188</v>
      </c>
      <c r="J11" s="67" t="inlineStr">
        <is>
          <t>Compared</t>
        </is>
      </c>
      <c r="K11" s="68" t="inlineStr">
        <is>
          <t>Premium, not needed.</t>
        </is>
      </c>
    </row>
    <row r="12" ht="18" customHeight="1">
      <c r="A12" s="75" t="inlineStr">
        <is>
          <t>Q-008</t>
        </is>
      </c>
      <c r="B12" s="75" t="inlineStr">
        <is>
          <t>PRJ-001</t>
        </is>
      </c>
      <c r="C12" s="75" t="inlineStr">
        <is>
          <t>RM-02</t>
        </is>
      </c>
      <c r="D12" s="75" t="inlineStr">
        <is>
          <t>CTR-006</t>
        </is>
      </c>
      <c r="E12" s="76" t="inlineStr">
        <is>
          <t>Flooring</t>
        </is>
      </c>
      <c r="F12" s="76" t="inlineStr">
        <is>
          <t>White oak supply + install</t>
        </is>
      </c>
      <c r="G12" s="87" t="n">
        <v>8600</v>
      </c>
      <c r="H12" s="75" t="n">
        <v>16</v>
      </c>
      <c r="I12" s="78" t="n">
        <v>46174</v>
      </c>
      <c r="J12" s="75" t="inlineStr">
        <is>
          <t>Accepted</t>
        </is>
      </c>
      <c r="K12" s="76" t="inlineStr">
        <is>
          <t>Shared across 3 rooms.</t>
        </is>
      </c>
    </row>
    <row r="13" ht="18" customHeight="1">
      <c r="A13" s="67" t="inlineStr">
        <is>
          <t>Q-009</t>
        </is>
      </c>
      <c r="B13" s="67" t="inlineStr">
        <is>
          <t>PRJ-001</t>
        </is>
      </c>
      <c r="C13" s="67" t="inlineStr">
        <is>
          <t>RM-06</t>
        </is>
      </c>
      <c r="D13" s="67" t="inlineStr">
        <is>
          <t>CTR-010</t>
        </is>
      </c>
      <c r="E13" s="68" t="inlineStr">
        <is>
          <t>Landscaping</t>
        </is>
      </c>
      <c r="F13" s="68" t="inlineStr">
        <is>
          <t>Path + planting + lighting</t>
        </is>
      </c>
      <c r="G13" s="83" t="n">
        <v>7400</v>
      </c>
      <c r="H13" s="67" t="n">
        <v>12</v>
      </c>
      <c r="I13" s="70" t="n">
        <v>46280</v>
      </c>
      <c r="J13" s="67" t="inlineStr">
        <is>
          <t>Received</t>
        </is>
      </c>
      <c r="K13" s="68" t="inlineStr">
        <is>
          <t>Hold extras until contingency recovers.</t>
        </is>
      </c>
    </row>
    <row r="14" ht="18" customHeight="1">
      <c r="A14" s="75" t="inlineStr">
        <is>
          <t>Q-010</t>
        </is>
      </c>
      <c r="B14" s="75" t="inlineStr">
        <is>
          <t>PRJ-002</t>
        </is>
      </c>
      <c r="C14" s="75" t="inlineStr">
        <is>
          <t>RM-09</t>
        </is>
      </c>
      <c r="D14" s="75" t="inlineStr">
        <is>
          <t>CTR-004</t>
        </is>
      </c>
      <c r="E14" s="76" t="inlineStr">
        <is>
          <t>Tile &amp; Stone</t>
        </is>
      </c>
      <c r="F14" s="76" t="inlineStr">
        <is>
          <t>Cabin bath tile package</t>
        </is>
      </c>
      <c r="G14" s="87" t="n">
        <v>5400</v>
      </c>
      <c r="H14" s="75" t="n">
        <v>10</v>
      </c>
      <c r="I14" s="78" t="n">
        <v>46325</v>
      </c>
      <c r="J14" s="75" t="inlineStr">
        <is>
          <t>Requested</t>
        </is>
      </c>
      <c r="K14" s="76" t="inlineStr"/>
    </row>
    <row r="15">
      <c r="A15" s="82" t="n"/>
      <c r="B15" s="82" t="n"/>
      <c r="C15" s="82" t="n"/>
      <c r="D15" s="82" t="n"/>
      <c r="E15" s="82" t="n"/>
      <c r="F15" s="82" t="n"/>
      <c r="G15" s="82" t="n"/>
      <c r="H15" s="82" t="n"/>
      <c r="I15" s="82" t="n"/>
      <c r="J15" s="82" t="n"/>
      <c r="K15" s="82" t="n"/>
    </row>
    <row r="16">
      <c r="A16" s="82" t="n"/>
      <c r="B16" s="82" t="n"/>
      <c r="C16" s="82" t="n"/>
      <c r="D16" s="82" t="n"/>
      <c r="E16" s="82" t="n"/>
      <c r="F16" s="82" t="n"/>
      <c r="G16" s="82" t="n"/>
      <c r="H16" s="82" t="n"/>
      <c r="I16" s="82" t="n"/>
      <c r="J16" s="82" t="n"/>
      <c r="K16" s="82" t="n"/>
    </row>
    <row r="17">
      <c r="A17" s="82" t="n"/>
      <c r="B17" s="82" t="n"/>
      <c r="C17" s="82" t="n"/>
      <c r="D17" s="82" t="n"/>
      <c r="E17" s="82" t="n"/>
      <c r="F17" s="82" t="n"/>
      <c r="G17" s="82" t="n"/>
      <c r="H17" s="82" t="n"/>
      <c r="I17" s="82" t="n"/>
      <c r="J17" s="82" t="n"/>
      <c r="K17" s="82" t="n"/>
    </row>
    <row r="18">
      <c r="A18" s="82" t="n"/>
      <c r="B18" s="82" t="n"/>
      <c r="C18" s="82" t="n"/>
      <c r="D18" s="82" t="n"/>
      <c r="E18" s="82" t="n"/>
      <c r="F18" s="82" t="n"/>
      <c r="G18" s="82" t="n"/>
      <c r="H18" s="82" t="n"/>
      <c r="I18" s="82" t="n"/>
      <c r="J18" s="82" t="n"/>
      <c r="K18" s="82" t="n"/>
    </row>
    <row r="19">
      <c r="A19" s="82" t="n"/>
      <c r="B19" s="82" t="n"/>
      <c r="C19" s="82" t="n"/>
      <c r="D19" s="82" t="n"/>
      <c r="E19" s="82" t="n"/>
      <c r="F19" s="82" t="n"/>
      <c r="G19" s="82" t="n"/>
      <c r="H19" s="82" t="n"/>
      <c r="I19" s="82" t="n"/>
      <c r="J19" s="82" t="n"/>
      <c r="K19" s="82" t="n"/>
    </row>
    <row r="20">
      <c r="A20" s="82" t="n"/>
      <c r="B20" s="82" t="n"/>
      <c r="C20" s="82" t="n"/>
      <c r="D20" s="82" t="n"/>
      <c r="E20" s="82" t="n"/>
      <c r="F20" s="82" t="n"/>
      <c r="G20" s="82" t="n"/>
      <c r="H20" s="82" t="n"/>
      <c r="I20" s="82" t="n"/>
      <c r="J20" s="82" t="n"/>
      <c r="K20" s="82" t="n"/>
    </row>
    <row r="21">
      <c r="A21" s="82" t="n"/>
      <c r="B21" s="82" t="n"/>
      <c r="C21" s="82" t="n"/>
      <c r="D21" s="82" t="n"/>
      <c r="E21" s="82" t="n"/>
      <c r="F21" s="82" t="n"/>
      <c r="G21" s="82" t="n"/>
      <c r="H21" s="82" t="n"/>
      <c r="I21" s="82" t="n"/>
      <c r="J21" s="82" t="n"/>
      <c r="K21" s="82" t="n"/>
    </row>
    <row r="22">
      <c r="A22" s="82" t="n"/>
      <c r="B22" s="82" t="n"/>
      <c r="C22" s="82" t="n"/>
      <c r="D22" s="82" t="n"/>
      <c r="E22" s="82" t="n"/>
      <c r="F22" s="82" t="n"/>
      <c r="G22" s="82" t="n"/>
      <c r="H22" s="82" t="n"/>
      <c r="I22" s="82" t="n"/>
      <c r="J22" s="82" t="n"/>
      <c r="K22" s="82" t="n"/>
    </row>
    <row r="23">
      <c r="A23" s="82" t="n"/>
      <c r="B23" s="82" t="n"/>
      <c r="C23" s="82" t="n"/>
      <c r="D23" s="82" t="n"/>
      <c r="E23" s="82" t="n"/>
      <c r="F23" s="82" t="n"/>
      <c r="G23" s="82" t="n"/>
      <c r="H23" s="82" t="n"/>
      <c r="I23" s="82" t="n"/>
      <c r="J23" s="82" t="n"/>
      <c r="K23" s="82" t="n"/>
    </row>
    <row r="24">
      <c r="A24" s="82" t="n"/>
      <c r="B24" s="82" t="n"/>
      <c r="C24" s="82" t="n"/>
      <c r="D24" s="82" t="n"/>
      <c r="E24" s="82" t="n"/>
      <c r="F24" s="82" t="n"/>
      <c r="G24" s="82" t="n"/>
      <c r="H24" s="82" t="n"/>
      <c r="I24" s="82" t="n"/>
      <c r="J24" s="82" t="n"/>
      <c r="K24" s="82" t="n"/>
    </row>
    <row r="25">
      <c r="A25" s="82" t="n"/>
      <c r="B25" s="82" t="n"/>
      <c r="C25" s="82" t="n"/>
      <c r="D25" s="82" t="n"/>
      <c r="E25" s="82" t="n"/>
      <c r="F25" s="82" t="n"/>
      <c r="G25" s="82" t="n"/>
      <c r="H25" s="82" t="n"/>
      <c r="I25" s="82" t="n"/>
      <c r="J25" s="82" t="n"/>
      <c r="K25" s="82" t="n"/>
    </row>
    <row r="26">
      <c r="A26" s="82" t="n"/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</row>
    <row r="27">
      <c r="A27" s="82" t="n"/>
      <c r="B27" s="82" t="n"/>
      <c r="C27" s="82" t="n"/>
      <c r="D27" s="82" t="n"/>
      <c r="E27" s="82" t="n"/>
      <c r="F27" s="82" t="n"/>
      <c r="G27" s="82" t="n"/>
      <c r="H27" s="82" t="n"/>
      <c r="I27" s="82" t="n"/>
      <c r="J27" s="82" t="n"/>
      <c r="K27" s="82" t="n"/>
    </row>
    <row r="28">
      <c r="A28" s="82" t="n"/>
      <c r="B28" s="82" t="n"/>
      <c r="C28" s="82" t="n"/>
      <c r="D28" s="82" t="n"/>
      <c r="E28" s="82" t="n"/>
      <c r="F28" s="82" t="n"/>
      <c r="G28" s="82" t="n"/>
      <c r="H28" s="82" t="n"/>
      <c r="I28" s="82" t="n"/>
      <c r="J28" s="82" t="n"/>
      <c r="K28" s="82" t="n"/>
    </row>
    <row r="29">
      <c r="A29" s="82" t="n"/>
      <c r="B29" s="82" t="n"/>
      <c r="C29" s="82" t="n"/>
      <c r="D29" s="82" t="n"/>
      <c r="E29" s="82" t="n"/>
      <c r="F29" s="82" t="n"/>
      <c r="G29" s="82" t="n"/>
      <c r="H29" s="82" t="n"/>
      <c r="I29" s="82" t="n"/>
      <c r="J29" s="82" t="n"/>
      <c r="K29" s="82" t="n"/>
    </row>
    <row r="30">
      <c r="A30" s="82" t="n"/>
      <c r="B30" s="82" t="n"/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</row>
    <row r="31">
      <c r="A31" s="82" t="n"/>
      <c r="B31" s="82" t="n"/>
      <c r="C31" s="82" t="n"/>
      <c r="D31" s="82" t="n"/>
      <c r="E31" s="82" t="n"/>
      <c r="F31" s="82" t="n"/>
      <c r="G31" s="82" t="n"/>
      <c r="H31" s="82" t="n"/>
      <c r="I31" s="82" t="n"/>
      <c r="J31" s="82" t="n"/>
      <c r="K31" s="82" t="n"/>
    </row>
    <row r="32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</row>
    <row r="33">
      <c r="A33" s="82" t="n"/>
      <c r="B33" s="82" t="n"/>
      <c r="C33" s="82" t="n"/>
      <c r="D33" s="82" t="n"/>
      <c r="E33" s="82" t="n"/>
      <c r="F33" s="82" t="n"/>
      <c r="G33" s="82" t="n"/>
      <c r="H33" s="82" t="n"/>
      <c r="I33" s="82" t="n"/>
      <c r="J33" s="82" t="n"/>
      <c r="K33" s="82" t="n"/>
    </row>
    <row r="34">
      <c r="A34" s="82" t="n"/>
      <c r="B34" s="82" t="n"/>
      <c r="C34" s="82" t="n"/>
      <c r="D34" s="82" t="n"/>
      <c r="E34" s="82" t="n"/>
      <c r="F34" s="82" t="n"/>
      <c r="G34" s="82" t="n"/>
      <c r="H34" s="82" t="n"/>
      <c r="I34" s="82" t="n"/>
      <c r="J34" s="82" t="n"/>
      <c r="K34" s="82" t="n"/>
    </row>
    <row r="35">
      <c r="A35" s="82" t="n"/>
      <c r="B35" s="82" t="n"/>
      <c r="C35" s="82" t="n"/>
      <c r="D35" s="82" t="n"/>
      <c r="E35" s="82" t="n"/>
      <c r="F35" s="82" t="n"/>
      <c r="G35" s="82" t="n"/>
      <c r="H35" s="82" t="n"/>
      <c r="I35" s="82" t="n"/>
      <c r="J35" s="82" t="n"/>
      <c r="K35" s="82" t="n"/>
    </row>
    <row r="36">
      <c r="A36" s="82" t="n"/>
      <c r="B36" s="82" t="n"/>
      <c r="C36" s="82" t="n"/>
      <c r="D36" s="82" t="n"/>
      <c r="E36" s="82" t="n"/>
      <c r="F36" s="82" t="n"/>
      <c r="G36" s="82" t="n"/>
      <c r="H36" s="82" t="n"/>
      <c r="I36" s="82" t="n"/>
      <c r="J36" s="82" t="n"/>
      <c r="K36" s="82" t="n"/>
    </row>
    <row r="37">
      <c r="A37" s="82" t="n"/>
      <c r="B37" s="82" t="n"/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</row>
    <row r="38">
      <c r="A38" s="82" t="n"/>
      <c r="B38" s="82" t="n"/>
      <c r="C38" s="82" t="n"/>
      <c r="D38" s="82" t="n"/>
      <c r="E38" s="82" t="n"/>
      <c r="F38" s="82" t="n"/>
      <c r="G38" s="82" t="n"/>
      <c r="H38" s="82" t="n"/>
      <c r="I38" s="82" t="n"/>
      <c r="J38" s="82" t="n"/>
      <c r="K38" s="82" t="n"/>
    </row>
    <row r="39">
      <c r="A39" s="82" t="n"/>
      <c r="B39" s="82" t="n"/>
      <c r="C39" s="82" t="n"/>
      <c r="D39" s="82" t="n"/>
      <c r="E39" s="82" t="n"/>
      <c r="F39" s="82" t="n"/>
      <c r="G39" s="82" t="n"/>
      <c r="H39" s="82" t="n"/>
      <c r="I39" s="82" t="n"/>
      <c r="J39" s="82" t="n"/>
      <c r="K39" s="82" t="n"/>
    </row>
    <row r="40">
      <c r="A40" s="82" t="n"/>
      <c r="B40" s="82" t="n"/>
      <c r="C40" s="82" t="n"/>
      <c r="D40" s="82" t="n"/>
      <c r="E40" s="82" t="n"/>
      <c r="F40" s="82" t="n"/>
      <c r="G40" s="82" t="n"/>
      <c r="H40" s="82" t="n"/>
      <c r="I40" s="82" t="n"/>
      <c r="J40" s="82" t="n"/>
      <c r="K40" s="82" t="n"/>
    </row>
    <row r="41">
      <c r="A41" s="82" t="n"/>
      <c r="B41" s="82" t="n"/>
      <c r="C41" s="82" t="n"/>
      <c r="D41" s="82" t="n"/>
      <c r="E41" s="82" t="n"/>
      <c r="F41" s="82" t="n"/>
      <c r="G41" s="82" t="n"/>
      <c r="H41" s="82" t="n"/>
      <c r="I41" s="82" t="n"/>
      <c r="J41" s="82" t="n"/>
      <c r="K41" s="82" t="n"/>
    </row>
    <row r="42">
      <c r="A42" s="82" t="n"/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</row>
    <row r="43">
      <c r="A43" s="82" t="n"/>
      <c r="B43" s="82" t="n"/>
      <c r="C43" s="82" t="n"/>
      <c r="D43" s="82" t="n"/>
      <c r="E43" s="82" t="n"/>
      <c r="F43" s="82" t="n"/>
      <c r="G43" s="82" t="n"/>
      <c r="H43" s="82" t="n"/>
      <c r="I43" s="82" t="n"/>
      <c r="J43" s="82" t="n"/>
      <c r="K43" s="82" t="n"/>
    </row>
    <row r="44">
      <c r="A44" s="82" t="n"/>
      <c r="B44" s="82" t="n"/>
      <c r="C44" s="82" t="n"/>
      <c r="D44" s="82" t="n"/>
      <c r="E44" s="82" t="n"/>
      <c r="F44" s="82" t="n"/>
      <c r="G44" s="82" t="n"/>
      <c r="H44" s="82" t="n"/>
      <c r="I44" s="82" t="n"/>
      <c r="J44" s="82" t="n"/>
      <c r="K44" s="82" t="n"/>
    </row>
    <row r="45">
      <c r="A45" s="82" t="n"/>
      <c r="B45" s="82" t="n"/>
      <c r="C45" s="82" t="n"/>
      <c r="D45" s="82" t="n"/>
      <c r="E45" s="82" t="n"/>
      <c r="F45" s="82" t="n"/>
      <c r="G45" s="82" t="n"/>
      <c r="H45" s="82" t="n"/>
      <c r="I45" s="82" t="n"/>
      <c r="J45" s="82" t="n"/>
      <c r="K45" s="82" t="n"/>
    </row>
    <row r="46">
      <c r="A46" s="82" t="n"/>
      <c r="B46" s="82" t="n"/>
      <c r="C46" s="82" t="n"/>
      <c r="D46" s="82" t="n"/>
      <c r="E46" s="82" t="n"/>
      <c r="F46" s="82" t="n"/>
      <c r="G46" s="82" t="n"/>
      <c r="H46" s="82" t="n"/>
      <c r="I46" s="82" t="n"/>
      <c r="J46" s="82" t="n"/>
      <c r="K46" s="82" t="n"/>
    </row>
    <row r="47">
      <c r="A47" s="82" t="n"/>
      <c r="B47" s="82" t="n"/>
      <c r="C47" s="82" t="n"/>
      <c r="D47" s="82" t="n"/>
      <c r="E47" s="82" t="n"/>
      <c r="F47" s="82" t="n"/>
      <c r="G47" s="82" t="n"/>
      <c r="H47" s="82" t="n"/>
      <c r="I47" s="82" t="n"/>
      <c r="J47" s="82" t="n"/>
      <c r="K47" s="82" t="n"/>
    </row>
    <row r="48">
      <c r="A48" s="82" t="n"/>
      <c r="B48" s="82" t="n"/>
      <c r="C48" s="82" t="n"/>
      <c r="D48" s="82" t="n"/>
      <c r="E48" s="82" t="n"/>
      <c r="F48" s="82" t="n"/>
      <c r="G48" s="82" t="n"/>
      <c r="H48" s="82" t="n"/>
      <c r="I48" s="82" t="n"/>
      <c r="J48" s="82" t="n"/>
      <c r="K48" s="82" t="n"/>
    </row>
    <row r="49">
      <c r="A49" s="82" t="n"/>
      <c r="B49" s="82" t="n"/>
      <c r="C49" s="82" t="n"/>
      <c r="D49" s="82" t="n"/>
      <c r="E49" s="82" t="n"/>
      <c r="F49" s="82" t="n"/>
      <c r="G49" s="82" t="n"/>
      <c r="H49" s="82" t="n"/>
      <c r="I49" s="82" t="n"/>
      <c r="J49" s="82" t="n"/>
      <c r="K49" s="82" t="n"/>
    </row>
    <row r="50">
      <c r="A50" s="82" t="n"/>
      <c r="B50" s="82" t="n"/>
      <c r="C50" s="82" t="n"/>
      <c r="D50" s="82" t="n"/>
      <c r="E50" s="82" t="n"/>
      <c r="F50" s="82" t="n"/>
      <c r="G50" s="82" t="n"/>
      <c r="H50" s="82" t="n"/>
      <c r="I50" s="82" t="n"/>
      <c r="J50" s="82" t="n"/>
      <c r="K50" s="82" t="n"/>
    </row>
    <row r="51">
      <c r="A51" s="82" t="n"/>
      <c r="B51" s="82" t="n"/>
      <c r="C51" s="82" t="n"/>
      <c r="D51" s="82" t="n"/>
      <c r="E51" s="82" t="n"/>
      <c r="F51" s="82" t="n"/>
      <c r="G51" s="82" t="n"/>
      <c r="H51" s="82" t="n"/>
      <c r="I51" s="82" t="n"/>
      <c r="J51" s="82" t="n"/>
      <c r="K51" s="82" t="n"/>
    </row>
    <row r="52">
      <c r="A52" s="82" t="n"/>
      <c r="B52" s="82" t="n"/>
      <c r="C52" s="82" t="n"/>
      <c r="D52" s="82" t="n"/>
      <c r="E52" s="82" t="n"/>
      <c r="F52" s="82" t="n"/>
      <c r="G52" s="82" t="n"/>
      <c r="H52" s="82" t="n"/>
      <c r="I52" s="82" t="n"/>
      <c r="J52" s="82" t="n"/>
      <c r="K52" s="82" t="n"/>
    </row>
    <row r="53">
      <c r="A53" s="82" t="n"/>
      <c r="B53" s="82" t="n"/>
      <c r="C53" s="82" t="n"/>
      <c r="D53" s="82" t="n"/>
      <c r="E53" s="82" t="n"/>
      <c r="F53" s="82" t="n"/>
      <c r="G53" s="82" t="n"/>
      <c r="H53" s="82" t="n"/>
      <c r="I53" s="82" t="n"/>
      <c r="J53" s="82" t="n"/>
      <c r="K53" s="82" t="n"/>
    </row>
    <row r="54">
      <c r="A54" s="82" t="n"/>
      <c r="B54" s="82" t="n"/>
      <c r="C54" s="82" t="n"/>
      <c r="D54" s="82" t="n"/>
      <c r="E54" s="82" t="n"/>
      <c r="F54" s="82" t="n"/>
      <c r="G54" s="82" t="n"/>
      <c r="H54" s="82" t="n"/>
      <c r="I54" s="82" t="n"/>
      <c r="J54" s="82" t="n"/>
      <c r="K54" s="82" t="n"/>
    </row>
    <row r="55">
      <c r="A55" s="82" t="n"/>
      <c r="B55" s="82" t="n"/>
      <c r="C55" s="82" t="n"/>
      <c r="D55" s="82" t="n"/>
      <c r="E55" s="82" t="n"/>
      <c r="F55" s="82" t="n"/>
      <c r="G55" s="82" t="n"/>
      <c r="H55" s="82" t="n"/>
      <c r="I55" s="82" t="n"/>
      <c r="J55" s="82" t="n"/>
      <c r="K55" s="82" t="n"/>
    </row>
    <row r="56">
      <c r="A56" s="82" t="n"/>
      <c r="B56" s="82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2" t="n"/>
    </row>
    <row r="57">
      <c r="A57" s="82" t="n"/>
      <c r="B57" s="82" t="n"/>
      <c r="C57" s="82" t="n"/>
      <c r="D57" s="82" t="n"/>
      <c r="E57" s="82" t="n"/>
      <c r="F57" s="82" t="n"/>
      <c r="G57" s="82" t="n"/>
      <c r="H57" s="82" t="n"/>
      <c r="I57" s="82" t="n"/>
      <c r="J57" s="82" t="n"/>
      <c r="K57" s="82" t="n"/>
    </row>
    <row r="58">
      <c r="A58" s="82" t="n"/>
      <c r="B58" s="82" t="n"/>
      <c r="C58" s="82" t="n"/>
      <c r="D58" s="82" t="n"/>
      <c r="E58" s="82" t="n"/>
      <c r="F58" s="82" t="n"/>
      <c r="G58" s="82" t="n"/>
      <c r="H58" s="82" t="n"/>
      <c r="I58" s="82" t="n"/>
      <c r="J58" s="82" t="n"/>
      <c r="K58" s="82" t="n"/>
    </row>
    <row r="59">
      <c r="A59" s="82" t="n"/>
      <c r="B59" s="82" t="n"/>
      <c r="C59" s="82" t="n"/>
      <c r="D59" s="82" t="n"/>
      <c r="E59" s="82" t="n"/>
      <c r="F59" s="82" t="n"/>
      <c r="G59" s="82" t="n"/>
      <c r="H59" s="82" t="n"/>
      <c r="I59" s="82" t="n"/>
      <c r="J59" s="82" t="n"/>
      <c r="K59" s="82" t="n"/>
    </row>
    <row r="60">
      <c r="A60" s="82" t="n"/>
      <c r="B60" s="82" t="n"/>
      <c r="C60" s="82" t="n"/>
      <c r="D60" s="82" t="n"/>
      <c r="E60" s="82" t="n"/>
      <c r="F60" s="82" t="n"/>
      <c r="G60" s="82" t="n"/>
      <c r="H60" s="82" t="n"/>
      <c r="I60" s="82" t="n"/>
      <c r="J60" s="82" t="n"/>
      <c r="K60" s="82" t="n"/>
    </row>
    <row r="61">
      <c r="A61" s="82" t="n"/>
      <c r="B61" s="82" t="n"/>
      <c r="C61" s="82" t="n"/>
      <c r="D61" s="82" t="n"/>
      <c r="E61" s="82" t="n"/>
      <c r="F61" s="82" t="n"/>
      <c r="G61" s="82" t="n"/>
      <c r="H61" s="82" t="n"/>
      <c r="I61" s="82" t="n"/>
      <c r="J61" s="82" t="n"/>
      <c r="K61" s="82" t="n"/>
    </row>
    <row r="62">
      <c r="A62" s="82" t="n"/>
      <c r="B62" s="82" t="n"/>
      <c r="C62" s="82" t="n"/>
      <c r="D62" s="82" t="n"/>
      <c r="E62" s="82" t="n"/>
      <c r="F62" s="82" t="n"/>
      <c r="G62" s="82" t="n"/>
      <c r="H62" s="82" t="n"/>
      <c r="I62" s="82" t="n"/>
      <c r="J62" s="82" t="n"/>
      <c r="K62" s="82" t="n"/>
    </row>
    <row r="63">
      <c r="A63" s="82" t="n"/>
      <c r="B63" s="82" t="n"/>
      <c r="C63" s="82" t="n"/>
      <c r="D63" s="82" t="n"/>
      <c r="E63" s="82" t="n"/>
      <c r="F63" s="82" t="n"/>
      <c r="G63" s="82" t="n"/>
      <c r="H63" s="82" t="n"/>
      <c r="I63" s="82" t="n"/>
      <c r="J63" s="82" t="n"/>
      <c r="K63" s="82" t="n"/>
    </row>
    <row r="64">
      <c r="A64" s="82" t="n"/>
      <c r="B64" s="82" t="n"/>
      <c r="C64" s="82" t="n"/>
      <c r="D64" s="82" t="n"/>
      <c r="E64" s="82" t="n"/>
      <c r="F64" s="82" t="n"/>
      <c r="G64" s="82" t="n"/>
      <c r="H64" s="82" t="n"/>
      <c r="I64" s="82" t="n"/>
      <c r="J64" s="82" t="n"/>
      <c r="K64" s="82" t="n"/>
    </row>
    <row r="65">
      <c r="A65" s="82" t="n"/>
      <c r="B65" s="82" t="n"/>
      <c r="C65" s="82" t="n"/>
      <c r="D65" s="82" t="n"/>
      <c r="E65" s="82" t="n"/>
      <c r="F65" s="82" t="n"/>
      <c r="G65" s="82" t="n"/>
      <c r="H65" s="82" t="n"/>
      <c r="I65" s="82" t="n"/>
      <c r="J65" s="82" t="n"/>
      <c r="K65" s="82" t="n"/>
    </row>
    <row r="66">
      <c r="A66" s="82" t="n"/>
      <c r="B66" s="82" t="n"/>
      <c r="C66" s="82" t="n"/>
      <c r="D66" s="82" t="n"/>
      <c r="E66" s="82" t="n"/>
      <c r="F66" s="82" t="n"/>
      <c r="G66" s="82" t="n"/>
      <c r="H66" s="82" t="n"/>
      <c r="I66" s="82" t="n"/>
      <c r="J66" s="82" t="n"/>
      <c r="K66" s="82" t="n"/>
    </row>
    <row r="67">
      <c r="A67" s="82" t="n"/>
      <c r="B67" s="82" t="n"/>
      <c r="C67" s="82" t="n"/>
      <c r="D67" s="82" t="n"/>
      <c r="E67" s="82" t="n"/>
      <c r="F67" s="82" t="n"/>
      <c r="G67" s="82" t="n"/>
      <c r="H67" s="82" t="n"/>
      <c r="I67" s="82" t="n"/>
      <c r="J67" s="82" t="n"/>
      <c r="K67" s="82" t="n"/>
    </row>
    <row r="68">
      <c r="A68" s="82" t="n"/>
      <c r="B68" s="82" t="n"/>
      <c r="C68" s="82" t="n"/>
      <c r="D68" s="82" t="n"/>
      <c r="E68" s="82" t="n"/>
      <c r="F68" s="82" t="n"/>
      <c r="G68" s="82" t="n"/>
      <c r="H68" s="82" t="n"/>
      <c r="I68" s="82" t="n"/>
      <c r="J68" s="82" t="n"/>
      <c r="K68" s="82" t="n"/>
    </row>
    <row r="69">
      <c r="A69" s="82" t="n"/>
      <c r="B69" s="82" t="n"/>
      <c r="C69" s="82" t="n"/>
      <c r="D69" s="82" t="n"/>
      <c r="E69" s="82" t="n"/>
      <c r="F69" s="82" t="n"/>
      <c r="G69" s="82" t="n"/>
      <c r="H69" s="82" t="n"/>
      <c r="I69" s="82" t="n"/>
      <c r="J69" s="82" t="n"/>
      <c r="K69" s="82" t="n"/>
    </row>
    <row r="70">
      <c r="A70" s="82" t="n"/>
      <c r="B70" s="82" t="n"/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</row>
    <row r="71">
      <c r="A71" s="82" t="n"/>
      <c r="B71" s="82" t="n"/>
      <c r="C71" s="82" t="n"/>
      <c r="D71" s="82" t="n"/>
      <c r="E71" s="82" t="n"/>
      <c r="F71" s="82" t="n"/>
      <c r="G71" s="82" t="n"/>
      <c r="H71" s="82" t="n"/>
      <c r="I71" s="82" t="n"/>
      <c r="J71" s="82" t="n"/>
      <c r="K71" s="82" t="n"/>
    </row>
    <row r="72">
      <c r="A72" s="82" t="n"/>
      <c r="B72" s="82" t="n"/>
      <c r="C72" s="82" t="n"/>
      <c r="D72" s="82" t="n"/>
      <c r="E72" s="82" t="n"/>
      <c r="F72" s="82" t="n"/>
      <c r="G72" s="82" t="n"/>
      <c r="H72" s="82" t="n"/>
      <c r="I72" s="82" t="n"/>
      <c r="J72" s="82" t="n"/>
      <c r="K72" s="82" t="n"/>
    </row>
    <row r="73">
      <c r="A73" s="82" t="n"/>
      <c r="B73" s="82" t="n"/>
      <c r="C73" s="82" t="n"/>
      <c r="D73" s="82" t="n"/>
      <c r="E73" s="82" t="n"/>
      <c r="F73" s="82" t="n"/>
      <c r="G73" s="82" t="n"/>
      <c r="H73" s="82" t="n"/>
      <c r="I73" s="82" t="n"/>
      <c r="J73" s="82" t="n"/>
      <c r="K73" s="82" t="n"/>
    </row>
    <row r="74">
      <c r="A74" s="82" t="n"/>
      <c r="B74" s="82" t="n"/>
      <c r="C74" s="82" t="n"/>
      <c r="D74" s="82" t="n"/>
      <c r="E74" s="82" t="n"/>
      <c r="F74" s="82" t="n"/>
      <c r="G74" s="82" t="n"/>
      <c r="H74" s="82" t="n"/>
      <c r="I74" s="82" t="n"/>
      <c r="J74" s="82" t="n"/>
      <c r="K74" s="82" t="n"/>
    </row>
    <row r="75">
      <c r="A75" s="82" t="n"/>
      <c r="B75" s="82" t="n"/>
      <c r="C75" s="82" t="n"/>
      <c r="D75" s="82" t="n"/>
      <c r="E75" s="82" t="n"/>
      <c r="F75" s="82" t="n"/>
      <c r="G75" s="82" t="n"/>
      <c r="H75" s="82" t="n"/>
      <c r="I75" s="82" t="n"/>
      <c r="J75" s="82" t="n"/>
      <c r="K75" s="82" t="n"/>
    </row>
    <row r="76">
      <c r="A76" s="82" t="n"/>
      <c r="B76" s="82" t="n"/>
      <c r="C76" s="82" t="n"/>
      <c r="D76" s="82" t="n"/>
      <c r="E76" s="82" t="n"/>
      <c r="F76" s="82" t="n"/>
      <c r="G76" s="82" t="n"/>
      <c r="H76" s="82" t="n"/>
      <c r="I76" s="82" t="n"/>
      <c r="J76" s="82" t="n"/>
      <c r="K76" s="82" t="n"/>
    </row>
    <row r="77">
      <c r="A77" s="82" t="n"/>
      <c r="B77" s="82" t="n"/>
      <c r="C77" s="82" t="n"/>
      <c r="D77" s="82" t="n"/>
      <c r="E77" s="82" t="n"/>
      <c r="F77" s="82" t="n"/>
      <c r="G77" s="82" t="n"/>
      <c r="H77" s="82" t="n"/>
      <c r="I77" s="82" t="n"/>
      <c r="J77" s="82" t="n"/>
      <c r="K77" s="82" t="n"/>
    </row>
    <row r="78">
      <c r="A78" s="82" t="n"/>
      <c r="B78" s="82" t="n"/>
      <c r="C78" s="82" t="n"/>
      <c r="D78" s="82" t="n"/>
      <c r="E78" s="82" t="n"/>
      <c r="F78" s="82" t="n"/>
      <c r="G78" s="82" t="n"/>
      <c r="H78" s="82" t="n"/>
      <c r="I78" s="82" t="n"/>
      <c r="J78" s="82" t="n"/>
      <c r="K78" s="82" t="n"/>
    </row>
    <row r="79">
      <c r="A79" s="82" t="n"/>
      <c r="B79" s="82" t="n"/>
      <c r="C79" s="82" t="n"/>
      <c r="D79" s="82" t="n"/>
      <c r="E79" s="82" t="n"/>
      <c r="F79" s="82" t="n"/>
      <c r="G79" s="82" t="n"/>
      <c r="H79" s="82" t="n"/>
      <c r="I79" s="82" t="n"/>
      <c r="J79" s="82" t="n"/>
      <c r="K79" s="82" t="n"/>
    </row>
    <row r="80">
      <c r="A80" s="82" t="n"/>
      <c r="B80" s="82" t="n"/>
      <c r="C80" s="82" t="n"/>
      <c r="D80" s="82" t="n"/>
      <c r="E80" s="82" t="n"/>
      <c r="F80" s="82" t="n"/>
      <c r="G80" s="82" t="n"/>
      <c r="H80" s="82" t="n"/>
      <c r="I80" s="82" t="n"/>
      <c r="J80" s="82" t="n"/>
      <c r="K80" s="82" t="n"/>
    </row>
    <row r="81">
      <c r="A81" s="82" t="n"/>
      <c r="B81" s="82" t="n"/>
      <c r="C81" s="82" t="n"/>
      <c r="D81" s="82" t="n"/>
      <c r="E81" s="82" t="n"/>
      <c r="F81" s="82" t="n"/>
      <c r="G81" s="82" t="n"/>
      <c r="H81" s="82" t="n"/>
      <c r="I81" s="82" t="n"/>
      <c r="J81" s="82" t="n"/>
      <c r="K81" s="82" t="n"/>
    </row>
    <row r="82">
      <c r="A82" s="82" t="n"/>
      <c r="B82" s="82" t="n"/>
      <c r="C82" s="82" t="n"/>
      <c r="D82" s="82" t="n"/>
      <c r="E82" s="82" t="n"/>
      <c r="F82" s="82" t="n"/>
      <c r="G82" s="82" t="n"/>
      <c r="H82" s="82" t="n"/>
      <c r="I82" s="82" t="n"/>
      <c r="J82" s="82" t="n"/>
      <c r="K82" s="82" t="n"/>
    </row>
    <row r="83">
      <c r="A83" s="82" t="n"/>
      <c r="B83" s="82" t="n"/>
      <c r="C83" s="82" t="n"/>
      <c r="D83" s="82" t="n"/>
      <c r="E83" s="82" t="n"/>
      <c r="F83" s="82" t="n"/>
      <c r="G83" s="82" t="n"/>
      <c r="H83" s="82" t="n"/>
      <c r="I83" s="82" t="n"/>
      <c r="J83" s="82" t="n"/>
      <c r="K83" s="82" t="n"/>
    </row>
    <row r="84">
      <c r="A84" s="82" t="n"/>
      <c r="B84" s="82" t="n"/>
      <c r="C84" s="82" t="n"/>
      <c r="D84" s="82" t="n"/>
      <c r="E84" s="82" t="n"/>
      <c r="F84" s="82" t="n"/>
      <c r="G84" s="82" t="n"/>
      <c r="H84" s="82" t="n"/>
      <c r="I84" s="82" t="n"/>
      <c r="J84" s="82" t="n"/>
      <c r="K84" s="82" t="n"/>
    </row>
    <row r="85">
      <c r="A85" s="82" t="n"/>
      <c r="B85" s="82" t="n"/>
      <c r="C85" s="82" t="n"/>
      <c r="D85" s="82" t="n"/>
      <c r="E85" s="82" t="n"/>
      <c r="F85" s="82" t="n"/>
      <c r="G85" s="82" t="n"/>
      <c r="H85" s="82" t="n"/>
      <c r="I85" s="82" t="n"/>
      <c r="J85" s="82" t="n"/>
      <c r="K85" s="82" t="n"/>
    </row>
    <row r="86">
      <c r="A86" s="82" t="n"/>
      <c r="B86" s="82" t="n"/>
      <c r="C86" s="82" t="n"/>
      <c r="D86" s="82" t="n"/>
      <c r="E86" s="82" t="n"/>
      <c r="F86" s="82" t="n"/>
      <c r="G86" s="82" t="n"/>
      <c r="H86" s="82" t="n"/>
      <c r="I86" s="82" t="n"/>
      <c r="J86" s="82" t="n"/>
      <c r="K86" s="82" t="n"/>
    </row>
    <row r="87">
      <c r="A87" s="82" t="n"/>
      <c r="B87" s="82" t="n"/>
      <c r="C87" s="82" t="n"/>
      <c r="D87" s="82" t="n"/>
      <c r="E87" s="82" t="n"/>
      <c r="F87" s="82" t="n"/>
      <c r="G87" s="82" t="n"/>
      <c r="H87" s="82" t="n"/>
      <c r="I87" s="82" t="n"/>
      <c r="J87" s="82" t="n"/>
      <c r="K87" s="82" t="n"/>
    </row>
    <row r="88">
      <c r="A88" s="82" t="n"/>
      <c r="B88" s="82" t="n"/>
      <c r="C88" s="82" t="n"/>
      <c r="D88" s="82" t="n"/>
      <c r="E88" s="82" t="n"/>
      <c r="F88" s="82" t="n"/>
      <c r="G88" s="82" t="n"/>
      <c r="H88" s="82" t="n"/>
      <c r="I88" s="82" t="n"/>
      <c r="J88" s="82" t="n"/>
      <c r="K88" s="82" t="n"/>
    </row>
    <row r="89">
      <c r="A89" s="82" t="n"/>
      <c r="B89" s="82" t="n"/>
      <c r="C89" s="82" t="n"/>
      <c r="D89" s="82" t="n"/>
      <c r="E89" s="82" t="n"/>
      <c r="F89" s="82" t="n"/>
      <c r="G89" s="82" t="n"/>
      <c r="H89" s="82" t="n"/>
      <c r="I89" s="82" t="n"/>
      <c r="J89" s="82" t="n"/>
      <c r="K89" s="82" t="n"/>
    </row>
    <row r="90">
      <c r="A90" s="82" t="n"/>
      <c r="B90" s="82" t="n"/>
      <c r="C90" s="82" t="n"/>
      <c r="D90" s="82" t="n"/>
      <c r="E90" s="82" t="n"/>
      <c r="F90" s="82" t="n"/>
      <c r="G90" s="82" t="n"/>
      <c r="H90" s="82" t="n"/>
      <c r="I90" s="82" t="n"/>
      <c r="J90" s="82" t="n"/>
      <c r="K90" s="82" t="n"/>
    </row>
    <row r="91">
      <c r="A91" s="82" t="n"/>
      <c r="B91" s="82" t="n"/>
      <c r="C91" s="82" t="n"/>
      <c r="D91" s="82" t="n"/>
      <c r="E91" s="82" t="n"/>
      <c r="F91" s="82" t="n"/>
      <c r="G91" s="82" t="n"/>
      <c r="H91" s="82" t="n"/>
      <c r="I91" s="82" t="n"/>
      <c r="J91" s="82" t="n"/>
      <c r="K91" s="82" t="n"/>
    </row>
    <row r="92">
      <c r="A92" s="82" t="n"/>
      <c r="B92" s="82" t="n"/>
      <c r="C92" s="82" t="n"/>
      <c r="D92" s="82" t="n"/>
      <c r="E92" s="82" t="n"/>
      <c r="F92" s="82" t="n"/>
      <c r="G92" s="82" t="n"/>
      <c r="H92" s="82" t="n"/>
      <c r="I92" s="82" t="n"/>
      <c r="J92" s="82" t="n"/>
      <c r="K92" s="82" t="n"/>
    </row>
    <row r="93">
      <c r="A93" s="82" t="n"/>
      <c r="B93" s="82" t="n"/>
      <c r="C93" s="82" t="n"/>
      <c r="D93" s="82" t="n"/>
      <c r="E93" s="82" t="n"/>
      <c r="F93" s="82" t="n"/>
      <c r="G93" s="82" t="n"/>
      <c r="H93" s="82" t="n"/>
      <c r="I93" s="82" t="n"/>
      <c r="J93" s="82" t="n"/>
      <c r="K93" s="82" t="n"/>
    </row>
    <row r="94">
      <c r="A94" s="82" t="n"/>
      <c r="B94" s="82" t="n"/>
      <c r="C94" s="82" t="n"/>
      <c r="D94" s="82" t="n"/>
      <c r="E94" s="82" t="n"/>
      <c r="F94" s="82" t="n"/>
      <c r="G94" s="82" t="n"/>
      <c r="H94" s="82" t="n"/>
      <c r="I94" s="82" t="n"/>
      <c r="J94" s="82" t="n"/>
      <c r="K94" s="82" t="n"/>
    </row>
    <row r="95">
      <c r="A95" s="82" t="n"/>
      <c r="B95" s="82" t="n"/>
      <c r="C95" s="82" t="n"/>
      <c r="D95" s="82" t="n"/>
      <c r="E95" s="82" t="n"/>
      <c r="F95" s="82" t="n"/>
      <c r="G95" s="82" t="n"/>
      <c r="H95" s="82" t="n"/>
      <c r="I95" s="82" t="n"/>
      <c r="J95" s="82" t="n"/>
      <c r="K95" s="82" t="n"/>
    </row>
    <row r="96">
      <c r="A96" s="82" t="n"/>
      <c r="B96" s="82" t="n"/>
      <c r="C96" s="82" t="n"/>
      <c r="D96" s="82" t="n"/>
      <c r="E96" s="82" t="n"/>
      <c r="F96" s="82" t="n"/>
      <c r="G96" s="82" t="n"/>
      <c r="H96" s="82" t="n"/>
      <c r="I96" s="82" t="n"/>
      <c r="J96" s="82" t="n"/>
      <c r="K96" s="82" t="n"/>
    </row>
    <row r="97">
      <c r="A97" s="82" t="n"/>
      <c r="B97" s="82" t="n"/>
      <c r="C97" s="82" t="n"/>
      <c r="D97" s="82" t="n"/>
      <c r="E97" s="82" t="n"/>
      <c r="F97" s="82" t="n"/>
      <c r="G97" s="82" t="n"/>
      <c r="H97" s="82" t="n"/>
      <c r="I97" s="82" t="n"/>
      <c r="J97" s="82" t="n"/>
      <c r="K97" s="82" t="n"/>
    </row>
    <row r="98">
      <c r="A98" s="82" t="n"/>
      <c r="B98" s="82" t="n"/>
      <c r="C98" s="82" t="n"/>
      <c r="D98" s="82" t="n"/>
      <c r="E98" s="82" t="n"/>
      <c r="F98" s="82" t="n"/>
      <c r="G98" s="82" t="n"/>
      <c r="H98" s="82" t="n"/>
      <c r="I98" s="82" t="n"/>
      <c r="J98" s="82" t="n"/>
      <c r="K98" s="82" t="n"/>
    </row>
    <row r="99">
      <c r="A99" s="82" t="n"/>
      <c r="B99" s="82" t="n"/>
      <c r="C99" s="82" t="n"/>
      <c r="D99" s="82" t="n"/>
      <c r="E99" s="82" t="n"/>
      <c r="F99" s="82" t="n"/>
      <c r="G99" s="82" t="n"/>
      <c r="H99" s="82" t="n"/>
      <c r="I99" s="82" t="n"/>
      <c r="J99" s="82" t="n"/>
      <c r="K99" s="82" t="n"/>
    </row>
    <row r="100">
      <c r="A100" s="82" t="n"/>
      <c r="B100" s="82" t="n"/>
      <c r="C100" s="82" t="n"/>
      <c r="D100" s="82" t="n"/>
      <c r="E100" s="82" t="n"/>
      <c r="F100" s="82" t="n"/>
      <c r="G100" s="82" t="n"/>
      <c r="H100" s="82" t="n"/>
      <c r="I100" s="82" t="n"/>
      <c r="J100" s="82" t="n"/>
      <c r="K100" s="82" t="n"/>
    </row>
    <row r="101">
      <c r="A101" s="82" t="n"/>
      <c r="B101" s="82" t="n"/>
      <c r="C101" s="82" t="n"/>
      <c r="D101" s="82" t="n"/>
      <c r="E101" s="82" t="n"/>
      <c r="F101" s="82" t="n"/>
      <c r="G101" s="82" t="n"/>
      <c r="H101" s="82" t="n"/>
      <c r="I101" s="82" t="n"/>
      <c r="J101" s="82" t="n"/>
      <c r="K101" s="82" t="n"/>
    </row>
    <row r="102">
      <c r="A102" s="82" t="n"/>
      <c r="B102" s="82" t="n"/>
      <c r="C102" s="82" t="n"/>
      <c r="D102" s="82" t="n"/>
      <c r="E102" s="82" t="n"/>
      <c r="F102" s="82" t="n"/>
      <c r="G102" s="82" t="n"/>
      <c r="H102" s="82" t="n"/>
      <c r="I102" s="82" t="n"/>
      <c r="J102" s="82" t="n"/>
      <c r="K102" s="82" t="n"/>
    </row>
    <row r="103">
      <c r="A103" s="82" t="n"/>
      <c r="B103" s="82" t="n"/>
      <c r="C103" s="82" t="n"/>
      <c r="D103" s="82" t="n"/>
      <c r="E103" s="82" t="n"/>
      <c r="F103" s="82" t="n"/>
      <c r="G103" s="82" t="n"/>
      <c r="H103" s="82" t="n"/>
      <c r="I103" s="82" t="n"/>
      <c r="J103" s="82" t="n"/>
      <c r="K103" s="82" t="n"/>
    </row>
    <row r="104">
      <c r="A104" s="82" t="n"/>
      <c r="B104" s="82" t="n"/>
      <c r="C104" s="82" t="n"/>
      <c r="D104" s="82" t="n"/>
      <c r="E104" s="82" t="n"/>
      <c r="F104" s="82" t="n"/>
      <c r="G104" s="82" t="n"/>
      <c r="H104" s="82" t="n"/>
      <c r="I104" s="82" t="n"/>
      <c r="J104" s="82" t="n"/>
      <c r="K104" s="82" t="n"/>
    </row>
    <row r="105">
      <c r="A105" s="82" t="n"/>
      <c r="B105" s="82" t="n"/>
      <c r="C105" s="82" t="n"/>
      <c r="D105" s="82" t="n"/>
      <c r="E105" s="82" t="n"/>
      <c r="F105" s="82" t="n"/>
      <c r="G105" s="82" t="n"/>
      <c r="H105" s="82" t="n"/>
      <c r="I105" s="82" t="n"/>
      <c r="J105" s="82" t="n"/>
      <c r="K105" s="82" t="n"/>
    </row>
    <row r="106">
      <c r="A106" s="82" t="n"/>
      <c r="B106" s="82" t="n"/>
      <c r="C106" s="82" t="n"/>
      <c r="D106" s="82" t="n"/>
      <c r="E106" s="82" t="n"/>
      <c r="F106" s="82" t="n"/>
      <c r="G106" s="82" t="n"/>
      <c r="H106" s="82" t="n"/>
      <c r="I106" s="82" t="n"/>
      <c r="J106" s="82" t="n"/>
      <c r="K106" s="82" t="n"/>
    </row>
    <row r="107">
      <c r="A107" s="82" t="n"/>
      <c r="B107" s="82" t="n"/>
      <c r="C107" s="82" t="n"/>
      <c r="D107" s="82" t="n"/>
      <c r="E107" s="82" t="n"/>
      <c r="F107" s="82" t="n"/>
      <c r="G107" s="82" t="n"/>
      <c r="H107" s="82" t="n"/>
      <c r="I107" s="82" t="n"/>
      <c r="J107" s="82" t="n"/>
      <c r="K107" s="82" t="n"/>
    </row>
    <row r="108">
      <c r="A108" s="82" t="n"/>
      <c r="B108" s="82" t="n"/>
      <c r="C108" s="82" t="n"/>
      <c r="D108" s="82" t="n"/>
      <c r="E108" s="82" t="n"/>
      <c r="F108" s="82" t="n"/>
      <c r="G108" s="82" t="n"/>
      <c r="H108" s="82" t="n"/>
      <c r="I108" s="82" t="n"/>
      <c r="J108" s="82" t="n"/>
      <c r="K108" s="82" t="n"/>
    </row>
    <row r="109">
      <c r="A109" s="82" t="n"/>
      <c r="B109" s="82" t="n"/>
      <c r="C109" s="82" t="n"/>
      <c r="D109" s="82" t="n"/>
      <c r="E109" s="82" t="n"/>
      <c r="F109" s="82" t="n"/>
      <c r="G109" s="82" t="n"/>
      <c r="H109" s="82" t="n"/>
      <c r="I109" s="82" t="n"/>
      <c r="J109" s="82" t="n"/>
      <c r="K109" s="82" t="n"/>
    </row>
    <row r="110">
      <c r="A110" s="82" t="n"/>
      <c r="B110" s="82" t="n"/>
      <c r="C110" s="82" t="n"/>
      <c r="D110" s="82" t="n"/>
      <c r="E110" s="82" t="n"/>
      <c r="F110" s="82" t="n"/>
      <c r="G110" s="82" t="n"/>
      <c r="H110" s="82" t="n"/>
      <c r="I110" s="82" t="n"/>
      <c r="J110" s="82" t="n"/>
      <c r="K110" s="82" t="n"/>
    </row>
    <row r="111">
      <c r="A111" s="82" t="n"/>
      <c r="B111" s="82" t="n"/>
      <c r="C111" s="82" t="n"/>
      <c r="D111" s="82" t="n"/>
      <c r="E111" s="82" t="n"/>
      <c r="F111" s="82" t="n"/>
      <c r="G111" s="82" t="n"/>
      <c r="H111" s="82" t="n"/>
      <c r="I111" s="82" t="n"/>
      <c r="J111" s="82" t="n"/>
      <c r="K111" s="82" t="n"/>
    </row>
    <row r="112">
      <c r="A112" s="82" t="n"/>
      <c r="B112" s="82" t="n"/>
      <c r="C112" s="82" t="n"/>
      <c r="D112" s="82" t="n"/>
      <c r="E112" s="82" t="n"/>
      <c r="F112" s="82" t="n"/>
      <c r="G112" s="82" t="n"/>
      <c r="H112" s="82" t="n"/>
      <c r="I112" s="82" t="n"/>
      <c r="J112" s="82" t="n"/>
      <c r="K112" s="82" t="n"/>
    </row>
    <row r="113">
      <c r="A113" s="82" t="n"/>
      <c r="B113" s="82" t="n"/>
      <c r="C113" s="82" t="n"/>
      <c r="D113" s="82" t="n"/>
      <c r="E113" s="82" t="n"/>
      <c r="F113" s="82" t="n"/>
      <c r="G113" s="82" t="n"/>
      <c r="H113" s="82" t="n"/>
      <c r="I113" s="82" t="n"/>
      <c r="J113" s="82" t="n"/>
      <c r="K113" s="82" t="n"/>
    </row>
    <row r="114">
      <c r="A114" s="82" t="n"/>
      <c r="B114" s="82" t="n"/>
      <c r="C114" s="82" t="n"/>
      <c r="D114" s="82" t="n"/>
      <c r="E114" s="82" t="n"/>
      <c r="F114" s="82" t="n"/>
      <c r="G114" s="82" t="n"/>
      <c r="H114" s="82" t="n"/>
      <c r="I114" s="82" t="n"/>
      <c r="J114" s="82" t="n"/>
      <c r="K114" s="82" t="n"/>
    </row>
    <row r="115">
      <c r="A115" s="82" t="n"/>
      <c r="B115" s="82" t="n"/>
      <c r="C115" s="82" t="n"/>
      <c r="D115" s="82" t="n"/>
      <c r="E115" s="82" t="n"/>
      <c r="F115" s="82" t="n"/>
      <c r="G115" s="82" t="n"/>
      <c r="H115" s="82" t="n"/>
      <c r="I115" s="82" t="n"/>
      <c r="J115" s="82" t="n"/>
      <c r="K115" s="82" t="n"/>
    </row>
    <row r="116">
      <c r="A116" s="82" t="n"/>
      <c r="B116" s="82" t="n"/>
      <c r="C116" s="82" t="n"/>
      <c r="D116" s="82" t="n"/>
      <c r="E116" s="82" t="n"/>
      <c r="F116" s="82" t="n"/>
      <c r="G116" s="82" t="n"/>
      <c r="H116" s="82" t="n"/>
      <c r="I116" s="82" t="n"/>
      <c r="J116" s="82" t="n"/>
      <c r="K116" s="82" t="n"/>
    </row>
    <row r="117">
      <c r="A117" s="82" t="n"/>
      <c r="B117" s="82" t="n"/>
      <c r="C117" s="82" t="n"/>
      <c r="D117" s="82" t="n"/>
      <c r="E117" s="82" t="n"/>
      <c r="F117" s="82" t="n"/>
      <c r="G117" s="82" t="n"/>
      <c r="H117" s="82" t="n"/>
      <c r="I117" s="82" t="n"/>
      <c r="J117" s="82" t="n"/>
      <c r="K117" s="82" t="n"/>
    </row>
    <row r="118">
      <c r="A118" s="82" t="n"/>
      <c r="B118" s="82" t="n"/>
      <c r="C118" s="82" t="n"/>
      <c r="D118" s="82" t="n"/>
      <c r="E118" s="82" t="n"/>
      <c r="F118" s="82" t="n"/>
      <c r="G118" s="82" t="n"/>
      <c r="H118" s="82" t="n"/>
      <c r="I118" s="82" t="n"/>
      <c r="J118" s="82" t="n"/>
      <c r="K118" s="82" t="n"/>
    </row>
    <row r="119">
      <c r="A119" s="82" t="n"/>
      <c r="B119" s="82" t="n"/>
      <c r="C119" s="82" t="n"/>
      <c r="D119" s="82" t="n"/>
      <c r="E119" s="82" t="n"/>
      <c r="F119" s="82" t="n"/>
      <c r="G119" s="82" t="n"/>
      <c r="H119" s="82" t="n"/>
      <c r="I119" s="82" t="n"/>
      <c r="J119" s="82" t="n"/>
      <c r="K119" s="82" t="n"/>
    </row>
    <row r="120">
      <c r="A120" s="82" t="n"/>
      <c r="B120" s="82" t="n"/>
      <c r="C120" s="82" t="n"/>
      <c r="D120" s="82" t="n"/>
      <c r="E120" s="82" t="n"/>
      <c r="F120" s="82" t="n"/>
      <c r="G120" s="82" t="n"/>
      <c r="H120" s="82" t="n"/>
      <c r="I120" s="82" t="n"/>
      <c r="J120" s="82" t="n"/>
      <c r="K120" s="82" t="n"/>
    </row>
    <row r="121">
      <c r="A121" s="82" t="n"/>
      <c r="B121" s="82" t="n"/>
      <c r="C121" s="82" t="n"/>
      <c r="D121" s="82" t="n"/>
      <c r="E121" s="82" t="n"/>
      <c r="F121" s="82" t="n"/>
      <c r="G121" s="82" t="n"/>
      <c r="H121" s="82" t="n"/>
      <c r="I121" s="82" t="n"/>
      <c r="J121" s="82" t="n"/>
      <c r="K121" s="82" t="n"/>
    </row>
    <row r="122">
      <c r="A122" s="82" t="n"/>
      <c r="B122" s="82" t="n"/>
      <c r="C122" s="82" t="n"/>
      <c r="D122" s="82" t="n"/>
      <c r="E122" s="82" t="n"/>
      <c r="F122" s="82" t="n"/>
      <c r="G122" s="82" t="n"/>
      <c r="H122" s="82" t="n"/>
      <c r="I122" s="82" t="n"/>
      <c r="J122" s="82" t="n"/>
      <c r="K122" s="82" t="n"/>
    </row>
    <row r="123">
      <c r="A123" s="82" t="n"/>
      <c r="B123" s="82" t="n"/>
      <c r="C123" s="82" t="n"/>
      <c r="D123" s="82" t="n"/>
      <c r="E123" s="82" t="n"/>
      <c r="F123" s="82" t="n"/>
      <c r="G123" s="82" t="n"/>
      <c r="H123" s="82" t="n"/>
      <c r="I123" s="82" t="n"/>
      <c r="J123" s="82" t="n"/>
      <c r="K123" s="82" t="n"/>
    </row>
    <row r="124">
      <c r="A124" s="82" t="n"/>
      <c r="B124" s="82" t="n"/>
      <c r="C124" s="82" t="n"/>
      <c r="D124" s="82" t="n"/>
      <c r="E124" s="82" t="n"/>
      <c r="F124" s="82" t="n"/>
      <c r="G124" s="82" t="n"/>
      <c r="H124" s="82" t="n"/>
      <c r="I124" s="82" t="n"/>
      <c r="J124" s="82" t="n"/>
      <c r="K124" s="82" t="n"/>
    </row>
    <row r="125">
      <c r="A125" s="82" t="n"/>
      <c r="B125" s="82" t="n"/>
      <c r="C125" s="82" t="n"/>
      <c r="D125" s="82" t="n"/>
      <c r="E125" s="82" t="n"/>
      <c r="F125" s="82" t="n"/>
      <c r="G125" s="82" t="n"/>
      <c r="H125" s="82" t="n"/>
      <c r="I125" s="82" t="n"/>
      <c r="J125" s="82" t="n"/>
      <c r="K125" s="82" t="n"/>
    </row>
    <row r="126">
      <c r="A126" s="82" t="n"/>
      <c r="B126" s="82" t="n"/>
      <c r="C126" s="82" t="n"/>
      <c r="D126" s="82" t="n"/>
      <c r="E126" s="82" t="n"/>
      <c r="F126" s="82" t="n"/>
      <c r="G126" s="82" t="n"/>
      <c r="H126" s="82" t="n"/>
      <c r="I126" s="82" t="n"/>
      <c r="J126" s="82" t="n"/>
      <c r="K126" s="82" t="n"/>
    </row>
    <row r="127">
      <c r="A127" s="82" t="n"/>
      <c r="B127" s="82" t="n"/>
      <c r="C127" s="82" t="n"/>
      <c r="D127" s="82" t="n"/>
      <c r="E127" s="82" t="n"/>
      <c r="F127" s="82" t="n"/>
      <c r="G127" s="82" t="n"/>
      <c r="H127" s="82" t="n"/>
      <c r="I127" s="82" t="n"/>
      <c r="J127" s="82" t="n"/>
      <c r="K127" s="82" t="n"/>
    </row>
    <row r="128">
      <c r="A128" s="82" t="n"/>
      <c r="B128" s="82" t="n"/>
      <c r="C128" s="82" t="n"/>
      <c r="D128" s="82" t="n"/>
      <c r="E128" s="82" t="n"/>
      <c r="F128" s="82" t="n"/>
      <c r="G128" s="82" t="n"/>
      <c r="H128" s="82" t="n"/>
      <c r="I128" s="82" t="n"/>
      <c r="J128" s="82" t="n"/>
      <c r="K128" s="82" t="n"/>
    </row>
    <row r="129">
      <c r="A129" s="82" t="n"/>
      <c r="B129" s="82" t="n"/>
      <c r="C129" s="82" t="n"/>
      <c r="D129" s="82" t="n"/>
      <c r="E129" s="82" t="n"/>
      <c r="F129" s="82" t="n"/>
      <c r="G129" s="82" t="n"/>
      <c r="H129" s="82" t="n"/>
      <c r="I129" s="82" t="n"/>
      <c r="J129" s="82" t="n"/>
      <c r="K129" s="82" t="n"/>
    </row>
    <row r="130">
      <c r="A130" s="82" t="n"/>
      <c r="B130" s="82" t="n"/>
      <c r="C130" s="82" t="n"/>
      <c r="D130" s="82" t="n"/>
      <c r="E130" s="82" t="n"/>
      <c r="F130" s="82" t="n"/>
      <c r="G130" s="82" t="n"/>
      <c r="H130" s="82" t="n"/>
      <c r="I130" s="82" t="n"/>
      <c r="J130" s="82" t="n"/>
      <c r="K130" s="82" t="n"/>
    </row>
    <row r="131">
      <c r="A131" s="82" t="n"/>
      <c r="B131" s="82" t="n"/>
      <c r="C131" s="82" t="n"/>
      <c r="D131" s="82" t="n"/>
      <c r="E131" s="82" t="n"/>
      <c r="F131" s="82" t="n"/>
      <c r="G131" s="82" t="n"/>
      <c r="H131" s="82" t="n"/>
      <c r="I131" s="82" t="n"/>
      <c r="J131" s="82" t="n"/>
      <c r="K131" s="82" t="n"/>
    </row>
    <row r="132">
      <c r="A132" s="82" t="n"/>
      <c r="B132" s="82" t="n"/>
      <c r="C132" s="82" t="n"/>
      <c r="D132" s="82" t="n"/>
      <c r="E132" s="82" t="n"/>
      <c r="F132" s="82" t="n"/>
      <c r="G132" s="82" t="n"/>
      <c r="H132" s="82" t="n"/>
      <c r="I132" s="82" t="n"/>
      <c r="J132" s="82" t="n"/>
      <c r="K132" s="82" t="n"/>
    </row>
    <row r="133">
      <c r="A133" s="82" t="n"/>
      <c r="B133" s="82" t="n"/>
      <c r="C133" s="82" t="n"/>
      <c r="D133" s="82" t="n"/>
      <c r="E133" s="82" t="n"/>
      <c r="F133" s="82" t="n"/>
      <c r="G133" s="82" t="n"/>
      <c r="H133" s="82" t="n"/>
      <c r="I133" s="82" t="n"/>
      <c r="J133" s="82" t="n"/>
      <c r="K133" s="82" t="n"/>
    </row>
    <row r="134">
      <c r="A134" s="82" t="n"/>
      <c r="B134" s="82" t="n"/>
      <c r="C134" s="82" t="n"/>
      <c r="D134" s="82" t="n"/>
      <c r="E134" s="82" t="n"/>
      <c r="F134" s="82" t="n"/>
      <c r="G134" s="82" t="n"/>
      <c r="H134" s="82" t="n"/>
      <c r="I134" s="82" t="n"/>
      <c r="J134" s="82" t="n"/>
      <c r="K134" s="82" t="n"/>
    </row>
    <row r="135">
      <c r="A135" s="82" t="n"/>
      <c r="B135" s="82" t="n"/>
      <c r="C135" s="82" t="n"/>
      <c r="D135" s="82" t="n"/>
      <c r="E135" s="82" t="n"/>
      <c r="F135" s="82" t="n"/>
      <c r="G135" s="82" t="n"/>
      <c r="H135" s="82" t="n"/>
      <c r="I135" s="82" t="n"/>
      <c r="J135" s="82" t="n"/>
      <c r="K135" s="82" t="n"/>
    </row>
    <row r="136">
      <c r="A136" s="82" t="n"/>
      <c r="B136" s="82" t="n"/>
      <c r="C136" s="82" t="n"/>
      <c r="D136" s="82" t="n"/>
      <c r="E136" s="82" t="n"/>
      <c r="F136" s="82" t="n"/>
      <c r="G136" s="82" t="n"/>
      <c r="H136" s="82" t="n"/>
      <c r="I136" s="82" t="n"/>
      <c r="J136" s="82" t="n"/>
      <c r="K136" s="82" t="n"/>
    </row>
    <row r="137">
      <c r="A137" s="82" t="n"/>
      <c r="B137" s="82" t="n"/>
      <c r="C137" s="82" t="n"/>
      <c r="D137" s="82" t="n"/>
      <c r="E137" s="82" t="n"/>
      <c r="F137" s="82" t="n"/>
      <c r="G137" s="82" t="n"/>
      <c r="H137" s="82" t="n"/>
      <c r="I137" s="82" t="n"/>
      <c r="J137" s="82" t="n"/>
      <c r="K137" s="82" t="n"/>
    </row>
    <row r="138">
      <c r="A138" s="82" t="n"/>
      <c r="B138" s="82" t="n"/>
      <c r="C138" s="82" t="n"/>
      <c r="D138" s="82" t="n"/>
      <c r="E138" s="82" t="n"/>
      <c r="F138" s="82" t="n"/>
      <c r="G138" s="82" t="n"/>
      <c r="H138" s="82" t="n"/>
      <c r="I138" s="82" t="n"/>
      <c r="J138" s="82" t="n"/>
      <c r="K138" s="82" t="n"/>
    </row>
    <row r="139">
      <c r="A139" s="82" t="n"/>
      <c r="B139" s="82" t="n"/>
      <c r="C139" s="82" t="n"/>
      <c r="D139" s="82" t="n"/>
      <c r="E139" s="82" t="n"/>
      <c r="F139" s="82" t="n"/>
      <c r="G139" s="82" t="n"/>
      <c r="H139" s="82" t="n"/>
      <c r="I139" s="82" t="n"/>
      <c r="J139" s="82" t="n"/>
      <c r="K139" s="82" t="n"/>
    </row>
    <row r="140">
      <c r="A140" s="82" t="n"/>
      <c r="B140" s="82" t="n"/>
      <c r="C140" s="82" t="n"/>
      <c r="D140" s="82" t="n"/>
      <c r="E140" s="82" t="n"/>
      <c r="F140" s="82" t="n"/>
      <c r="G140" s="82" t="n"/>
      <c r="H140" s="82" t="n"/>
      <c r="I140" s="82" t="n"/>
      <c r="J140" s="82" t="n"/>
      <c r="K140" s="82" t="n"/>
    </row>
    <row r="141">
      <c r="A141" s="82" t="n"/>
      <c r="B141" s="82" t="n"/>
      <c r="C141" s="82" t="n"/>
      <c r="D141" s="82" t="n"/>
      <c r="E141" s="82" t="n"/>
      <c r="F141" s="82" t="n"/>
      <c r="G141" s="82" t="n"/>
      <c r="H141" s="82" t="n"/>
      <c r="I141" s="82" t="n"/>
      <c r="J141" s="82" t="n"/>
      <c r="K141" s="82" t="n"/>
    </row>
    <row r="142">
      <c r="A142" s="82" t="n"/>
      <c r="B142" s="82" t="n"/>
      <c r="C142" s="82" t="n"/>
      <c r="D142" s="82" t="n"/>
      <c r="E142" s="82" t="n"/>
      <c r="F142" s="82" t="n"/>
      <c r="G142" s="82" t="n"/>
      <c r="H142" s="82" t="n"/>
      <c r="I142" s="82" t="n"/>
      <c r="J142" s="82" t="n"/>
      <c r="K142" s="82" t="n"/>
    </row>
    <row r="143">
      <c r="A143" s="82" t="n"/>
      <c r="B143" s="82" t="n"/>
      <c r="C143" s="82" t="n"/>
      <c r="D143" s="82" t="n"/>
      <c r="E143" s="82" t="n"/>
      <c r="F143" s="82" t="n"/>
      <c r="G143" s="82" t="n"/>
      <c r="H143" s="82" t="n"/>
      <c r="I143" s="82" t="n"/>
      <c r="J143" s="82" t="n"/>
      <c r="K143" s="82" t="n"/>
    </row>
    <row r="144">
      <c r="A144" s="82" t="n"/>
      <c r="B144" s="82" t="n"/>
      <c r="C144" s="82" t="n"/>
      <c r="D144" s="82" t="n"/>
      <c r="E144" s="82" t="n"/>
      <c r="F144" s="82" t="n"/>
      <c r="G144" s="82" t="n"/>
      <c r="H144" s="82" t="n"/>
      <c r="I144" s="82" t="n"/>
      <c r="J144" s="82" t="n"/>
      <c r="K144" s="82" t="n"/>
    </row>
    <row r="145">
      <c r="A145" s="82" t="n"/>
      <c r="B145" s="82" t="n"/>
      <c r="C145" s="82" t="n"/>
      <c r="D145" s="82" t="n"/>
      <c r="E145" s="82" t="n"/>
      <c r="F145" s="82" t="n"/>
      <c r="G145" s="82" t="n"/>
      <c r="H145" s="82" t="n"/>
      <c r="I145" s="82" t="n"/>
      <c r="J145" s="82" t="n"/>
      <c r="K145" s="82" t="n"/>
    </row>
    <row r="146">
      <c r="A146" s="82" t="n"/>
      <c r="B146" s="82" t="n"/>
      <c r="C146" s="82" t="n"/>
      <c r="D146" s="82" t="n"/>
      <c r="E146" s="82" t="n"/>
      <c r="F146" s="82" t="n"/>
      <c r="G146" s="82" t="n"/>
      <c r="H146" s="82" t="n"/>
      <c r="I146" s="82" t="n"/>
      <c r="J146" s="82" t="n"/>
      <c r="K146" s="82" t="n"/>
    </row>
    <row r="147">
      <c r="A147" s="82" t="n"/>
      <c r="B147" s="82" t="n"/>
      <c r="C147" s="82" t="n"/>
      <c r="D147" s="82" t="n"/>
      <c r="E147" s="82" t="n"/>
      <c r="F147" s="82" t="n"/>
      <c r="G147" s="82" t="n"/>
      <c r="H147" s="82" t="n"/>
      <c r="I147" s="82" t="n"/>
      <c r="J147" s="82" t="n"/>
      <c r="K147" s="82" t="n"/>
    </row>
    <row r="148">
      <c r="A148" s="82" t="n"/>
      <c r="B148" s="82" t="n"/>
      <c r="C148" s="82" t="n"/>
      <c r="D148" s="82" t="n"/>
      <c r="E148" s="82" t="n"/>
      <c r="F148" s="82" t="n"/>
      <c r="G148" s="82" t="n"/>
      <c r="H148" s="82" t="n"/>
      <c r="I148" s="82" t="n"/>
      <c r="J148" s="82" t="n"/>
      <c r="K148" s="82" t="n"/>
    </row>
    <row r="149">
      <c r="A149" s="82" t="n"/>
      <c r="B149" s="82" t="n"/>
      <c r="C149" s="82" t="n"/>
      <c r="D149" s="82" t="n"/>
      <c r="E149" s="82" t="n"/>
      <c r="F149" s="82" t="n"/>
      <c r="G149" s="82" t="n"/>
      <c r="H149" s="82" t="n"/>
      <c r="I149" s="82" t="n"/>
      <c r="J149" s="82" t="n"/>
      <c r="K149" s="82" t="n"/>
    </row>
    <row r="150">
      <c r="A150" s="82" t="n"/>
      <c r="B150" s="82" t="n"/>
      <c r="C150" s="82" t="n"/>
      <c r="D150" s="82" t="n"/>
      <c r="E150" s="82" t="n"/>
      <c r="F150" s="82" t="n"/>
      <c r="G150" s="82" t="n"/>
      <c r="H150" s="82" t="n"/>
      <c r="I150" s="82" t="n"/>
      <c r="J150" s="82" t="n"/>
      <c r="K150" s="82" t="n"/>
    </row>
    <row r="151">
      <c r="A151" s="82" t="n"/>
      <c r="B151" s="82" t="n"/>
      <c r="C151" s="82" t="n"/>
      <c r="D151" s="82" t="n"/>
      <c r="E151" s="82" t="n"/>
      <c r="F151" s="82" t="n"/>
      <c r="G151" s="82" t="n"/>
      <c r="H151" s="82" t="n"/>
      <c r="I151" s="82" t="n"/>
      <c r="J151" s="82" t="n"/>
      <c r="K151" s="82" t="n"/>
    </row>
    <row r="152">
      <c r="A152" s="82" t="n"/>
      <c r="B152" s="82" t="n"/>
      <c r="C152" s="82" t="n"/>
      <c r="D152" s="82" t="n"/>
      <c r="E152" s="82" t="n"/>
      <c r="F152" s="82" t="n"/>
      <c r="G152" s="82" t="n"/>
      <c r="H152" s="82" t="n"/>
      <c r="I152" s="82" t="n"/>
      <c r="J152" s="82" t="n"/>
      <c r="K152" s="82" t="n"/>
    </row>
    <row r="153">
      <c r="A153" s="82" t="n"/>
      <c r="B153" s="82" t="n"/>
      <c r="C153" s="82" t="n"/>
      <c r="D153" s="82" t="n"/>
      <c r="E153" s="82" t="n"/>
      <c r="F153" s="82" t="n"/>
      <c r="G153" s="82" t="n"/>
      <c r="H153" s="82" t="n"/>
      <c r="I153" s="82" t="n"/>
      <c r="J153" s="82" t="n"/>
      <c r="K153" s="82" t="n"/>
    </row>
    <row r="154">
      <c r="A154" s="82" t="n"/>
      <c r="B154" s="82" t="n"/>
      <c r="C154" s="82" t="n"/>
      <c r="D154" s="82" t="n"/>
      <c r="E154" s="82" t="n"/>
      <c r="F154" s="82" t="n"/>
      <c r="G154" s="82" t="n"/>
      <c r="H154" s="82" t="n"/>
      <c r="I154" s="82" t="n"/>
      <c r="J154" s="82" t="n"/>
      <c r="K154" s="82" t="n"/>
    </row>
    <row r="155">
      <c r="A155" s="82" t="n"/>
      <c r="B155" s="82" t="n"/>
      <c r="C155" s="82" t="n"/>
      <c r="D155" s="82" t="n"/>
      <c r="E155" s="82" t="n"/>
      <c r="F155" s="82" t="n"/>
      <c r="G155" s="82" t="n"/>
      <c r="H155" s="82" t="n"/>
      <c r="I155" s="82" t="n"/>
      <c r="J155" s="82" t="n"/>
      <c r="K155" s="82" t="n"/>
    </row>
    <row r="156">
      <c r="A156" s="82" t="n"/>
      <c r="B156" s="82" t="n"/>
      <c r="C156" s="82" t="n"/>
      <c r="D156" s="82" t="n"/>
      <c r="E156" s="82" t="n"/>
      <c r="F156" s="82" t="n"/>
      <c r="G156" s="82" t="n"/>
      <c r="H156" s="82" t="n"/>
      <c r="I156" s="82" t="n"/>
      <c r="J156" s="82" t="n"/>
      <c r="K156" s="82" t="n"/>
    </row>
    <row r="157">
      <c r="A157" s="82" t="n"/>
      <c r="B157" s="82" t="n"/>
      <c r="C157" s="82" t="n"/>
      <c r="D157" s="82" t="n"/>
      <c r="E157" s="82" t="n"/>
      <c r="F157" s="82" t="n"/>
      <c r="G157" s="82" t="n"/>
      <c r="H157" s="82" t="n"/>
      <c r="I157" s="82" t="n"/>
      <c r="J157" s="82" t="n"/>
      <c r="K157" s="82" t="n"/>
    </row>
    <row r="158">
      <c r="A158" s="82" t="n"/>
      <c r="B158" s="82" t="n"/>
      <c r="C158" s="82" t="n"/>
      <c r="D158" s="82" t="n"/>
      <c r="E158" s="82" t="n"/>
      <c r="F158" s="82" t="n"/>
      <c r="G158" s="82" t="n"/>
      <c r="H158" s="82" t="n"/>
      <c r="I158" s="82" t="n"/>
      <c r="J158" s="82" t="n"/>
      <c r="K158" s="82" t="n"/>
    </row>
    <row r="159">
      <c r="A159" s="82" t="n"/>
      <c r="B159" s="82" t="n"/>
      <c r="C159" s="82" t="n"/>
      <c r="D159" s="82" t="n"/>
      <c r="E159" s="82" t="n"/>
      <c r="F159" s="82" t="n"/>
      <c r="G159" s="82" t="n"/>
      <c r="H159" s="82" t="n"/>
      <c r="I159" s="82" t="n"/>
      <c r="J159" s="82" t="n"/>
      <c r="K159" s="82" t="n"/>
    </row>
    <row r="160">
      <c r="A160" s="82" t="n"/>
      <c r="B160" s="82" t="n"/>
      <c r="C160" s="82" t="n"/>
      <c r="D160" s="82" t="n"/>
      <c r="E160" s="82" t="n"/>
      <c r="F160" s="82" t="n"/>
      <c r="G160" s="82" t="n"/>
      <c r="H160" s="82" t="n"/>
      <c r="I160" s="82" t="n"/>
      <c r="J160" s="82" t="n"/>
      <c r="K160" s="82" t="n"/>
    </row>
    <row r="161">
      <c r="A161" s="82" t="n"/>
      <c r="B161" s="82" t="n"/>
      <c r="C161" s="82" t="n"/>
      <c r="D161" s="82" t="n"/>
      <c r="E161" s="82" t="n"/>
      <c r="F161" s="82" t="n"/>
      <c r="G161" s="82" t="n"/>
      <c r="H161" s="82" t="n"/>
      <c r="I161" s="82" t="n"/>
      <c r="J161" s="82" t="n"/>
      <c r="K161" s="82" t="n"/>
    </row>
    <row r="162">
      <c r="A162" s="82" t="n"/>
      <c r="B162" s="82" t="n"/>
      <c r="C162" s="82" t="n"/>
      <c r="D162" s="82" t="n"/>
      <c r="E162" s="82" t="n"/>
      <c r="F162" s="82" t="n"/>
      <c r="G162" s="82" t="n"/>
      <c r="H162" s="82" t="n"/>
      <c r="I162" s="82" t="n"/>
      <c r="J162" s="82" t="n"/>
      <c r="K162" s="82" t="n"/>
    </row>
    <row r="163">
      <c r="A163" s="82" t="n"/>
      <c r="B163" s="82" t="n"/>
      <c r="C163" s="82" t="n"/>
      <c r="D163" s="82" t="n"/>
      <c r="E163" s="82" t="n"/>
      <c r="F163" s="82" t="n"/>
      <c r="G163" s="82" t="n"/>
      <c r="H163" s="82" t="n"/>
      <c r="I163" s="82" t="n"/>
      <c r="J163" s="82" t="n"/>
      <c r="K163" s="82" t="n"/>
    </row>
    <row r="164">
      <c r="A164" s="82" t="n"/>
      <c r="B164" s="82" t="n"/>
      <c r="C164" s="82" t="n"/>
      <c r="D164" s="82" t="n"/>
      <c r="E164" s="82" t="n"/>
      <c r="F164" s="82" t="n"/>
      <c r="G164" s="82" t="n"/>
      <c r="H164" s="82" t="n"/>
      <c r="I164" s="82" t="n"/>
      <c r="J164" s="82" t="n"/>
      <c r="K164" s="82" t="n"/>
    </row>
    <row r="165">
      <c r="A165" s="82" t="n"/>
      <c r="B165" s="82" t="n"/>
      <c r="C165" s="82" t="n"/>
      <c r="D165" s="82" t="n"/>
      <c r="E165" s="82" t="n"/>
      <c r="F165" s="82" t="n"/>
      <c r="G165" s="82" t="n"/>
      <c r="H165" s="82" t="n"/>
      <c r="I165" s="82" t="n"/>
      <c r="J165" s="82" t="n"/>
      <c r="K165" s="82" t="n"/>
    </row>
    <row r="166">
      <c r="A166" s="82" t="n"/>
      <c r="B166" s="82" t="n"/>
      <c r="C166" s="82" t="n"/>
      <c r="D166" s="82" t="n"/>
      <c r="E166" s="82" t="n"/>
      <c r="F166" s="82" t="n"/>
      <c r="G166" s="82" t="n"/>
      <c r="H166" s="82" t="n"/>
      <c r="I166" s="82" t="n"/>
      <c r="J166" s="82" t="n"/>
      <c r="K166" s="82" t="n"/>
    </row>
    <row r="167">
      <c r="A167" s="82" t="n"/>
      <c r="B167" s="82" t="n"/>
      <c r="C167" s="82" t="n"/>
      <c r="D167" s="82" t="n"/>
      <c r="E167" s="82" t="n"/>
      <c r="F167" s="82" t="n"/>
      <c r="G167" s="82" t="n"/>
      <c r="H167" s="82" t="n"/>
      <c r="I167" s="82" t="n"/>
      <c r="J167" s="82" t="n"/>
      <c r="K167" s="82" t="n"/>
    </row>
    <row r="168">
      <c r="A168" s="82" t="n"/>
      <c r="B168" s="82" t="n"/>
      <c r="C168" s="82" t="n"/>
      <c r="D168" s="82" t="n"/>
      <c r="E168" s="82" t="n"/>
      <c r="F168" s="82" t="n"/>
      <c r="G168" s="82" t="n"/>
      <c r="H168" s="82" t="n"/>
      <c r="I168" s="82" t="n"/>
      <c r="J168" s="82" t="n"/>
      <c r="K168" s="82" t="n"/>
    </row>
    <row r="169">
      <c r="A169" s="82" t="n"/>
      <c r="B169" s="82" t="n"/>
      <c r="C169" s="82" t="n"/>
      <c r="D169" s="82" t="n"/>
      <c r="E169" s="82" t="n"/>
      <c r="F169" s="82" t="n"/>
      <c r="G169" s="82" t="n"/>
      <c r="H169" s="82" t="n"/>
      <c r="I169" s="82" t="n"/>
      <c r="J169" s="82" t="n"/>
      <c r="K169" s="82" t="n"/>
    </row>
    <row r="170">
      <c r="A170" s="82" t="n"/>
      <c r="B170" s="82" t="n"/>
      <c r="C170" s="82" t="n"/>
      <c r="D170" s="82" t="n"/>
      <c r="E170" s="82" t="n"/>
      <c r="F170" s="82" t="n"/>
      <c r="G170" s="82" t="n"/>
      <c r="H170" s="82" t="n"/>
      <c r="I170" s="82" t="n"/>
      <c r="J170" s="82" t="n"/>
      <c r="K170" s="82" t="n"/>
    </row>
    <row r="171">
      <c r="A171" s="82" t="n"/>
      <c r="B171" s="82" t="n"/>
      <c r="C171" s="82" t="n"/>
      <c r="D171" s="82" t="n"/>
      <c r="E171" s="82" t="n"/>
      <c r="F171" s="82" t="n"/>
      <c r="G171" s="82" t="n"/>
      <c r="H171" s="82" t="n"/>
      <c r="I171" s="82" t="n"/>
      <c r="J171" s="82" t="n"/>
      <c r="K171" s="82" t="n"/>
    </row>
    <row r="172">
      <c r="A172" s="82" t="n"/>
      <c r="B172" s="82" t="n"/>
      <c r="C172" s="82" t="n"/>
      <c r="D172" s="82" t="n"/>
      <c r="E172" s="82" t="n"/>
      <c r="F172" s="82" t="n"/>
      <c r="G172" s="82" t="n"/>
      <c r="H172" s="82" t="n"/>
      <c r="I172" s="82" t="n"/>
      <c r="J172" s="82" t="n"/>
      <c r="K172" s="82" t="n"/>
    </row>
    <row r="173">
      <c r="A173" s="82" t="n"/>
      <c r="B173" s="82" t="n"/>
      <c r="C173" s="82" t="n"/>
      <c r="D173" s="82" t="n"/>
      <c r="E173" s="82" t="n"/>
      <c r="F173" s="82" t="n"/>
      <c r="G173" s="82" t="n"/>
      <c r="H173" s="82" t="n"/>
      <c r="I173" s="82" t="n"/>
      <c r="J173" s="82" t="n"/>
      <c r="K173" s="82" t="n"/>
    </row>
    <row r="174">
      <c r="A174" s="82" t="n"/>
      <c r="B174" s="82" t="n"/>
      <c r="C174" s="82" t="n"/>
      <c r="D174" s="82" t="n"/>
      <c r="E174" s="82" t="n"/>
      <c r="F174" s="82" t="n"/>
      <c r="G174" s="82" t="n"/>
      <c r="H174" s="82" t="n"/>
      <c r="I174" s="82" t="n"/>
      <c r="J174" s="82" t="n"/>
      <c r="K174" s="82" t="n"/>
    </row>
    <row r="175">
      <c r="A175" s="82" t="n"/>
      <c r="B175" s="82" t="n"/>
      <c r="C175" s="82" t="n"/>
      <c r="D175" s="82" t="n"/>
      <c r="E175" s="82" t="n"/>
      <c r="F175" s="82" t="n"/>
      <c r="G175" s="82" t="n"/>
      <c r="H175" s="82" t="n"/>
      <c r="I175" s="82" t="n"/>
      <c r="J175" s="82" t="n"/>
      <c r="K175" s="82" t="n"/>
    </row>
    <row r="176">
      <c r="A176" s="82" t="n"/>
      <c r="B176" s="82" t="n"/>
      <c r="C176" s="82" t="n"/>
      <c r="D176" s="82" t="n"/>
      <c r="E176" s="82" t="n"/>
      <c r="F176" s="82" t="n"/>
      <c r="G176" s="82" t="n"/>
      <c r="H176" s="82" t="n"/>
      <c r="I176" s="82" t="n"/>
      <c r="J176" s="82" t="n"/>
      <c r="K176" s="82" t="n"/>
    </row>
    <row r="177">
      <c r="A177" s="82" t="n"/>
      <c r="B177" s="82" t="n"/>
      <c r="C177" s="82" t="n"/>
      <c r="D177" s="82" t="n"/>
      <c r="E177" s="82" t="n"/>
      <c r="F177" s="82" t="n"/>
      <c r="G177" s="82" t="n"/>
      <c r="H177" s="82" t="n"/>
      <c r="I177" s="82" t="n"/>
      <c r="J177" s="82" t="n"/>
      <c r="K177" s="82" t="n"/>
    </row>
    <row r="178">
      <c r="A178" s="82" t="n"/>
      <c r="B178" s="82" t="n"/>
      <c r="C178" s="82" t="n"/>
      <c r="D178" s="82" t="n"/>
      <c r="E178" s="82" t="n"/>
      <c r="F178" s="82" t="n"/>
      <c r="G178" s="82" t="n"/>
      <c r="H178" s="82" t="n"/>
      <c r="I178" s="82" t="n"/>
      <c r="J178" s="82" t="n"/>
      <c r="K178" s="82" t="n"/>
    </row>
    <row r="179">
      <c r="A179" s="82" t="n"/>
      <c r="B179" s="82" t="n"/>
      <c r="C179" s="82" t="n"/>
      <c r="D179" s="82" t="n"/>
      <c r="E179" s="82" t="n"/>
      <c r="F179" s="82" t="n"/>
      <c r="G179" s="82" t="n"/>
      <c r="H179" s="82" t="n"/>
      <c r="I179" s="82" t="n"/>
      <c r="J179" s="82" t="n"/>
      <c r="K179" s="82" t="n"/>
    </row>
    <row r="180">
      <c r="A180" s="82" t="n"/>
      <c r="B180" s="82" t="n"/>
      <c r="C180" s="82" t="n"/>
      <c r="D180" s="82" t="n"/>
      <c r="E180" s="82" t="n"/>
      <c r="F180" s="82" t="n"/>
      <c r="G180" s="82" t="n"/>
      <c r="H180" s="82" t="n"/>
      <c r="I180" s="82" t="n"/>
      <c r="J180" s="82" t="n"/>
      <c r="K180" s="82" t="n"/>
    </row>
    <row r="181">
      <c r="A181" s="82" t="n"/>
      <c r="B181" s="82" t="n"/>
      <c r="C181" s="82" t="n"/>
      <c r="D181" s="82" t="n"/>
      <c r="E181" s="82" t="n"/>
      <c r="F181" s="82" t="n"/>
      <c r="G181" s="82" t="n"/>
      <c r="H181" s="82" t="n"/>
      <c r="I181" s="82" t="n"/>
      <c r="J181" s="82" t="n"/>
      <c r="K181" s="82" t="n"/>
    </row>
    <row r="182">
      <c r="A182" s="82" t="n"/>
      <c r="B182" s="82" t="n"/>
      <c r="C182" s="82" t="n"/>
      <c r="D182" s="82" t="n"/>
      <c r="E182" s="82" t="n"/>
      <c r="F182" s="82" t="n"/>
      <c r="G182" s="82" t="n"/>
      <c r="H182" s="82" t="n"/>
      <c r="I182" s="82" t="n"/>
      <c r="J182" s="82" t="n"/>
      <c r="K182" s="82" t="n"/>
    </row>
    <row r="183">
      <c r="A183" s="82" t="n"/>
      <c r="B183" s="82" t="n"/>
      <c r="C183" s="82" t="n"/>
      <c r="D183" s="82" t="n"/>
      <c r="E183" s="82" t="n"/>
      <c r="F183" s="82" t="n"/>
      <c r="G183" s="82" t="n"/>
      <c r="H183" s="82" t="n"/>
      <c r="I183" s="82" t="n"/>
      <c r="J183" s="82" t="n"/>
      <c r="K183" s="82" t="n"/>
    </row>
    <row r="184">
      <c r="A184" s="82" t="n"/>
      <c r="B184" s="82" t="n"/>
      <c r="C184" s="82" t="n"/>
      <c r="D184" s="82" t="n"/>
      <c r="E184" s="82" t="n"/>
      <c r="F184" s="82" t="n"/>
      <c r="G184" s="82" t="n"/>
      <c r="H184" s="82" t="n"/>
      <c r="I184" s="82" t="n"/>
      <c r="J184" s="82" t="n"/>
      <c r="K184" s="82" t="n"/>
    </row>
    <row r="185">
      <c r="A185" s="82" t="n"/>
      <c r="B185" s="82" t="n"/>
      <c r="C185" s="82" t="n"/>
      <c r="D185" s="82" t="n"/>
      <c r="E185" s="82" t="n"/>
      <c r="F185" s="82" t="n"/>
      <c r="G185" s="82" t="n"/>
      <c r="H185" s="82" t="n"/>
      <c r="I185" s="82" t="n"/>
      <c r="J185" s="82" t="n"/>
      <c r="K185" s="82" t="n"/>
    </row>
    <row r="186">
      <c r="A186" s="82" t="n"/>
      <c r="B186" s="82" t="n"/>
      <c r="C186" s="82" t="n"/>
      <c r="D186" s="82" t="n"/>
      <c r="E186" s="82" t="n"/>
      <c r="F186" s="82" t="n"/>
      <c r="G186" s="82" t="n"/>
      <c r="H186" s="82" t="n"/>
      <c r="I186" s="82" t="n"/>
      <c r="J186" s="82" t="n"/>
      <c r="K186" s="82" t="n"/>
    </row>
    <row r="187">
      <c r="A187" s="82" t="n"/>
      <c r="B187" s="82" t="n"/>
      <c r="C187" s="82" t="n"/>
      <c r="D187" s="82" t="n"/>
      <c r="E187" s="82" t="n"/>
      <c r="F187" s="82" t="n"/>
      <c r="G187" s="82" t="n"/>
      <c r="H187" s="82" t="n"/>
      <c r="I187" s="82" t="n"/>
      <c r="J187" s="82" t="n"/>
      <c r="K187" s="82" t="n"/>
    </row>
    <row r="188">
      <c r="A188" s="82" t="n"/>
      <c r="B188" s="82" t="n"/>
      <c r="C188" s="82" t="n"/>
      <c r="D188" s="82" t="n"/>
      <c r="E188" s="82" t="n"/>
      <c r="F188" s="82" t="n"/>
      <c r="G188" s="82" t="n"/>
      <c r="H188" s="82" t="n"/>
      <c r="I188" s="82" t="n"/>
      <c r="J188" s="82" t="n"/>
      <c r="K188" s="82" t="n"/>
    </row>
    <row r="189">
      <c r="A189" s="82" t="n"/>
      <c r="B189" s="82" t="n"/>
      <c r="C189" s="82" t="n"/>
      <c r="D189" s="82" t="n"/>
      <c r="E189" s="82" t="n"/>
      <c r="F189" s="82" t="n"/>
      <c r="G189" s="82" t="n"/>
      <c r="H189" s="82" t="n"/>
      <c r="I189" s="82" t="n"/>
      <c r="J189" s="82" t="n"/>
      <c r="K189" s="82" t="n"/>
    </row>
    <row r="190">
      <c r="A190" s="82" t="n"/>
      <c r="B190" s="82" t="n"/>
      <c r="C190" s="82" t="n"/>
      <c r="D190" s="82" t="n"/>
      <c r="E190" s="82" t="n"/>
      <c r="F190" s="82" t="n"/>
      <c r="G190" s="82" t="n"/>
      <c r="H190" s="82" t="n"/>
      <c r="I190" s="82" t="n"/>
      <c r="J190" s="82" t="n"/>
      <c r="K190" s="82" t="n"/>
    </row>
    <row r="191">
      <c r="A191" s="82" t="n"/>
      <c r="B191" s="82" t="n"/>
      <c r="C191" s="82" t="n"/>
      <c r="D191" s="82" t="n"/>
      <c r="E191" s="82" t="n"/>
      <c r="F191" s="82" t="n"/>
      <c r="G191" s="82" t="n"/>
      <c r="H191" s="82" t="n"/>
      <c r="I191" s="82" t="n"/>
      <c r="J191" s="82" t="n"/>
      <c r="K191" s="82" t="n"/>
    </row>
    <row r="192">
      <c r="A192" s="82" t="n"/>
      <c r="B192" s="82" t="n"/>
      <c r="C192" s="82" t="n"/>
      <c r="D192" s="82" t="n"/>
      <c r="E192" s="82" t="n"/>
      <c r="F192" s="82" t="n"/>
      <c r="G192" s="82" t="n"/>
      <c r="H192" s="82" t="n"/>
      <c r="I192" s="82" t="n"/>
      <c r="J192" s="82" t="n"/>
      <c r="K192" s="82" t="n"/>
    </row>
    <row r="193">
      <c r="A193" s="82" t="n"/>
      <c r="B193" s="82" t="n"/>
      <c r="C193" s="82" t="n"/>
      <c r="D193" s="82" t="n"/>
      <c r="E193" s="82" t="n"/>
      <c r="F193" s="82" t="n"/>
      <c r="G193" s="82" t="n"/>
      <c r="H193" s="82" t="n"/>
      <c r="I193" s="82" t="n"/>
      <c r="J193" s="82" t="n"/>
      <c r="K193" s="82" t="n"/>
    </row>
    <row r="194">
      <c r="A194" s="82" t="n"/>
      <c r="B194" s="82" t="n"/>
      <c r="C194" s="82" t="n"/>
      <c r="D194" s="82" t="n"/>
      <c r="E194" s="82" t="n"/>
      <c r="F194" s="82" t="n"/>
      <c r="G194" s="82" t="n"/>
      <c r="H194" s="82" t="n"/>
      <c r="I194" s="82" t="n"/>
      <c r="J194" s="82" t="n"/>
      <c r="K194" s="82" t="n"/>
    </row>
    <row r="195">
      <c r="A195" s="82" t="n"/>
      <c r="B195" s="82" t="n"/>
      <c r="C195" s="82" t="n"/>
      <c r="D195" s="82" t="n"/>
      <c r="E195" s="82" t="n"/>
      <c r="F195" s="82" t="n"/>
      <c r="G195" s="82" t="n"/>
      <c r="H195" s="82" t="n"/>
      <c r="I195" s="82" t="n"/>
      <c r="J195" s="82" t="n"/>
      <c r="K195" s="82" t="n"/>
    </row>
    <row r="196">
      <c r="A196" s="82" t="n"/>
      <c r="B196" s="82" t="n"/>
      <c r="C196" s="82" t="n"/>
      <c r="D196" s="82" t="n"/>
      <c r="E196" s="82" t="n"/>
      <c r="F196" s="82" t="n"/>
      <c r="G196" s="82" t="n"/>
      <c r="H196" s="82" t="n"/>
      <c r="I196" s="82" t="n"/>
      <c r="J196" s="82" t="n"/>
      <c r="K196" s="82" t="n"/>
    </row>
    <row r="197">
      <c r="A197" s="82" t="n"/>
      <c r="B197" s="82" t="n"/>
      <c r="C197" s="82" t="n"/>
      <c r="D197" s="82" t="n"/>
      <c r="E197" s="82" t="n"/>
      <c r="F197" s="82" t="n"/>
      <c r="G197" s="82" t="n"/>
      <c r="H197" s="82" t="n"/>
      <c r="I197" s="82" t="n"/>
      <c r="J197" s="82" t="n"/>
      <c r="K197" s="82" t="n"/>
    </row>
    <row r="198">
      <c r="A198" s="82" t="n"/>
      <c r="B198" s="82" t="n"/>
      <c r="C198" s="82" t="n"/>
      <c r="D198" s="82" t="n"/>
      <c r="E198" s="82" t="n"/>
      <c r="F198" s="82" t="n"/>
      <c r="G198" s="82" t="n"/>
      <c r="H198" s="82" t="n"/>
      <c r="I198" s="82" t="n"/>
      <c r="J198" s="82" t="n"/>
      <c r="K198" s="82" t="n"/>
    </row>
    <row r="199">
      <c r="A199" s="82" t="n"/>
      <c r="B199" s="82" t="n"/>
      <c r="C199" s="82" t="n"/>
      <c r="D199" s="82" t="n"/>
      <c r="E199" s="82" t="n"/>
      <c r="F199" s="82" t="n"/>
      <c r="G199" s="82" t="n"/>
      <c r="H199" s="82" t="n"/>
      <c r="I199" s="82" t="n"/>
      <c r="J199" s="82" t="n"/>
      <c r="K199" s="82" t="n"/>
    </row>
    <row r="200">
      <c r="A200" s="82" t="n"/>
      <c r="B200" s="82" t="n"/>
      <c r="C200" s="82" t="n"/>
      <c r="D200" s="82" t="n"/>
      <c r="E200" s="82" t="n"/>
      <c r="F200" s="82" t="n"/>
      <c r="G200" s="82" t="n"/>
      <c r="H200" s="82" t="n"/>
      <c r="I200" s="82" t="n"/>
      <c r="J200" s="82" t="n"/>
      <c r="K200" s="82" t="n"/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autoFilter ref="A4:K14"/>
  <mergeCells count="2">
    <mergeCell ref="A2:K2"/>
    <mergeCell ref="A1:K1"/>
  </mergeCells>
  <conditionalFormatting sqref="J5:J80">
    <cfRule type="expression" priority="1" dxfId="8">
      <formula>J5="Requested"</formula>
    </cfRule>
    <cfRule type="expression" priority="2" dxfId="1">
      <formula>J5="Received"</formula>
    </cfRule>
    <cfRule type="expression" priority="3" dxfId="2">
      <formula>J5="Compared"</formula>
    </cfRule>
    <cfRule type="expression" priority="4" dxfId="0">
      <formula>J5="Accepted"</formula>
    </cfRule>
    <cfRule type="expression" priority="5" dxfId="4">
      <formula>J5="Rejected"</formula>
    </cfRule>
    <cfRule type="expression" priority="6" dxfId="8">
      <formula>J5="Expired"</formula>
    </cfRule>
  </conditionalFormatting>
  <dataValidations count="2">
    <dataValidation sqref="J5:J80" showDropDown="0" showInputMessage="0" showErrorMessage="1" allowBlank="1" errorTitle="Invalid value" error="Pick a value from the list." type="list">
      <formula1>=Quote_Status</formula1>
    </dataValidation>
    <dataValidation sqref="E5:E80" showDropDown="0" showInputMessage="0" showErrorMessage="1" allowBlank="1" errorTitle="Invalid value" error="Pick a value from the list." type="list">
      <formula1>=Trade</formula1>
    </dataValidation>
  </dataValidations>
  <pageMargins left="0.4" right="0.4" top="0.6" bottom="0.5" header="0.25" footer="0.25"/>
  <pageSetup orientation="landscape" paperSize="3" fitToHeight="0" fitToWidth="1"/>
  <headerFooter>
    <oddHeader>&amp;LNovality Store  ·  Home Renovation System&amp;RQuotes</oddHeader>
    <oddFooter>&amp;LConfidential  ·  Digital twin of the home&amp;RPage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16352F"/>
    <outlinePr summaryBelow="1" summaryRight="1"/>
    <pageSetUpPr fitToPage="1"/>
  </sheetPr>
  <dimension ref="A1:N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0" customWidth="1" min="5" max="5"/>
    <col width="40" customWidth="1" min="6" max="6"/>
    <col width="12" customWidth="1" min="7" max="7"/>
    <col width="12" customWidth="1" min="8" max="8"/>
    <col width="28" customWidth="1" min="9" max="9"/>
    <col width="16" customWidth="1" min="10" max="10"/>
    <col width="12" customWidth="1" min="11" max="11"/>
    <col width="12" customWidth="1" min="12" max="12"/>
    <col width="12" customWidth="1" min="13" max="13"/>
    <col width="10" customWidth="1" min="14" max="14"/>
  </cols>
  <sheetData>
    <row r="1" ht="28" customHeight="1">
      <c r="A1" s="1" t="inlineStr">
        <is>
          <t>JOBS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8" customHeight="1">
      <c r="A2" s="3" t="inlineStr">
        <is>
          <t>Assigned work, milestones, balances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 ht="22" customHeight="1">
      <c r="A4" s="66" t="inlineStr">
        <is>
          <t>Job ID</t>
        </is>
      </c>
      <c r="B4" s="66" t="inlineStr">
        <is>
          <t>Project ID</t>
        </is>
      </c>
      <c r="C4" s="66" t="inlineStr">
        <is>
          <t>Room ID</t>
        </is>
      </c>
      <c r="D4" s="66" t="inlineStr">
        <is>
          <t>Contractor ID</t>
        </is>
      </c>
      <c r="E4" s="66" t="inlineStr">
        <is>
          <t>Quote ID</t>
        </is>
      </c>
      <c r="F4" s="66" t="inlineStr">
        <is>
          <t>Scope</t>
        </is>
      </c>
      <c r="G4" s="66" t="inlineStr">
        <is>
          <t>Start</t>
        </is>
      </c>
      <c r="H4" s="66" t="inlineStr">
        <is>
          <t>End</t>
        </is>
      </c>
      <c r="I4" s="66" t="inlineStr">
        <is>
          <t>Milestone</t>
        </is>
      </c>
      <c r="J4" s="66" t="inlineStr">
        <is>
          <t>Status</t>
        </is>
      </c>
      <c r="K4" s="66" t="inlineStr">
        <is>
          <t>Amount</t>
        </is>
      </c>
      <c r="L4" s="66" t="inlineStr">
        <is>
          <t>Paid</t>
        </is>
      </c>
      <c r="M4" s="66" t="inlineStr">
        <is>
          <t>Balance</t>
        </is>
      </c>
      <c r="N4" s="66" t="inlineStr">
        <is>
          <t>% Paid</t>
        </is>
      </c>
    </row>
    <row r="5" ht="18" customHeight="1">
      <c r="A5" s="67" t="inlineStr">
        <is>
          <t>JOB-001</t>
        </is>
      </c>
      <c r="B5" s="67" t="inlineStr">
        <is>
          <t>PRJ-001</t>
        </is>
      </c>
      <c r="C5" s="67" t="inlineStr"/>
      <c r="D5" s="67" t="inlineStr">
        <is>
          <t>CTR-008</t>
        </is>
      </c>
      <c r="E5" s="68" t="inlineStr">
        <is>
          <t>Q-000</t>
        </is>
      </c>
      <c r="F5" s="68" t="inlineStr">
        <is>
          <t>GC / project management</t>
        </is>
      </c>
      <c r="G5" s="69" t="n">
        <v>46082</v>
      </c>
      <c r="H5" s="70" t="n">
        <v>46341</v>
      </c>
      <c r="I5" s="67" t="inlineStr">
        <is>
          <t>Monthly supervision</t>
        </is>
      </c>
      <c r="J5" s="67" t="inlineStr">
        <is>
          <t>In Progress</t>
        </is>
      </c>
      <c r="K5" s="83" t="n">
        <v>6200</v>
      </c>
      <c r="L5" s="83" t="n">
        <v>4350</v>
      </c>
      <c r="M5" s="85">
        <f>IF($A5="","",$K5-$L5)</f>
        <v/>
      </c>
      <c r="N5" s="108">
        <f>IF(OR($A5="",$K5=0),"",$L5/$K5)</f>
        <v/>
      </c>
    </row>
    <row r="6" ht="18" customHeight="1">
      <c r="A6" s="75" t="inlineStr">
        <is>
          <t>JOB-002</t>
        </is>
      </c>
      <c r="B6" s="75" t="inlineStr">
        <is>
          <t>PRJ-001</t>
        </is>
      </c>
      <c r="C6" s="75" t="inlineStr">
        <is>
          <t>RM-01</t>
        </is>
      </c>
      <c r="D6" s="75" t="inlineStr">
        <is>
          <t>CTR-001</t>
        </is>
      </c>
      <c r="E6" s="76" t="inlineStr">
        <is>
          <t>Q-001</t>
        </is>
      </c>
      <c r="F6" s="76" t="inlineStr">
        <is>
          <t>Kitchen cabinetry fabricate + install</t>
        </is>
      </c>
      <c r="G6" s="77" t="n">
        <v>46254</v>
      </c>
      <c r="H6" s="78" t="n">
        <v>46280</v>
      </c>
      <c r="I6" s="75" t="inlineStr">
        <is>
          <t>Boxes set; doors next</t>
        </is>
      </c>
      <c r="J6" s="75" t="inlineStr">
        <is>
          <t>In Progress</t>
        </is>
      </c>
      <c r="K6" s="87" t="n">
        <v>18400</v>
      </c>
      <c r="L6" s="87" t="n">
        <v>7400</v>
      </c>
      <c r="M6" s="85">
        <f>IF($A6="","",$K6-$L6)</f>
        <v/>
      </c>
      <c r="N6" s="108">
        <f>IF(OR($A6="",$K6=0),"",$L6/$K6)</f>
        <v/>
      </c>
    </row>
    <row r="7" ht="18" customHeight="1">
      <c r="A7" s="67" t="inlineStr">
        <is>
          <t>JOB-003</t>
        </is>
      </c>
      <c r="B7" s="67" t="inlineStr">
        <is>
          <t>PRJ-001</t>
        </is>
      </c>
      <c r="C7" s="67" t="inlineStr">
        <is>
          <t>RM-03</t>
        </is>
      </c>
      <c r="D7" s="67" t="inlineStr">
        <is>
          <t>CTR-004</t>
        </is>
      </c>
      <c r="E7" s="68" t="inlineStr">
        <is>
          <t>Q-004</t>
        </is>
      </c>
      <c r="F7" s="68" t="inlineStr">
        <is>
          <t>Primary bath tile</t>
        </is>
      </c>
      <c r="G7" s="69" t="n">
        <v>46211</v>
      </c>
      <c r="H7" s="70" t="n">
        <v>46246</v>
      </c>
      <c r="I7" s="67" t="inlineStr">
        <is>
          <t>Complete — punch remaining</t>
        </is>
      </c>
      <c r="J7" s="67" t="inlineStr">
        <is>
          <t>Milestone Review</t>
        </is>
      </c>
      <c r="K7" s="83" t="n">
        <v>7460</v>
      </c>
      <c r="L7" s="83" t="n">
        <v>7460</v>
      </c>
      <c r="M7" s="85">
        <f>IF($A7="","",$K7-$L7)</f>
        <v/>
      </c>
      <c r="N7" s="108">
        <f>IF(OR($A7="",$K7=0),"",$L7/$K7)</f>
        <v/>
      </c>
    </row>
    <row r="8" ht="18" customHeight="1">
      <c r="A8" s="75" t="inlineStr">
        <is>
          <t>JOB-004</t>
        </is>
      </c>
      <c r="B8" s="75" t="inlineStr">
        <is>
          <t>PRJ-001</t>
        </is>
      </c>
      <c r="C8" s="75" t="inlineStr">
        <is>
          <t>RM-01</t>
        </is>
      </c>
      <c r="D8" s="75" t="inlineStr">
        <is>
          <t>CTR-002</t>
        </is>
      </c>
      <c r="E8" s="76" t="inlineStr">
        <is>
          <t>Q-000</t>
        </is>
      </c>
      <c r="F8" s="76" t="inlineStr">
        <is>
          <t>Electrical rough + finish</t>
        </is>
      </c>
      <c r="G8" s="77" t="n">
        <v>46174</v>
      </c>
      <c r="H8" s="78" t="n">
        <v>46285</v>
      </c>
      <c r="I8" s="75" t="inlineStr">
        <is>
          <t>Finish pending cabinets</t>
        </is>
      </c>
      <c r="J8" s="75" t="inlineStr">
        <is>
          <t>In Progress</t>
        </is>
      </c>
      <c r="K8" s="87" t="n">
        <v>2620</v>
      </c>
      <c r="L8" s="87" t="n">
        <v>2620</v>
      </c>
      <c r="M8" s="85">
        <f>IF($A8="","",$K8-$L8)</f>
        <v/>
      </c>
      <c r="N8" s="108">
        <f>IF(OR($A8="",$K8=0),"",$L8/$K8)</f>
        <v/>
      </c>
    </row>
    <row r="9" ht="18" customHeight="1">
      <c r="A9" s="67" t="inlineStr">
        <is>
          <t>JOB-005</t>
        </is>
      </c>
      <c r="B9" s="67" t="inlineStr">
        <is>
          <t>PRJ-001</t>
        </is>
      </c>
      <c r="C9" s="67" t="inlineStr">
        <is>
          <t>RM-03</t>
        </is>
      </c>
      <c r="D9" s="67" t="inlineStr">
        <is>
          <t>CTR-003</t>
        </is>
      </c>
      <c r="E9" s="68" t="inlineStr">
        <is>
          <t>Q-000</t>
        </is>
      </c>
      <c r="F9" s="68" t="inlineStr">
        <is>
          <t>Plumbing rough + trim</t>
        </is>
      </c>
      <c r="G9" s="69" t="n">
        <v>46181</v>
      </c>
      <c r="H9" s="70" t="n">
        <v>46248</v>
      </c>
      <c r="I9" s="67" t="inlineStr">
        <is>
          <t>Trim complete</t>
        </is>
      </c>
      <c r="J9" s="67" t="inlineStr">
        <is>
          <t>Complete</t>
        </is>
      </c>
      <c r="K9" s="83" t="n">
        <v>5140</v>
      </c>
      <c r="L9" s="83" t="n">
        <v>5140</v>
      </c>
      <c r="M9" s="85">
        <f>IF($A9="","",$K9-$L9)</f>
        <v/>
      </c>
      <c r="N9" s="108">
        <f>IF(OR($A9="",$K9=0),"",$L9/$K9)</f>
        <v/>
      </c>
    </row>
    <row r="10" ht="18" customHeight="1">
      <c r="A10" s="75" t="inlineStr">
        <is>
          <t>JOB-006</t>
        </is>
      </c>
      <c r="B10" s="75" t="inlineStr">
        <is>
          <t>PRJ-001</t>
        </is>
      </c>
      <c r="C10" s="75" t="inlineStr">
        <is>
          <t>RM-02</t>
        </is>
      </c>
      <c r="D10" s="75" t="inlineStr">
        <is>
          <t>CTR-006</t>
        </is>
      </c>
      <c r="E10" s="76" t="inlineStr">
        <is>
          <t>Q-008</t>
        </is>
      </c>
      <c r="F10" s="76" t="inlineStr">
        <is>
          <t>Flooring install</t>
        </is>
      </c>
      <c r="G10" s="77" t="n">
        <v>46239</v>
      </c>
      <c r="H10" s="78" t="n">
        <v>46262</v>
      </c>
      <c r="I10" s="75" t="inlineStr">
        <is>
          <t>Sand/finish this week</t>
        </is>
      </c>
      <c r="J10" s="75" t="inlineStr">
        <is>
          <t>In Progress</t>
        </is>
      </c>
      <c r="K10" s="87" t="n">
        <v>8600</v>
      </c>
      <c r="L10" s="87" t="n">
        <v>8200</v>
      </c>
      <c r="M10" s="85">
        <f>IF($A10="","",$K10-$L10)</f>
        <v/>
      </c>
      <c r="N10" s="108">
        <f>IF(OR($A10="",$K10=0),"",$L10/$K10)</f>
        <v/>
      </c>
    </row>
    <row r="11" ht="18" customHeight="1">
      <c r="A11" s="67" t="inlineStr">
        <is>
          <t>JOB-007</t>
        </is>
      </c>
      <c r="B11" s="67" t="inlineStr">
        <is>
          <t>PRJ-001</t>
        </is>
      </c>
      <c r="C11" s="67" t="inlineStr"/>
      <c r="D11" s="67" t="inlineStr">
        <is>
          <t>CTR-007</t>
        </is>
      </c>
      <c r="E11" s="68" t="inlineStr">
        <is>
          <t>Q-000</t>
        </is>
      </c>
      <c r="F11" s="68" t="inlineStr">
        <is>
          <t>Interior design services</t>
        </is>
      </c>
      <c r="G11" s="69" t="n">
        <v>46082</v>
      </c>
      <c r="H11" s="70" t="n">
        <v>46327</v>
      </c>
      <c r="I11" s="67" t="inlineStr">
        <is>
          <t>FF&amp;E procurement</t>
        </is>
      </c>
      <c r="J11" s="67" t="inlineStr">
        <is>
          <t>In Progress</t>
        </is>
      </c>
      <c r="K11" s="83" t="n">
        <v>4800</v>
      </c>
      <c r="L11" s="83" t="n">
        <v>4200</v>
      </c>
      <c r="M11" s="85">
        <f>IF($A11="","",$K11-$L11)</f>
        <v/>
      </c>
      <c r="N11" s="108">
        <f>IF(OR($A11="",$K11=0),"",$L11/$K11)</f>
        <v/>
      </c>
    </row>
    <row r="12" ht="18" customHeight="1">
      <c r="A12" s="75" t="inlineStr">
        <is>
          <t>JOB-008</t>
        </is>
      </c>
      <c r="B12" s="75" t="inlineStr">
        <is>
          <t>PRJ-001</t>
        </is>
      </c>
      <c r="C12" s="75" t="inlineStr">
        <is>
          <t>RM-04</t>
        </is>
      </c>
      <c r="D12" s="75" t="inlineStr">
        <is>
          <t>CTR-005</t>
        </is>
      </c>
      <c r="E12" s="76" t="inlineStr">
        <is>
          <t>Q-000</t>
        </is>
      </c>
      <c r="F12" s="76" t="inlineStr">
        <is>
          <t>Paint guest + dining + entry</t>
        </is>
      </c>
      <c r="G12" s="77" t="n">
        <v>46275</v>
      </c>
      <c r="H12" s="78" t="n">
        <v>46293</v>
      </c>
      <c r="I12" s="75" t="inlineStr">
        <is>
          <t>Scheduled</t>
        </is>
      </c>
      <c r="J12" s="75" t="inlineStr">
        <is>
          <t>Scheduled</t>
        </is>
      </c>
      <c r="K12" s="87" t="n">
        <v>3600</v>
      </c>
      <c r="L12" s="87" t="n">
        <v>0</v>
      </c>
      <c r="M12" s="85">
        <f>IF($A12="","",$K12-$L12)</f>
        <v/>
      </c>
      <c r="N12" s="108">
        <f>IF(OR($A12="",$K12=0),"",$L12/$K12)</f>
        <v/>
      </c>
    </row>
    <row r="13" ht="18" customHeight="1">
      <c r="A13" s="67" t="inlineStr">
        <is>
          <t>JOB-009</t>
        </is>
      </c>
      <c r="B13" s="67" t="inlineStr">
        <is>
          <t>PRJ-001</t>
        </is>
      </c>
      <c r="C13" s="67" t="inlineStr">
        <is>
          <t>RM-06</t>
        </is>
      </c>
      <c r="D13" s="67" t="inlineStr">
        <is>
          <t>CTR-010</t>
        </is>
      </c>
      <c r="E13" s="68" t="inlineStr">
        <is>
          <t>Q-009</t>
        </is>
      </c>
      <c r="F13" s="68" t="inlineStr">
        <is>
          <t>Exterior path + porch</t>
        </is>
      </c>
      <c r="G13" s="69" t="n">
        <v>46301</v>
      </c>
      <c r="H13" s="70" t="n">
        <v>46319</v>
      </c>
      <c r="I13" s="67" t="inlineStr">
        <is>
          <t>Not released</t>
        </is>
      </c>
      <c r="J13" s="67" t="inlineStr">
        <is>
          <t>Assigned</t>
        </is>
      </c>
      <c r="K13" s="83" t="n">
        <v>7400</v>
      </c>
      <c r="L13" s="83" t="n">
        <v>0</v>
      </c>
      <c r="M13" s="85">
        <f>IF($A13="","",$K13-$L13)</f>
        <v/>
      </c>
      <c r="N13" s="108">
        <f>IF(OR($A13="",$K13=0),"",$L13/$K13)</f>
        <v/>
      </c>
    </row>
    <row r="14" ht="18" customHeight="1">
      <c r="A14" s="75" t="inlineStr">
        <is>
          <t>JOB-010</t>
        </is>
      </c>
      <c r="B14" s="75" t="inlineStr">
        <is>
          <t>PRJ-001</t>
        </is>
      </c>
      <c r="C14" s="75" t="inlineStr"/>
      <c r="D14" s="75" t="inlineStr">
        <is>
          <t>CTR-009</t>
        </is>
      </c>
      <c r="E14" s="76" t="inlineStr">
        <is>
          <t>Q-005</t>
        </is>
      </c>
      <c r="F14" s="76" t="inlineStr">
        <is>
          <t>Lighting supply</t>
        </is>
      </c>
      <c r="G14" s="77" t="n">
        <v>46204</v>
      </c>
      <c r="H14" s="78" t="n">
        <v>46285</v>
      </c>
      <c r="I14" s="75" t="inlineStr">
        <is>
          <t>Pendants in transit</t>
        </is>
      </c>
      <c r="J14" s="75" t="inlineStr">
        <is>
          <t>In Progress</t>
        </is>
      </c>
      <c r="K14" s="87" t="n">
        <v>4120</v>
      </c>
      <c r="L14" s="87" t="n">
        <v>380</v>
      </c>
      <c r="M14" s="85">
        <f>IF($A14="","",$K14-$L14)</f>
        <v/>
      </c>
      <c r="N14" s="108">
        <f>IF(OR($A14="",$K14=0),"",$L14/$K14)</f>
        <v/>
      </c>
    </row>
    <row r="15">
      <c r="A15" s="82" t="n"/>
      <c r="B15" s="82" t="n"/>
      <c r="C15" s="82" t="n"/>
      <c r="D15" s="82" t="n"/>
      <c r="E15" s="82" t="n"/>
      <c r="F15" s="82" t="n"/>
      <c r="G15" s="82" t="n"/>
      <c r="H15" s="82" t="n"/>
      <c r="I15" s="82" t="n"/>
      <c r="J15" s="82" t="n"/>
      <c r="K15" s="82" t="n"/>
      <c r="L15" s="82" t="n"/>
    </row>
    <row r="16">
      <c r="A16" s="82" t="n"/>
      <c r="B16" s="82" t="n"/>
      <c r="C16" s="82" t="n"/>
      <c r="D16" s="82" t="n"/>
      <c r="E16" s="82" t="n"/>
      <c r="F16" s="82" t="n"/>
      <c r="G16" s="82" t="n"/>
      <c r="H16" s="82" t="n"/>
      <c r="I16" s="82" t="n"/>
      <c r="J16" s="82" t="n"/>
      <c r="K16" s="82" t="n"/>
      <c r="L16" s="82" t="n"/>
    </row>
    <row r="17">
      <c r="A17" s="82" t="n"/>
      <c r="B17" s="82" t="n"/>
      <c r="C17" s="82" t="n"/>
      <c r="D17" s="82" t="n"/>
      <c r="E17" s="82" t="n"/>
      <c r="F17" s="82" t="n"/>
      <c r="G17" s="82" t="n"/>
      <c r="H17" s="82" t="n"/>
      <c r="I17" s="82" t="n"/>
      <c r="J17" s="82" t="n"/>
      <c r="K17" s="82" t="n"/>
      <c r="L17" s="82" t="n"/>
    </row>
    <row r="18">
      <c r="A18" s="82" t="n"/>
      <c r="B18" s="82" t="n"/>
      <c r="C18" s="82" t="n"/>
      <c r="D18" s="82" t="n"/>
      <c r="E18" s="82" t="n"/>
      <c r="F18" s="82" t="n"/>
      <c r="G18" s="82" t="n"/>
      <c r="H18" s="82" t="n"/>
      <c r="I18" s="82" t="n"/>
      <c r="J18" s="82" t="n"/>
      <c r="K18" s="82" t="n"/>
      <c r="L18" s="82" t="n"/>
    </row>
    <row r="19">
      <c r="A19" s="82" t="n"/>
      <c r="B19" s="82" t="n"/>
      <c r="C19" s="82" t="n"/>
      <c r="D19" s="82" t="n"/>
      <c r="E19" s="82" t="n"/>
      <c r="F19" s="82" t="n"/>
      <c r="G19" s="82" t="n"/>
      <c r="H19" s="82" t="n"/>
      <c r="I19" s="82" t="n"/>
      <c r="J19" s="82" t="n"/>
      <c r="K19" s="82" t="n"/>
      <c r="L19" s="82" t="n"/>
    </row>
    <row r="20">
      <c r="A20" s="82" t="n"/>
      <c r="B20" s="82" t="n"/>
      <c r="C20" s="82" t="n"/>
      <c r="D20" s="82" t="n"/>
      <c r="E20" s="82" t="n"/>
      <c r="F20" s="82" t="n"/>
      <c r="G20" s="82" t="n"/>
      <c r="H20" s="82" t="n"/>
      <c r="I20" s="82" t="n"/>
      <c r="J20" s="82" t="n"/>
      <c r="K20" s="82" t="n"/>
      <c r="L20" s="82" t="n"/>
    </row>
    <row r="21">
      <c r="A21" s="82" t="n"/>
      <c r="B21" s="82" t="n"/>
      <c r="C21" s="82" t="n"/>
      <c r="D21" s="82" t="n"/>
      <c r="E21" s="82" t="n"/>
      <c r="F21" s="82" t="n"/>
      <c r="G21" s="82" t="n"/>
      <c r="H21" s="82" t="n"/>
      <c r="I21" s="82" t="n"/>
      <c r="J21" s="82" t="n"/>
      <c r="K21" s="82" t="n"/>
      <c r="L21" s="82" t="n"/>
    </row>
    <row r="22">
      <c r="A22" s="82" t="n"/>
      <c r="B22" s="82" t="n"/>
      <c r="C22" s="82" t="n"/>
      <c r="D22" s="82" t="n"/>
      <c r="E22" s="82" t="n"/>
      <c r="F22" s="82" t="n"/>
      <c r="G22" s="82" t="n"/>
      <c r="H22" s="82" t="n"/>
      <c r="I22" s="82" t="n"/>
      <c r="J22" s="82" t="n"/>
      <c r="K22" s="82" t="n"/>
      <c r="L22" s="82" t="n"/>
    </row>
    <row r="23">
      <c r="A23" s="82" t="n"/>
      <c r="B23" s="82" t="n"/>
      <c r="C23" s="82" t="n"/>
      <c r="D23" s="82" t="n"/>
      <c r="E23" s="82" t="n"/>
      <c r="F23" s="82" t="n"/>
      <c r="G23" s="82" t="n"/>
      <c r="H23" s="82" t="n"/>
      <c r="I23" s="82" t="n"/>
      <c r="J23" s="82" t="n"/>
      <c r="K23" s="82" t="n"/>
      <c r="L23" s="82" t="n"/>
    </row>
    <row r="24">
      <c r="A24" s="82" t="n"/>
      <c r="B24" s="82" t="n"/>
      <c r="C24" s="82" t="n"/>
      <c r="D24" s="82" t="n"/>
      <c r="E24" s="82" t="n"/>
      <c r="F24" s="82" t="n"/>
      <c r="G24" s="82" t="n"/>
      <c r="H24" s="82" t="n"/>
      <c r="I24" s="82" t="n"/>
      <c r="J24" s="82" t="n"/>
      <c r="K24" s="82" t="n"/>
      <c r="L24" s="82" t="n"/>
    </row>
    <row r="25">
      <c r="A25" s="82" t="n"/>
      <c r="B25" s="82" t="n"/>
      <c r="C25" s="82" t="n"/>
      <c r="D25" s="82" t="n"/>
      <c r="E25" s="82" t="n"/>
      <c r="F25" s="82" t="n"/>
      <c r="G25" s="82" t="n"/>
      <c r="H25" s="82" t="n"/>
      <c r="I25" s="82" t="n"/>
      <c r="J25" s="82" t="n"/>
      <c r="K25" s="82" t="n"/>
      <c r="L25" s="82" t="n"/>
    </row>
    <row r="26">
      <c r="A26" s="82" t="n"/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  <c r="L26" s="82" t="n"/>
    </row>
    <row r="27">
      <c r="A27" s="82" t="n"/>
      <c r="B27" s="82" t="n"/>
      <c r="C27" s="82" t="n"/>
      <c r="D27" s="82" t="n"/>
      <c r="E27" s="82" t="n"/>
      <c r="F27" s="82" t="n"/>
      <c r="G27" s="82" t="n"/>
      <c r="H27" s="82" t="n"/>
      <c r="I27" s="82" t="n"/>
      <c r="J27" s="82" t="n"/>
      <c r="K27" s="82" t="n"/>
      <c r="L27" s="82" t="n"/>
    </row>
    <row r="28">
      <c r="A28" s="82" t="n"/>
      <c r="B28" s="82" t="n"/>
      <c r="C28" s="82" t="n"/>
      <c r="D28" s="82" t="n"/>
      <c r="E28" s="82" t="n"/>
      <c r="F28" s="82" t="n"/>
      <c r="G28" s="82" t="n"/>
      <c r="H28" s="82" t="n"/>
      <c r="I28" s="82" t="n"/>
      <c r="J28" s="82" t="n"/>
      <c r="K28" s="82" t="n"/>
      <c r="L28" s="82" t="n"/>
    </row>
    <row r="29">
      <c r="A29" s="82" t="n"/>
      <c r="B29" s="82" t="n"/>
      <c r="C29" s="82" t="n"/>
      <c r="D29" s="82" t="n"/>
      <c r="E29" s="82" t="n"/>
      <c r="F29" s="82" t="n"/>
      <c r="G29" s="82" t="n"/>
      <c r="H29" s="82" t="n"/>
      <c r="I29" s="82" t="n"/>
      <c r="J29" s="82" t="n"/>
      <c r="K29" s="82" t="n"/>
      <c r="L29" s="82" t="n"/>
    </row>
    <row r="30">
      <c r="A30" s="82" t="n"/>
      <c r="B30" s="82" t="n"/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</row>
    <row r="31">
      <c r="A31" s="82" t="n"/>
      <c r="B31" s="82" t="n"/>
      <c r="C31" s="82" t="n"/>
      <c r="D31" s="82" t="n"/>
      <c r="E31" s="82" t="n"/>
      <c r="F31" s="82" t="n"/>
      <c r="G31" s="82" t="n"/>
      <c r="H31" s="82" t="n"/>
      <c r="I31" s="82" t="n"/>
      <c r="J31" s="82" t="n"/>
      <c r="K31" s="82" t="n"/>
      <c r="L31" s="82" t="n"/>
    </row>
    <row r="32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  <c r="L32" s="82" t="n"/>
    </row>
    <row r="33">
      <c r="A33" s="82" t="n"/>
      <c r="B33" s="82" t="n"/>
      <c r="C33" s="82" t="n"/>
      <c r="D33" s="82" t="n"/>
      <c r="E33" s="82" t="n"/>
      <c r="F33" s="82" t="n"/>
      <c r="G33" s="82" t="n"/>
      <c r="H33" s="82" t="n"/>
      <c r="I33" s="82" t="n"/>
      <c r="J33" s="82" t="n"/>
      <c r="K33" s="82" t="n"/>
      <c r="L33" s="82" t="n"/>
    </row>
    <row r="34">
      <c r="A34" s="82" t="n"/>
      <c r="B34" s="82" t="n"/>
      <c r="C34" s="82" t="n"/>
      <c r="D34" s="82" t="n"/>
      <c r="E34" s="82" t="n"/>
      <c r="F34" s="82" t="n"/>
      <c r="G34" s="82" t="n"/>
      <c r="H34" s="82" t="n"/>
      <c r="I34" s="82" t="n"/>
      <c r="J34" s="82" t="n"/>
      <c r="K34" s="82" t="n"/>
      <c r="L34" s="82" t="n"/>
    </row>
    <row r="35">
      <c r="A35" s="82" t="n"/>
      <c r="B35" s="82" t="n"/>
      <c r="C35" s="82" t="n"/>
      <c r="D35" s="82" t="n"/>
      <c r="E35" s="82" t="n"/>
      <c r="F35" s="82" t="n"/>
      <c r="G35" s="82" t="n"/>
      <c r="H35" s="82" t="n"/>
      <c r="I35" s="82" t="n"/>
      <c r="J35" s="82" t="n"/>
      <c r="K35" s="82" t="n"/>
      <c r="L35" s="82" t="n"/>
    </row>
    <row r="36">
      <c r="A36" s="82" t="n"/>
      <c r="B36" s="82" t="n"/>
      <c r="C36" s="82" t="n"/>
      <c r="D36" s="82" t="n"/>
      <c r="E36" s="82" t="n"/>
      <c r="F36" s="82" t="n"/>
      <c r="G36" s="82" t="n"/>
      <c r="H36" s="82" t="n"/>
      <c r="I36" s="82" t="n"/>
      <c r="J36" s="82" t="n"/>
      <c r="K36" s="82" t="n"/>
      <c r="L36" s="82" t="n"/>
    </row>
    <row r="37">
      <c r="A37" s="82" t="n"/>
      <c r="B37" s="82" t="n"/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  <c r="L37" s="82" t="n"/>
    </row>
    <row r="38">
      <c r="A38" s="82" t="n"/>
      <c r="B38" s="82" t="n"/>
      <c r="C38" s="82" t="n"/>
      <c r="D38" s="82" t="n"/>
      <c r="E38" s="82" t="n"/>
      <c r="F38" s="82" t="n"/>
      <c r="G38" s="82" t="n"/>
      <c r="H38" s="82" t="n"/>
      <c r="I38" s="82" t="n"/>
      <c r="J38" s="82" t="n"/>
      <c r="K38" s="82" t="n"/>
      <c r="L38" s="82" t="n"/>
    </row>
    <row r="39">
      <c r="A39" s="82" t="n"/>
      <c r="B39" s="82" t="n"/>
      <c r="C39" s="82" t="n"/>
      <c r="D39" s="82" t="n"/>
      <c r="E39" s="82" t="n"/>
      <c r="F39" s="82" t="n"/>
      <c r="G39" s="82" t="n"/>
      <c r="H39" s="82" t="n"/>
      <c r="I39" s="82" t="n"/>
      <c r="J39" s="82" t="n"/>
      <c r="K39" s="82" t="n"/>
      <c r="L39" s="82" t="n"/>
    </row>
    <row r="40">
      <c r="A40" s="82" t="n"/>
      <c r="B40" s="82" t="n"/>
      <c r="C40" s="82" t="n"/>
      <c r="D40" s="82" t="n"/>
      <c r="E40" s="82" t="n"/>
      <c r="F40" s="82" t="n"/>
      <c r="G40" s="82" t="n"/>
      <c r="H40" s="82" t="n"/>
      <c r="I40" s="82" t="n"/>
      <c r="J40" s="82" t="n"/>
      <c r="K40" s="82" t="n"/>
      <c r="L40" s="82" t="n"/>
    </row>
    <row r="41">
      <c r="A41" s="82" t="n"/>
      <c r="B41" s="82" t="n"/>
      <c r="C41" s="82" t="n"/>
      <c r="D41" s="82" t="n"/>
      <c r="E41" s="82" t="n"/>
      <c r="F41" s="82" t="n"/>
      <c r="G41" s="82" t="n"/>
      <c r="H41" s="82" t="n"/>
      <c r="I41" s="82" t="n"/>
      <c r="J41" s="82" t="n"/>
      <c r="K41" s="82" t="n"/>
      <c r="L41" s="82" t="n"/>
    </row>
    <row r="42">
      <c r="A42" s="82" t="n"/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  <c r="L42" s="82" t="n"/>
    </row>
    <row r="43">
      <c r="A43" s="82" t="n"/>
      <c r="B43" s="82" t="n"/>
      <c r="C43" s="82" t="n"/>
      <c r="D43" s="82" t="n"/>
      <c r="E43" s="82" t="n"/>
      <c r="F43" s="82" t="n"/>
      <c r="G43" s="82" t="n"/>
      <c r="H43" s="82" t="n"/>
      <c r="I43" s="82" t="n"/>
      <c r="J43" s="82" t="n"/>
      <c r="K43" s="82" t="n"/>
      <c r="L43" s="82" t="n"/>
    </row>
    <row r="44">
      <c r="A44" s="82" t="n"/>
      <c r="B44" s="82" t="n"/>
      <c r="C44" s="82" t="n"/>
      <c r="D44" s="82" t="n"/>
      <c r="E44" s="82" t="n"/>
      <c r="F44" s="82" t="n"/>
      <c r="G44" s="82" t="n"/>
      <c r="H44" s="82" t="n"/>
      <c r="I44" s="82" t="n"/>
      <c r="J44" s="82" t="n"/>
      <c r="K44" s="82" t="n"/>
      <c r="L44" s="82" t="n"/>
    </row>
    <row r="45">
      <c r="A45" s="82" t="n"/>
      <c r="B45" s="82" t="n"/>
      <c r="C45" s="82" t="n"/>
      <c r="D45" s="82" t="n"/>
      <c r="E45" s="82" t="n"/>
      <c r="F45" s="82" t="n"/>
      <c r="G45" s="82" t="n"/>
      <c r="H45" s="82" t="n"/>
      <c r="I45" s="82" t="n"/>
      <c r="J45" s="82" t="n"/>
      <c r="K45" s="82" t="n"/>
      <c r="L45" s="82" t="n"/>
    </row>
    <row r="46">
      <c r="A46" s="82" t="n"/>
      <c r="B46" s="82" t="n"/>
      <c r="C46" s="82" t="n"/>
      <c r="D46" s="82" t="n"/>
      <c r="E46" s="82" t="n"/>
      <c r="F46" s="82" t="n"/>
      <c r="G46" s="82" t="n"/>
      <c r="H46" s="82" t="n"/>
      <c r="I46" s="82" t="n"/>
      <c r="J46" s="82" t="n"/>
      <c r="K46" s="82" t="n"/>
      <c r="L46" s="82" t="n"/>
    </row>
    <row r="47">
      <c r="A47" s="82" t="n"/>
      <c r="B47" s="82" t="n"/>
      <c r="C47" s="82" t="n"/>
      <c r="D47" s="82" t="n"/>
      <c r="E47" s="82" t="n"/>
      <c r="F47" s="82" t="n"/>
      <c r="G47" s="82" t="n"/>
      <c r="H47" s="82" t="n"/>
      <c r="I47" s="82" t="n"/>
      <c r="J47" s="82" t="n"/>
      <c r="K47" s="82" t="n"/>
      <c r="L47" s="82" t="n"/>
    </row>
    <row r="48">
      <c r="A48" s="82" t="n"/>
      <c r="B48" s="82" t="n"/>
      <c r="C48" s="82" t="n"/>
      <c r="D48" s="82" t="n"/>
      <c r="E48" s="82" t="n"/>
      <c r="F48" s="82" t="n"/>
      <c r="G48" s="82" t="n"/>
      <c r="H48" s="82" t="n"/>
      <c r="I48" s="82" t="n"/>
      <c r="J48" s="82" t="n"/>
      <c r="K48" s="82" t="n"/>
      <c r="L48" s="82" t="n"/>
    </row>
    <row r="49">
      <c r="A49" s="82" t="n"/>
      <c r="B49" s="82" t="n"/>
      <c r="C49" s="82" t="n"/>
      <c r="D49" s="82" t="n"/>
      <c r="E49" s="82" t="n"/>
      <c r="F49" s="82" t="n"/>
      <c r="G49" s="82" t="n"/>
      <c r="H49" s="82" t="n"/>
      <c r="I49" s="82" t="n"/>
      <c r="J49" s="82" t="n"/>
      <c r="K49" s="82" t="n"/>
      <c r="L49" s="82" t="n"/>
    </row>
    <row r="50">
      <c r="A50" s="82" t="n"/>
      <c r="B50" s="82" t="n"/>
      <c r="C50" s="82" t="n"/>
      <c r="D50" s="82" t="n"/>
      <c r="E50" s="82" t="n"/>
      <c r="F50" s="82" t="n"/>
      <c r="G50" s="82" t="n"/>
      <c r="H50" s="82" t="n"/>
      <c r="I50" s="82" t="n"/>
      <c r="J50" s="82" t="n"/>
      <c r="K50" s="82" t="n"/>
      <c r="L50" s="82" t="n"/>
    </row>
    <row r="51">
      <c r="A51" s="82" t="n"/>
      <c r="B51" s="82" t="n"/>
      <c r="C51" s="82" t="n"/>
      <c r="D51" s="82" t="n"/>
      <c r="E51" s="82" t="n"/>
      <c r="F51" s="82" t="n"/>
      <c r="G51" s="82" t="n"/>
      <c r="H51" s="82" t="n"/>
      <c r="I51" s="82" t="n"/>
      <c r="J51" s="82" t="n"/>
      <c r="K51" s="82" t="n"/>
      <c r="L51" s="82" t="n"/>
    </row>
    <row r="52">
      <c r="A52" s="82" t="n"/>
      <c r="B52" s="82" t="n"/>
      <c r="C52" s="82" t="n"/>
      <c r="D52" s="82" t="n"/>
      <c r="E52" s="82" t="n"/>
      <c r="F52" s="82" t="n"/>
      <c r="G52" s="82" t="n"/>
      <c r="H52" s="82" t="n"/>
      <c r="I52" s="82" t="n"/>
      <c r="J52" s="82" t="n"/>
      <c r="K52" s="82" t="n"/>
      <c r="L52" s="82" t="n"/>
    </row>
    <row r="53">
      <c r="A53" s="82" t="n"/>
      <c r="B53" s="82" t="n"/>
      <c r="C53" s="82" t="n"/>
      <c r="D53" s="82" t="n"/>
      <c r="E53" s="82" t="n"/>
      <c r="F53" s="82" t="n"/>
      <c r="G53" s="82" t="n"/>
      <c r="H53" s="82" t="n"/>
      <c r="I53" s="82" t="n"/>
      <c r="J53" s="82" t="n"/>
      <c r="K53" s="82" t="n"/>
      <c r="L53" s="82" t="n"/>
    </row>
    <row r="54">
      <c r="A54" s="82" t="n"/>
      <c r="B54" s="82" t="n"/>
      <c r="C54" s="82" t="n"/>
      <c r="D54" s="82" t="n"/>
      <c r="E54" s="82" t="n"/>
      <c r="F54" s="82" t="n"/>
      <c r="G54" s="82" t="n"/>
      <c r="H54" s="82" t="n"/>
      <c r="I54" s="82" t="n"/>
      <c r="J54" s="82" t="n"/>
      <c r="K54" s="82" t="n"/>
      <c r="L54" s="82" t="n"/>
    </row>
    <row r="55">
      <c r="A55" s="82" t="n"/>
      <c r="B55" s="82" t="n"/>
      <c r="C55" s="82" t="n"/>
      <c r="D55" s="82" t="n"/>
      <c r="E55" s="82" t="n"/>
      <c r="F55" s="82" t="n"/>
      <c r="G55" s="82" t="n"/>
      <c r="H55" s="82" t="n"/>
      <c r="I55" s="82" t="n"/>
      <c r="J55" s="82" t="n"/>
      <c r="K55" s="82" t="n"/>
      <c r="L55" s="82" t="n"/>
    </row>
    <row r="56">
      <c r="A56" s="82" t="n"/>
      <c r="B56" s="82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2" t="n"/>
      <c r="L56" s="82" t="n"/>
    </row>
    <row r="57">
      <c r="A57" s="82" t="n"/>
      <c r="B57" s="82" t="n"/>
      <c r="C57" s="82" t="n"/>
      <c r="D57" s="82" t="n"/>
      <c r="E57" s="82" t="n"/>
      <c r="F57" s="82" t="n"/>
      <c r="G57" s="82" t="n"/>
      <c r="H57" s="82" t="n"/>
      <c r="I57" s="82" t="n"/>
      <c r="J57" s="82" t="n"/>
      <c r="K57" s="82" t="n"/>
      <c r="L57" s="82" t="n"/>
    </row>
    <row r="58">
      <c r="A58" s="82" t="n"/>
      <c r="B58" s="82" t="n"/>
      <c r="C58" s="82" t="n"/>
      <c r="D58" s="82" t="n"/>
      <c r="E58" s="82" t="n"/>
      <c r="F58" s="82" t="n"/>
      <c r="G58" s="82" t="n"/>
      <c r="H58" s="82" t="n"/>
      <c r="I58" s="82" t="n"/>
      <c r="J58" s="82" t="n"/>
      <c r="K58" s="82" t="n"/>
      <c r="L58" s="82" t="n"/>
    </row>
    <row r="59">
      <c r="A59" s="82" t="n"/>
      <c r="B59" s="82" t="n"/>
      <c r="C59" s="82" t="n"/>
      <c r="D59" s="82" t="n"/>
      <c r="E59" s="82" t="n"/>
      <c r="F59" s="82" t="n"/>
      <c r="G59" s="82" t="n"/>
      <c r="H59" s="82" t="n"/>
      <c r="I59" s="82" t="n"/>
      <c r="J59" s="82" t="n"/>
      <c r="K59" s="82" t="n"/>
      <c r="L59" s="82" t="n"/>
    </row>
    <row r="60">
      <c r="A60" s="82" t="n"/>
      <c r="B60" s="82" t="n"/>
      <c r="C60" s="82" t="n"/>
      <c r="D60" s="82" t="n"/>
      <c r="E60" s="82" t="n"/>
      <c r="F60" s="82" t="n"/>
      <c r="G60" s="82" t="n"/>
      <c r="H60" s="82" t="n"/>
      <c r="I60" s="82" t="n"/>
      <c r="J60" s="82" t="n"/>
      <c r="K60" s="82" t="n"/>
      <c r="L60" s="82" t="n"/>
    </row>
    <row r="61">
      <c r="A61" s="82" t="n"/>
      <c r="B61" s="82" t="n"/>
      <c r="C61" s="82" t="n"/>
      <c r="D61" s="82" t="n"/>
      <c r="E61" s="82" t="n"/>
      <c r="F61" s="82" t="n"/>
      <c r="G61" s="82" t="n"/>
      <c r="H61" s="82" t="n"/>
      <c r="I61" s="82" t="n"/>
      <c r="J61" s="82" t="n"/>
      <c r="K61" s="82" t="n"/>
      <c r="L61" s="82" t="n"/>
    </row>
    <row r="62">
      <c r="A62" s="82" t="n"/>
      <c r="B62" s="82" t="n"/>
      <c r="C62" s="82" t="n"/>
      <c r="D62" s="82" t="n"/>
      <c r="E62" s="82" t="n"/>
      <c r="F62" s="82" t="n"/>
      <c r="G62" s="82" t="n"/>
      <c r="H62" s="82" t="n"/>
      <c r="I62" s="82" t="n"/>
      <c r="J62" s="82" t="n"/>
      <c r="K62" s="82" t="n"/>
      <c r="L62" s="82" t="n"/>
    </row>
    <row r="63">
      <c r="A63" s="82" t="n"/>
      <c r="B63" s="82" t="n"/>
      <c r="C63" s="82" t="n"/>
      <c r="D63" s="82" t="n"/>
      <c r="E63" s="82" t="n"/>
      <c r="F63" s="82" t="n"/>
      <c r="G63" s="82" t="n"/>
      <c r="H63" s="82" t="n"/>
      <c r="I63" s="82" t="n"/>
      <c r="J63" s="82" t="n"/>
      <c r="K63" s="82" t="n"/>
      <c r="L63" s="82" t="n"/>
    </row>
    <row r="64">
      <c r="A64" s="82" t="n"/>
      <c r="B64" s="82" t="n"/>
      <c r="C64" s="82" t="n"/>
      <c r="D64" s="82" t="n"/>
      <c r="E64" s="82" t="n"/>
      <c r="F64" s="82" t="n"/>
      <c r="G64" s="82" t="n"/>
      <c r="H64" s="82" t="n"/>
      <c r="I64" s="82" t="n"/>
      <c r="J64" s="82" t="n"/>
      <c r="K64" s="82" t="n"/>
      <c r="L64" s="82" t="n"/>
    </row>
    <row r="65">
      <c r="A65" s="82" t="n"/>
      <c r="B65" s="82" t="n"/>
      <c r="C65" s="82" t="n"/>
      <c r="D65" s="82" t="n"/>
      <c r="E65" s="82" t="n"/>
      <c r="F65" s="82" t="n"/>
      <c r="G65" s="82" t="n"/>
      <c r="H65" s="82" t="n"/>
      <c r="I65" s="82" t="n"/>
      <c r="J65" s="82" t="n"/>
      <c r="K65" s="82" t="n"/>
      <c r="L65" s="82" t="n"/>
    </row>
    <row r="66">
      <c r="A66" s="82" t="n"/>
      <c r="B66" s="82" t="n"/>
      <c r="C66" s="82" t="n"/>
      <c r="D66" s="82" t="n"/>
      <c r="E66" s="82" t="n"/>
      <c r="F66" s="82" t="n"/>
      <c r="G66" s="82" t="n"/>
      <c r="H66" s="82" t="n"/>
      <c r="I66" s="82" t="n"/>
      <c r="J66" s="82" t="n"/>
      <c r="K66" s="82" t="n"/>
      <c r="L66" s="82" t="n"/>
    </row>
    <row r="67">
      <c r="A67" s="82" t="n"/>
      <c r="B67" s="82" t="n"/>
      <c r="C67" s="82" t="n"/>
      <c r="D67" s="82" t="n"/>
      <c r="E67" s="82" t="n"/>
      <c r="F67" s="82" t="n"/>
      <c r="G67" s="82" t="n"/>
      <c r="H67" s="82" t="n"/>
      <c r="I67" s="82" t="n"/>
      <c r="J67" s="82" t="n"/>
      <c r="K67" s="82" t="n"/>
      <c r="L67" s="82" t="n"/>
    </row>
    <row r="68">
      <c r="A68" s="82" t="n"/>
      <c r="B68" s="82" t="n"/>
      <c r="C68" s="82" t="n"/>
      <c r="D68" s="82" t="n"/>
      <c r="E68" s="82" t="n"/>
      <c r="F68" s="82" t="n"/>
      <c r="G68" s="82" t="n"/>
      <c r="H68" s="82" t="n"/>
      <c r="I68" s="82" t="n"/>
      <c r="J68" s="82" t="n"/>
      <c r="K68" s="82" t="n"/>
      <c r="L68" s="82" t="n"/>
    </row>
    <row r="69">
      <c r="A69" s="82" t="n"/>
      <c r="B69" s="82" t="n"/>
      <c r="C69" s="82" t="n"/>
      <c r="D69" s="82" t="n"/>
      <c r="E69" s="82" t="n"/>
      <c r="F69" s="82" t="n"/>
      <c r="G69" s="82" t="n"/>
      <c r="H69" s="82" t="n"/>
      <c r="I69" s="82" t="n"/>
      <c r="J69" s="82" t="n"/>
      <c r="K69" s="82" t="n"/>
      <c r="L69" s="82" t="n"/>
    </row>
    <row r="70">
      <c r="A70" s="82" t="n"/>
      <c r="B70" s="82" t="n"/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</row>
    <row r="71">
      <c r="A71" s="82" t="n"/>
      <c r="B71" s="82" t="n"/>
      <c r="C71" s="82" t="n"/>
      <c r="D71" s="82" t="n"/>
      <c r="E71" s="82" t="n"/>
      <c r="F71" s="82" t="n"/>
      <c r="G71" s="82" t="n"/>
      <c r="H71" s="82" t="n"/>
      <c r="I71" s="82" t="n"/>
      <c r="J71" s="82" t="n"/>
      <c r="K71" s="82" t="n"/>
      <c r="L71" s="82" t="n"/>
    </row>
    <row r="72">
      <c r="A72" s="82" t="n"/>
      <c r="B72" s="82" t="n"/>
      <c r="C72" s="82" t="n"/>
      <c r="D72" s="82" t="n"/>
      <c r="E72" s="82" t="n"/>
      <c r="F72" s="82" t="n"/>
      <c r="G72" s="82" t="n"/>
      <c r="H72" s="82" t="n"/>
      <c r="I72" s="82" t="n"/>
      <c r="J72" s="82" t="n"/>
      <c r="K72" s="82" t="n"/>
      <c r="L72" s="82" t="n"/>
    </row>
    <row r="73">
      <c r="A73" s="82" t="n"/>
      <c r="B73" s="82" t="n"/>
      <c r="C73" s="82" t="n"/>
      <c r="D73" s="82" t="n"/>
      <c r="E73" s="82" t="n"/>
      <c r="F73" s="82" t="n"/>
      <c r="G73" s="82" t="n"/>
      <c r="H73" s="82" t="n"/>
      <c r="I73" s="82" t="n"/>
      <c r="J73" s="82" t="n"/>
      <c r="K73" s="82" t="n"/>
      <c r="L73" s="82" t="n"/>
    </row>
    <row r="74">
      <c r="A74" s="82" t="n"/>
      <c r="B74" s="82" t="n"/>
      <c r="C74" s="82" t="n"/>
      <c r="D74" s="82" t="n"/>
      <c r="E74" s="82" t="n"/>
      <c r="F74" s="82" t="n"/>
      <c r="G74" s="82" t="n"/>
      <c r="H74" s="82" t="n"/>
      <c r="I74" s="82" t="n"/>
      <c r="J74" s="82" t="n"/>
      <c r="K74" s="82" t="n"/>
      <c r="L74" s="82" t="n"/>
    </row>
    <row r="75">
      <c r="A75" s="82" t="n"/>
      <c r="B75" s="82" t="n"/>
      <c r="C75" s="82" t="n"/>
      <c r="D75" s="82" t="n"/>
      <c r="E75" s="82" t="n"/>
      <c r="F75" s="82" t="n"/>
      <c r="G75" s="82" t="n"/>
      <c r="H75" s="82" t="n"/>
      <c r="I75" s="82" t="n"/>
      <c r="J75" s="82" t="n"/>
      <c r="K75" s="82" t="n"/>
      <c r="L75" s="82" t="n"/>
    </row>
    <row r="76">
      <c r="A76" s="82" t="n"/>
      <c r="B76" s="82" t="n"/>
      <c r="C76" s="82" t="n"/>
      <c r="D76" s="82" t="n"/>
      <c r="E76" s="82" t="n"/>
      <c r="F76" s="82" t="n"/>
      <c r="G76" s="82" t="n"/>
      <c r="H76" s="82" t="n"/>
      <c r="I76" s="82" t="n"/>
      <c r="J76" s="82" t="n"/>
      <c r="K76" s="82" t="n"/>
      <c r="L76" s="82" t="n"/>
    </row>
    <row r="77">
      <c r="A77" s="82" t="n"/>
      <c r="B77" s="82" t="n"/>
      <c r="C77" s="82" t="n"/>
      <c r="D77" s="82" t="n"/>
      <c r="E77" s="82" t="n"/>
      <c r="F77" s="82" t="n"/>
      <c r="G77" s="82" t="n"/>
      <c r="H77" s="82" t="n"/>
      <c r="I77" s="82" t="n"/>
      <c r="J77" s="82" t="n"/>
      <c r="K77" s="82" t="n"/>
      <c r="L77" s="82" t="n"/>
    </row>
    <row r="78">
      <c r="A78" s="82" t="n"/>
      <c r="B78" s="82" t="n"/>
      <c r="C78" s="82" t="n"/>
      <c r="D78" s="82" t="n"/>
      <c r="E78" s="82" t="n"/>
      <c r="F78" s="82" t="n"/>
      <c r="G78" s="82" t="n"/>
      <c r="H78" s="82" t="n"/>
      <c r="I78" s="82" t="n"/>
      <c r="J78" s="82" t="n"/>
      <c r="K78" s="82" t="n"/>
      <c r="L78" s="82" t="n"/>
    </row>
    <row r="79">
      <c r="A79" s="82" t="n"/>
      <c r="B79" s="82" t="n"/>
      <c r="C79" s="82" t="n"/>
      <c r="D79" s="82" t="n"/>
      <c r="E79" s="82" t="n"/>
      <c r="F79" s="82" t="n"/>
      <c r="G79" s="82" t="n"/>
      <c r="H79" s="82" t="n"/>
      <c r="I79" s="82" t="n"/>
      <c r="J79" s="82" t="n"/>
      <c r="K79" s="82" t="n"/>
      <c r="L79" s="82" t="n"/>
    </row>
    <row r="80">
      <c r="A80" s="82" t="n"/>
      <c r="B80" s="82" t="n"/>
      <c r="C80" s="82" t="n"/>
      <c r="D80" s="82" t="n"/>
      <c r="E80" s="82" t="n"/>
      <c r="F80" s="82" t="n"/>
      <c r="G80" s="82" t="n"/>
      <c r="H80" s="82" t="n"/>
      <c r="I80" s="82" t="n"/>
      <c r="J80" s="82" t="n"/>
      <c r="K80" s="82" t="n"/>
      <c r="L80" s="82" t="n"/>
    </row>
    <row r="81">
      <c r="A81" s="82" t="n"/>
      <c r="B81" s="82" t="n"/>
      <c r="C81" s="82" t="n"/>
      <c r="D81" s="82" t="n"/>
      <c r="E81" s="82" t="n"/>
      <c r="F81" s="82" t="n"/>
      <c r="G81" s="82" t="n"/>
      <c r="H81" s="82" t="n"/>
      <c r="I81" s="82" t="n"/>
      <c r="J81" s="82" t="n"/>
      <c r="K81" s="82" t="n"/>
      <c r="L81" s="82" t="n"/>
    </row>
    <row r="82">
      <c r="A82" s="82" t="n"/>
      <c r="B82" s="82" t="n"/>
      <c r="C82" s="82" t="n"/>
      <c r="D82" s="82" t="n"/>
      <c r="E82" s="82" t="n"/>
      <c r="F82" s="82" t="n"/>
      <c r="G82" s="82" t="n"/>
      <c r="H82" s="82" t="n"/>
      <c r="I82" s="82" t="n"/>
      <c r="J82" s="82" t="n"/>
      <c r="K82" s="82" t="n"/>
      <c r="L82" s="82" t="n"/>
    </row>
    <row r="83">
      <c r="A83" s="82" t="n"/>
      <c r="B83" s="82" t="n"/>
      <c r="C83" s="82" t="n"/>
      <c r="D83" s="82" t="n"/>
      <c r="E83" s="82" t="n"/>
      <c r="F83" s="82" t="n"/>
      <c r="G83" s="82" t="n"/>
      <c r="H83" s="82" t="n"/>
      <c r="I83" s="82" t="n"/>
      <c r="J83" s="82" t="n"/>
      <c r="K83" s="82" t="n"/>
      <c r="L83" s="82" t="n"/>
    </row>
    <row r="84">
      <c r="A84" s="82" t="n"/>
      <c r="B84" s="82" t="n"/>
      <c r="C84" s="82" t="n"/>
      <c r="D84" s="82" t="n"/>
      <c r="E84" s="82" t="n"/>
      <c r="F84" s="82" t="n"/>
      <c r="G84" s="82" t="n"/>
      <c r="H84" s="82" t="n"/>
      <c r="I84" s="82" t="n"/>
      <c r="J84" s="82" t="n"/>
      <c r="K84" s="82" t="n"/>
      <c r="L84" s="82" t="n"/>
    </row>
    <row r="85">
      <c r="A85" s="82" t="n"/>
      <c r="B85" s="82" t="n"/>
      <c r="C85" s="82" t="n"/>
      <c r="D85" s="82" t="n"/>
      <c r="E85" s="82" t="n"/>
      <c r="F85" s="82" t="n"/>
      <c r="G85" s="82" t="n"/>
      <c r="H85" s="82" t="n"/>
      <c r="I85" s="82" t="n"/>
      <c r="J85" s="82" t="n"/>
      <c r="K85" s="82" t="n"/>
      <c r="L85" s="82" t="n"/>
    </row>
    <row r="86">
      <c r="A86" s="82" t="n"/>
      <c r="B86" s="82" t="n"/>
      <c r="C86" s="82" t="n"/>
      <c r="D86" s="82" t="n"/>
      <c r="E86" s="82" t="n"/>
      <c r="F86" s="82" t="n"/>
      <c r="G86" s="82" t="n"/>
      <c r="H86" s="82" t="n"/>
      <c r="I86" s="82" t="n"/>
      <c r="J86" s="82" t="n"/>
      <c r="K86" s="82" t="n"/>
      <c r="L86" s="82" t="n"/>
    </row>
    <row r="87">
      <c r="A87" s="82" t="n"/>
      <c r="B87" s="82" t="n"/>
      <c r="C87" s="82" t="n"/>
      <c r="D87" s="82" t="n"/>
      <c r="E87" s="82" t="n"/>
      <c r="F87" s="82" t="n"/>
      <c r="G87" s="82" t="n"/>
      <c r="H87" s="82" t="n"/>
      <c r="I87" s="82" t="n"/>
      <c r="J87" s="82" t="n"/>
      <c r="K87" s="82" t="n"/>
      <c r="L87" s="82" t="n"/>
    </row>
    <row r="88">
      <c r="A88" s="82" t="n"/>
      <c r="B88" s="82" t="n"/>
      <c r="C88" s="82" t="n"/>
      <c r="D88" s="82" t="n"/>
      <c r="E88" s="82" t="n"/>
      <c r="F88" s="82" t="n"/>
      <c r="G88" s="82" t="n"/>
      <c r="H88" s="82" t="n"/>
      <c r="I88" s="82" t="n"/>
      <c r="J88" s="82" t="n"/>
      <c r="K88" s="82" t="n"/>
      <c r="L88" s="82" t="n"/>
    </row>
    <row r="89">
      <c r="A89" s="82" t="n"/>
      <c r="B89" s="82" t="n"/>
      <c r="C89" s="82" t="n"/>
      <c r="D89" s="82" t="n"/>
      <c r="E89" s="82" t="n"/>
      <c r="F89" s="82" t="n"/>
      <c r="G89" s="82" t="n"/>
      <c r="H89" s="82" t="n"/>
      <c r="I89" s="82" t="n"/>
      <c r="J89" s="82" t="n"/>
      <c r="K89" s="82" t="n"/>
      <c r="L89" s="82" t="n"/>
    </row>
    <row r="90">
      <c r="A90" s="82" t="n"/>
      <c r="B90" s="82" t="n"/>
      <c r="C90" s="82" t="n"/>
      <c r="D90" s="82" t="n"/>
      <c r="E90" s="82" t="n"/>
      <c r="F90" s="82" t="n"/>
      <c r="G90" s="82" t="n"/>
      <c r="H90" s="82" t="n"/>
      <c r="I90" s="82" t="n"/>
      <c r="J90" s="82" t="n"/>
      <c r="K90" s="82" t="n"/>
      <c r="L90" s="82" t="n"/>
    </row>
    <row r="91">
      <c r="A91" s="82" t="n"/>
      <c r="B91" s="82" t="n"/>
      <c r="C91" s="82" t="n"/>
      <c r="D91" s="82" t="n"/>
      <c r="E91" s="82" t="n"/>
      <c r="F91" s="82" t="n"/>
      <c r="G91" s="82" t="n"/>
      <c r="H91" s="82" t="n"/>
      <c r="I91" s="82" t="n"/>
      <c r="J91" s="82" t="n"/>
      <c r="K91" s="82" t="n"/>
      <c r="L91" s="82" t="n"/>
    </row>
    <row r="92">
      <c r="A92" s="82" t="n"/>
      <c r="B92" s="82" t="n"/>
      <c r="C92" s="82" t="n"/>
      <c r="D92" s="82" t="n"/>
      <c r="E92" s="82" t="n"/>
      <c r="F92" s="82" t="n"/>
      <c r="G92" s="82" t="n"/>
      <c r="H92" s="82" t="n"/>
      <c r="I92" s="82" t="n"/>
      <c r="J92" s="82" t="n"/>
      <c r="K92" s="82" t="n"/>
      <c r="L92" s="82" t="n"/>
    </row>
    <row r="93">
      <c r="A93" s="82" t="n"/>
      <c r="B93" s="82" t="n"/>
      <c r="C93" s="82" t="n"/>
      <c r="D93" s="82" t="n"/>
      <c r="E93" s="82" t="n"/>
      <c r="F93" s="82" t="n"/>
      <c r="G93" s="82" t="n"/>
      <c r="H93" s="82" t="n"/>
      <c r="I93" s="82" t="n"/>
      <c r="J93" s="82" t="n"/>
      <c r="K93" s="82" t="n"/>
      <c r="L93" s="82" t="n"/>
    </row>
    <row r="94">
      <c r="A94" s="82" t="n"/>
      <c r="B94" s="82" t="n"/>
      <c r="C94" s="82" t="n"/>
      <c r="D94" s="82" t="n"/>
      <c r="E94" s="82" t="n"/>
      <c r="F94" s="82" t="n"/>
      <c r="G94" s="82" t="n"/>
      <c r="H94" s="82" t="n"/>
      <c r="I94" s="82" t="n"/>
      <c r="J94" s="82" t="n"/>
      <c r="K94" s="82" t="n"/>
      <c r="L94" s="82" t="n"/>
    </row>
    <row r="95">
      <c r="A95" s="82" t="n"/>
      <c r="B95" s="82" t="n"/>
      <c r="C95" s="82" t="n"/>
      <c r="D95" s="82" t="n"/>
      <c r="E95" s="82" t="n"/>
      <c r="F95" s="82" t="n"/>
      <c r="G95" s="82" t="n"/>
      <c r="H95" s="82" t="n"/>
      <c r="I95" s="82" t="n"/>
      <c r="J95" s="82" t="n"/>
      <c r="K95" s="82" t="n"/>
      <c r="L95" s="82" t="n"/>
    </row>
    <row r="96">
      <c r="A96" s="82" t="n"/>
      <c r="B96" s="82" t="n"/>
      <c r="C96" s="82" t="n"/>
      <c r="D96" s="82" t="n"/>
      <c r="E96" s="82" t="n"/>
      <c r="F96" s="82" t="n"/>
      <c r="G96" s="82" t="n"/>
      <c r="H96" s="82" t="n"/>
      <c r="I96" s="82" t="n"/>
      <c r="J96" s="82" t="n"/>
      <c r="K96" s="82" t="n"/>
      <c r="L96" s="82" t="n"/>
    </row>
    <row r="97">
      <c r="A97" s="82" t="n"/>
      <c r="B97" s="82" t="n"/>
      <c r="C97" s="82" t="n"/>
      <c r="D97" s="82" t="n"/>
      <c r="E97" s="82" t="n"/>
      <c r="F97" s="82" t="n"/>
      <c r="G97" s="82" t="n"/>
      <c r="H97" s="82" t="n"/>
      <c r="I97" s="82" t="n"/>
      <c r="J97" s="82" t="n"/>
      <c r="K97" s="82" t="n"/>
      <c r="L97" s="82" t="n"/>
    </row>
    <row r="98">
      <c r="A98" s="82" t="n"/>
      <c r="B98" s="82" t="n"/>
      <c r="C98" s="82" t="n"/>
      <c r="D98" s="82" t="n"/>
      <c r="E98" s="82" t="n"/>
      <c r="F98" s="82" t="n"/>
      <c r="G98" s="82" t="n"/>
      <c r="H98" s="82" t="n"/>
      <c r="I98" s="82" t="n"/>
      <c r="J98" s="82" t="n"/>
      <c r="K98" s="82" t="n"/>
      <c r="L98" s="82" t="n"/>
    </row>
    <row r="99">
      <c r="A99" s="82" t="n"/>
      <c r="B99" s="82" t="n"/>
      <c r="C99" s="82" t="n"/>
      <c r="D99" s="82" t="n"/>
      <c r="E99" s="82" t="n"/>
      <c r="F99" s="82" t="n"/>
      <c r="G99" s="82" t="n"/>
      <c r="H99" s="82" t="n"/>
      <c r="I99" s="82" t="n"/>
      <c r="J99" s="82" t="n"/>
      <c r="K99" s="82" t="n"/>
      <c r="L99" s="82" t="n"/>
    </row>
    <row r="100">
      <c r="A100" s="82" t="n"/>
      <c r="B100" s="82" t="n"/>
      <c r="C100" s="82" t="n"/>
      <c r="D100" s="82" t="n"/>
      <c r="E100" s="82" t="n"/>
      <c r="F100" s="82" t="n"/>
      <c r="G100" s="82" t="n"/>
      <c r="H100" s="82" t="n"/>
      <c r="I100" s="82" t="n"/>
      <c r="J100" s="82" t="n"/>
      <c r="K100" s="82" t="n"/>
      <c r="L100" s="82" t="n"/>
    </row>
    <row r="101">
      <c r="A101" s="82" t="n"/>
      <c r="B101" s="82" t="n"/>
      <c r="C101" s="82" t="n"/>
      <c r="D101" s="82" t="n"/>
      <c r="E101" s="82" t="n"/>
      <c r="F101" s="82" t="n"/>
      <c r="G101" s="82" t="n"/>
      <c r="H101" s="82" t="n"/>
      <c r="I101" s="82" t="n"/>
      <c r="J101" s="82" t="n"/>
      <c r="K101" s="82" t="n"/>
      <c r="L101" s="82" t="n"/>
    </row>
    <row r="102">
      <c r="A102" s="82" t="n"/>
      <c r="B102" s="82" t="n"/>
      <c r="C102" s="82" t="n"/>
      <c r="D102" s="82" t="n"/>
      <c r="E102" s="82" t="n"/>
      <c r="F102" s="82" t="n"/>
      <c r="G102" s="82" t="n"/>
      <c r="H102" s="82" t="n"/>
      <c r="I102" s="82" t="n"/>
      <c r="J102" s="82" t="n"/>
      <c r="K102" s="82" t="n"/>
      <c r="L102" s="82" t="n"/>
    </row>
    <row r="103">
      <c r="A103" s="82" t="n"/>
      <c r="B103" s="82" t="n"/>
      <c r="C103" s="82" t="n"/>
      <c r="D103" s="82" t="n"/>
      <c r="E103" s="82" t="n"/>
      <c r="F103" s="82" t="n"/>
      <c r="G103" s="82" t="n"/>
      <c r="H103" s="82" t="n"/>
      <c r="I103" s="82" t="n"/>
      <c r="J103" s="82" t="n"/>
      <c r="K103" s="82" t="n"/>
      <c r="L103" s="82" t="n"/>
    </row>
    <row r="104">
      <c r="A104" s="82" t="n"/>
      <c r="B104" s="82" t="n"/>
      <c r="C104" s="82" t="n"/>
      <c r="D104" s="82" t="n"/>
      <c r="E104" s="82" t="n"/>
      <c r="F104" s="82" t="n"/>
      <c r="G104" s="82" t="n"/>
      <c r="H104" s="82" t="n"/>
      <c r="I104" s="82" t="n"/>
      <c r="J104" s="82" t="n"/>
      <c r="K104" s="82" t="n"/>
      <c r="L104" s="82" t="n"/>
    </row>
    <row r="105">
      <c r="A105" s="82" t="n"/>
      <c r="B105" s="82" t="n"/>
      <c r="C105" s="82" t="n"/>
      <c r="D105" s="82" t="n"/>
      <c r="E105" s="82" t="n"/>
      <c r="F105" s="82" t="n"/>
      <c r="G105" s="82" t="n"/>
      <c r="H105" s="82" t="n"/>
      <c r="I105" s="82" t="n"/>
      <c r="J105" s="82" t="n"/>
      <c r="K105" s="82" t="n"/>
      <c r="L105" s="82" t="n"/>
    </row>
    <row r="106">
      <c r="A106" s="82" t="n"/>
      <c r="B106" s="82" t="n"/>
      <c r="C106" s="82" t="n"/>
      <c r="D106" s="82" t="n"/>
      <c r="E106" s="82" t="n"/>
      <c r="F106" s="82" t="n"/>
      <c r="G106" s="82" t="n"/>
      <c r="H106" s="82" t="n"/>
      <c r="I106" s="82" t="n"/>
      <c r="J106" s="82" t="n"/>
      <c r="K106" s="82" t="n"/>
      <c r="L106" s="82" t="n"/>
    </row>
    <row r="107">
      <c r="A107" s="82" t="n"/>
      <c r="B107" s="82" t="n"/>
      <c r="C107" s="82" t="n"/>
      <c r="D107" s="82" t="n"/>
      <c r="E107" s="82" t="n"/>
      <c r="F107" s="82" t="n"/>
      <c r="G107" s="82" t="n"/>
      <c r="H107" s="82" t="n"/>
      <c r="I107" s="82" t="n"/>
      <c r="J107" s="82" t="n"/>
      <c r="K107" s="82" t="n"/>
      <c r="L107" s="82" t="n"/>
    </row>
    <row r="108">
      <c r="A108" s="82" t="n"/>
      <c r="B108" s="82" t="n"/>
      <c r="C108" s="82" t="n"/>
      <c r="D108" s="82" t="n"/>
      <c r="E108" s="82" t="n"/>
      <c r="F108" s="82" t="n"/>
      <c r="G108" s="82" t="n"/>
      <c r="H108" s="82" t="n"/>
      <c r="I108" s="82" t="n"/>
      <c r="J108" s="82" t="n"/>
      <c r="K108" s="82" t="n"/>
      <c r="L108" s="82" t="n"/>
    </row>
    <row r="109">
      <c r="A109" s="82" t="n"/>
      <c r="B109" s="82" t="n"/>
      <c r="C109" s="82" t="n"/>
      <c r="D109" s="82" t="n"/>
      <c r="E109" s="82" t="n"/>
      <c r="F109" s="82" t="n"/>
      <c r="G109" s="82" t="n"/>
      <c r="H109" s="82" t="n"/>
      <c r="I109" s="82" t="n"/>
      <c r="J109" s="82" t="n"/>
      <c r="K109" s="82" t="n"/>
      <c r="L109" s="82" t="n"/>
    </row>
    <row r="110">
      <c r="A110" s="82" t="n"/>
      <c r="B110" s="82" t="n"/>
      <c r="C110" s="82" t="n"/>
      <c r="D110" s="82" t="n"/>
      <c r="E110" s="82" t="n"/>
      <c r="F110" s="82" t="n"/>
      <c r="G110" s="82" t="n"/>
      <c r="H110" s="82" t="n"/>
      <c r="I110" s="82" t="n"/>
      <c r="J110" s="82" t="n"/>
      <c r="K110" s="82" t="n"/>
      <c r="L110" s="82" t="n"/>
    </row>
    <row r="111">
      <c r="A111" s="82" t="n"/>
      <c r="B111" s="82" t="n"/>
      <c r="C111" s="82" t="n"/>
      <c r="D111" s="82" t="n"/>
      <c r="E111" s="82" t="n"/>
      <c r="F111" s="82" t="n"/>
      <c r="G111" s="82" t="n"/>
      <c r="H111" s="82" t="n"/>
      <c r="I111" s="82" t="n"/>
      <c r="J111" s="82" t="n"/>
      <c r="K111" s="82" t="n"/>
      <c r="L111" s="82" t="n"/>
    </row>
    <row r="112">
      <c r="A112" s="82" t="n"/>
      <c r="B112" s="82" t="n"/>
      <c r="C112" s="82" t="n"/>
      <c r="D112" s="82" t="n"/>
      <c r="E112" s="82" t="n"/>
      <c r="F112" s="82" t="n"/>
      <c r="G112" s="82" t="n"/>
      <c r="H112" s="82" t="n"/>
      <c r="I112" s="82" t="n"/>
      <c r="J112" s="82" t="n"/>
      <c r="K112" s="82" t="n"/>
      <c r="L112" s="82" t="n"/>
    </row>
    <row r="113">
      <c r="A113" s="82" t="n"/>
      <c r="B113" s="82" t="n"/>
      <c r="C113" s="82" t="n"/>
      <c r="D113" s="82" t="n"/>
      <c r="E113" s="82" t="n"/>
      <c r="F113" s="82" t="n"/>
      <c r="G113" s="82" t="n"/>
      <c r="H113" s="82" t="n"/>
      <c r="I113" s="82" t="n"/>
      <c r="J113" s="82" t="n"/>
      <c r="K113" s="82" t="n"/>
      <c r="L113" s="82" t="n"/>
    </row>
    <row r="114">
      <c r="A114" s="82" t="n"/>
      <c r="B114" s="82" t="n"/>
      <c r="C114" s="82" t="n"/>
      <c r="D114" s="82" t="n"/>
      <c r="E114" s="82" t="n"/>
      <c r="F114" s="82" t="n"/>
      <c r="G114" s="82" t="n"/>
      <c r="H114" s="82" t="n"/>
      <c r="I114" s="82" t="n"/>
      <c r="J114" s="82" t="n"/>
      <c r="K114" s="82" t="n"/>
      <c r="L114" s="82" t="n"/>
    </row>
    <row r="115">
      <c r="A115" s="82" t="n"/>
      <c r="B115" s="82" t="n"/>
      <c r="C115" s="82" t="n"/>
      <c r="D115" s="82" t="n"/>
      <c r="E115" s="82" t="n"/>
      <c r="F115" s="82" t="n"/>
      <c r="G115" s="82" t="n"/>
      <c r="H115" s="82" t="n"/>
      <c r="I115" s="82" t="n"/>
      <c r="J115" s="82" t="n"/>
      <c r="K115" s="82" t="n"/>
      <c r="L115" s="82" t="n"/>
    </row>
    <row r="116">
      <c r="A116" s="82" t="n"/>
      <c r="B116" s="82" t="n"/>
      <c r="C116" s="82" t="n"/>
      <c r="D116" s="82" t="n"/>
      <c r="E116" s="82" t="n"/>
      <c r="F116" s="82" t="n"/>
      <c r="G116" s="82" t="n"/>
      <c r="H116" s="82" t="n"/>
      <c r="I116" s="82" t="n"/>
      <c r="J116" s="82" t="n"/>
      <c r="K116" s="82" t="n"/>
      <c r="L116" s="82" t="n"/>
    </row>
    <row r="117">
      <c r="A117" s="82" t="n"/>
      <c r="B117" s="82" t="n"/>
      <c r="C117" s="82" t="n"/>
      <c r="D117" s="82" t="n"/>
      <c r="E117" s="82" t="n"/>
      <c r="F117" s="82" t="n"/>
      <c r="G117" s="82" t="n"/>
      <c r="H117" s="82" t="n"/>
      <c r="I117" s="82" t="n"/>
      <c r="J117" s="82" t="n"/>
      <c r="K117" s="82" t="n"/>
      <c r="L117" s="82" t="n"/>
    </row>
    <row r="118">
      <c r="A118" s="82" t="n"/>
      <c r="B118" s="82" t="n"/>
      <c r="C118" s="82" t="n"/>
      <c r="D118" s="82" t="n"/>
      <c r="E118" s="82" t="n"/>
      <c r="F118" s="82" t="n"/>
      <c r="G118" s="82" t="n"/>
      <c r="H118" s="82" t="n"/>
      <c r="I118" s="82" t="n"/>
      <c r="J118" s="82" t="n"/>
      <c r="K118" s="82" t="n"/>
      <c r="L118" s="82" t="n"/>
    </row>
    <row r="119">
      <c r="A119" s="82" t="n"/>
      <c r="B119" s="82" t="n"/>
      <c r="C119" s="82" t="n"/>
      <c r="D119" s="82" t="n"/>
      <c r="E119" s="82" t="n"/>
      <c r="F119" s="82" t="n"/>
      <c r="G119" s="82" t="n"/>
      <c r="H119" s="82" t="n"/>
      <c r="I119" s="82" t="n"/>
      <c r="J119" s="82" t="n"/>
      <c r="K119" s="82" t="n"/>
      <c r="L119" s="82" t="n"/>
    </row>
    <row r="120">
      <c r="A120" s="82" t="n"/>
      <c r="B120" s="82" t="n"/>
      <c r="C120" s="82" t="n"/>
      <c r="D120" s="82" t="n"/>
      <c r="E120" s="82" t="n"/>
      <c r="F120" s="82" t="n"/>
      <c r="G120" s="82" t="n"/>
      <c r="H120" s="82" t="n"/>
      <c r="I120" s="82" t="n"/>
      <c r="J120" s="82" t="n"/>
      <c r="K120" s="82" t="n"/>
      <c r="L120" s="82" t="n"/>
    </row>
    <row r="121">
      <c r="A121" s="82" t="n"/>
      <c r="B121" s="82" t="n"/>
      <c r="C121" s="82" t="n"/>
      <c r="D121" s="82" t="n"/>
      <c r="E121" s="82" t="n"/>
      <c r="F121" s="82" t="n"/>
      <c r="G121" s="82" t="n"/>
      <c r="H121" s="82" t="n"/>
      <c r="I121" s="82" t="n"/>
      <c r="J121" s="82" t="n"/>
      <c r="K121" s="82" t="n"/>
      <c r="L121" s="82" t="n"/>
    </row>
    <row r="122">
      <c r="A122" s="82" t="n"/>
      <c r="B122" s="82" t="n"/>
      <c r="C122" s="82" t="n"/>
      <c r="D122" s="82" t="n"/>
      <c r="E122" s="82" t="n"/>
      <c r="F122" s="82" t="n"/>
      <c r="G122" s="82" t="n"/>
      <c r="H122" s="82" t="n"/>
      <c r="I122" s="82" t="n"/>
      <c r="J122" s="82" t="n"/>
      <c r="K122" s="82" t="n"/>
      <c r="L122" s="82" t="n"/>
    </row>
    <row r="123">
      <c r="A123" s="82" t="n"/>
      <c r="B123" s="82" t="n"/>
      <c r="C123" s="82" t="n"/>
      <c r="D123" s="82" t="n"/>
      <c r="E123" s="82" t="n"/>
      <c r="F123" s="82" t="n"/>
      <c r="G123" s="82" t="n"/>
      <c r="H123" s="82" t="n"/>
      <c r="I123" s="82" t="n"/>
      <c r="J123" s="82" t="n"/>
      <c r="K123" s="82" t="n"/>
      <c r="L123" s="82" t="n"/>
    </row>
    <row r="124">
      <c r="A124" s="82" t="n"/>
      <c r="B124" s="82" t="n"/>
      <c r="C124" s="82" t="n"/>
      <c r="D124" s="82" t="n"/>
      <c r="E124" s="82" t="n"/>
      <c r="F124" s="82" t="n"/>
      <c r="G124" s="82" t="n"/>
      <c r="H124" s="82" t="n"/>
      <c r="I124" s="82" t="n"/>
      <c r="J124" s="82" t="n"/>
      <c r="K124" s="82" t="n"/>
      <c r="L124" s="82" t="n"/>
    </row>
    <row r="125">
      <c r="A125" s="82" t="n"/>
      <c r="B125" s="82" t="n"/>
      <c r="C125" s="82" t="n"/>
      <c r="D125" s="82" t="n"/>
      <c r="E125" s="82" t="n"/>
      <c r="F125" s="82" t="n"/>
      <c r="G125" s="82" t="n"/>
      <c r="H125" s="82" t="n"/>
      <c r="I125" s="82" t="n"/>
      <c r="J125" s="82" t="n"/>
      <c r="K125" s="82" t="n"/>
      <c r="L125" s="82" t="n"/>
    </row>
    <row r="126">
      <c r="A126" s="82" t="n"/>
      <c r="B126" s="82" t="n"/>
      <c r="C126" s="82" t="n"/>
      <c r="D126" s="82" t="n"/>
      <c r="E126" s="82" t="n"/>
      <c r="F126" s="82" t="n"/>
      <c r="G126" s="82" t="n"/>
      <c r="H126" s="82" t="n"/>
      <c r="I126" s="82" t="n"/>
      <c r="J126" s="82" t="n"/>
      <c r="K126" s="82" t="n"/>
      <c r="L126" s="82" t="n"/>
    </row>
    <row r="127">
      <c r="A127" s="82" t="n"/>
      <c r="B127" s="82" t="n"/>
      <c r="C127" s="82" t="n"/>
      <c r="D127" s="82" t="n"/>
      <c r="E127" s="82" t="n"/>
      <c r="F127" s="82" t="n"/>
      <c r="G127" s="82" t="n"/>
      <c r="H127" s="82" t="n"/>
      <c r="I127" s="82" t="n"/>
      <c r="J127" s="82" t="n"/>
      <c r="K127" s="82" t="n"/>
      <c r="L127" s="82" t="n"/>
    </row>
    <row r="128">
      <c r="A128" s="82" t="n"/>
      <c r="B128" s="82" t="n"/>
      <c r="C128" s="82" t="n"/>
      <c r="D128" s="82" t="n"/>
      <c r="E128" s="82" t="n"/>
      <c r="F128" s="82" t="n"/>
      <c r="G128" s="82" t="n"/>
      <c r="H128" s="82" t="n"/>
      <c r="I128" s="82" t="n"/>
      <c r="J128" s="82" t="n"/>
      <c r="K128" s="82" t="n"/>
      <c r="L128" s="82" t="n"/>
    </row>
    <row r="129">
      <c r="A129" s="82" t="n"/>
      <c r="B129" s="82" t="n"/>
      <c r="C129" s="82" t="n"/>
      <c r="D129" s="82" t="n"/>
      <c r="E129" s="82" t="n"/>
      <c r="F129" s="82" t="n"/>
      <c r="G129" s="82" t="n"/>
      <c r="H129" s="82" t="n"/>
      <c r="I129" s="82" t="n"/>
      <c r="J129" s="82" t="n"/>
      <c r="K129" s="82" t="n"/>
      <c r="L129" s="82" t="n"/>
    </row>
    <row r="130">
      <c r="A130" s="82" t="n"/>
      <c r="B130" s="82" t="n"/>
      <c r="C130" s="82" t="n"/>
      <c r="D130" s="82" t="n"/>
      <c r="E130" s="82" t="n"/>
      <c r="F130" s="82" t="n"/>
      <c r="G130" s="82" t="n"/>
      <c r="H130" s="82" t="n"/>
      <c r="I130" s="82" t="n"/>
      <c r="J130" s="82" t="n"/>
      <c r="K130" s="82" t="n"/>
      <c r="L130" s="82" t="n"/>
    </row>
    <row r="131">
      <c r="A131" s="82" t="n"/>
      <c r="B131" s="82" t="n"/>
      <c r="C131" s="82" t="n"/>
      <c r="D131" s="82" t="n"/>
      <c r="E131" s="82" t="n"/>
      <c r="F131" s="82" t="n"/>
      <c r="G131" s="82" t="n"/>
      <c r="H131" s="82" t="n"/>
      <c r="I131" s="82" t="n"/>
      <c r="J131" s="82" t="n"/>
      <c r="K131" s="82" t="n"/>
      <c r="L131" s="82" t="n"/>
    </row>
    <row r="132">
      <c r="A132" s="82" t="n"/>
      <c r="B132" s="82" t="n"/>
      <c r="C132" s="82" t="n"/>
      <c r="D132" s="82" t="n"/>
      <c r="E132" s="82" t="n"/>
      <c r="F132" s="82" t="n"/>
      <c r="G132" s="82" t="n"/>
      <c r="H132" s="82" t="n"/>
      <c r="I132" s="82" t="n"/>
      <c r="J132" s="82" t="n"/>
      <c r="K132" s="82" t="n"/>
      <c r="L132" s="82" t="n"/>
    </row>
    <row r="133">
      <c r="A133" s="82" t="n"/>
      <c r="B133" s="82" t="n"/>
      <c r="C133" s="82" t="n"/>
      <c r="D133" s="82" t="n"/>
      <c r="E133" s="82" t="n"/>
      <c r="F133" s="82" t="n"/>
      <c r="G133" s="82" t="n"/>
      <c r="H133" s="82" t="n"/>
      <c r="I133" s="82" t="n"/>
      <c r="J133" s="82" t="n"/>
      <c r="K133" s="82" t="n"/>
      <c r="L133" s="82" t="n"/>
    </row>
    <row r="134">
      <c r="A134" s="82" t="n"/>
      <c r="B134" s="82" t="n"/>
      <c r="C134" s="82" t="n"/>
      <c r="D134" s="82" t="n"/>
      <c r="E134" s="82" t="n"/>
      <c r="F134" s="82" t="n"/>
      <c r="G134" s="82" t="n"/>
      <c r="H134" s="82" t="n"/>
      <c r="I134" s="82" t="n"/>
      <c r="J134" s="82" t="n"/>
      <c r="K134" s="82" t="n"/>
      <c r="L134" s="82" t="n"/>
    </row>
    <row r="135">
      <c r="A135" s="82" t="n"/>
      <c r="B135" s="82" t="n"/>
      <c r="C135" s="82" t="n"/>
      <c r="D135" s="82" t="n"/>
      <c r="E135" s="82" t="n"/>
      <c r="F135" s="82" t="n"/>
      <c r="G135" s="82" t="n"/>
      <c r="H135" s="82" t="n"/>
      <c r="I135" s="82" t="n"/>
      <c r="J135" s="82" t="n"/>
      <c r="K135" s="82" t="n"/>
      <c r="L135" s="82" t="n"/>
    </row>
    <row r="136">
      <c r="A136" s="82" t="n"/>
      <c r="B136" s="82" t="n"/>
      <c r="C136" s="82" t="n"/>
      <c r="D136" s="82" t="n"/>
      <c r="E136" s="82" t="n"/>
      <c r="F136" s="82" t="n"/>
      <c r="G136" s="82" t="n"/>
      <c r="H136" s="82" t="n"/>
      <c r="I136" s="82" t="n"/>
      <c r="J136" s="82" t="n"/>
      <c r="K136" s="82" t="n"/>
      <c r="L136" s="82" t="n"/>
    </row>
    <row r="137">
      <c r="A137" s="82" t="n"/>
      <c r="B137" s="82" t="n"/>
      <c r="C137" s="82" t="n"/>
      <c r="D137" s="82" t="n"/>
      <c r="E137" s="82" t="n"/>
      <c r="F137" s="82" t="n"/>
      <c r="G137" s="82" t="n"/>
      <c r="H137" s="82" t="n"/>
      <c r="I137" s="82" t="n"/>
      <c r="J137" s="82" t="n"/>
      <c r="K137" s="82" t="n"/>
      <c r="L137" s="82" t="n"/>
    </row>
    <row r="138">
      <c r="A138" s="82" t="n"/>
      <c r="B138" s="82" t="n"/>
      <c r="C138" s="82" t="n"/>
      <c r="D138" s="82" t="n"/>
      <c r="E138" s="82" t="n"/>
      <c r="F138" s="82" t="n"/>
      <c r="G138" s="82" t="n"/>
      <c r="H138" s="82" t="n"/>
      <c r="I138" s="82" t="n"/>
      <c r="J138" s="82" t="n"/>
      <c r="K138" s="82" t="n"/>
      <c r="L138" s="82" t="n"/>
    </row>
    <row r="139">
      <c r="A139" s="82" t="n"/>
      <c r="B139" s="82" t="n"/>
      <c r="C139" s="82" t="n"/>
      <c r="D139" s="82" t="n"/>
      <c r="E139" s="82" t="n"/>
      <c r="F139" s="82" t="n"/>
      <c r="G139" s="82" t="n"/>
      <c r="H139" s="82" t="n"/>
      <c r="I139" s="82" t="n"/>
      <c r="J139" s="82" t="n"/>
      <c r="K139" s="82" t="n"/>
      <c r="L139" s="82" t="n"/>
    </row>
    <row r="140">
      <c r="A140" s="82" t="n"/>
      <c r="B140" s="82" t="n"/>
      <c r="C140" s="82" t="n"/>
      <c r="D140" s="82" t="n"/>
      <c r="E140" s="82" t="n"/>
      <c r="F140" s="82" t="n"/>
      <c r="G140" s="82" t="n"/>
      <c r="H140" s="82" t="n"/>
      <c r="I140" s="82" t="n"/>
      <c r="J140" s="82" t="n"/>
      <c r="K140" s="82" t="n"/>
      <c r="L140" s="82" t="n"/>
    </row>
    <row r="141">
      <c r="A141" s="82" t="n"/>
      <c r="B141" s="82" t="n"/>
      <c r="C141" s="82" t="n"/>
      <c r="D141" s="82" t="n"/>
      <c r="E141" s="82" t="n"/>
      <c r="F141" s="82" t="n"/>
      <c r="G141" s="82" t="n"/>
      <c r="H141" s="82" t="n"/>
      <c r="I141" s="82" t="n"/>
      <c r="J141" s="82" t="n"/>
      <c r="K141" s="82" t="n"/>
      <c r="L141" s="82" t="n"/>
    </row>
    <row r="142">
      <c r="A142" s="82" t="n"/>
      <c r="B142" s="82" t="n"/>
      <c r="C142" s="82" t="n"/>
      <c r="D142" s="82" t="n"/>
      <c r="E142" s="82" t="n"/>
      <c r="F142" s="82" t="n"/>
      <c r="G142" s="82" t="n"/>
      <c r="H142" s="82" t="n"/>
      <c r="I142" s="82" t="n"/>
      <c r="J142" s="82" t="n"/>
      <c r="K142" s="82" t="n"/>
      <c r="L142" s="82" t="n"/>
    </row>
    <row r="143">
      <c r="A143" s="82" t="n"/>
      <c r="B143" s="82" t="n"/>
      <c r="C143" s="82" t="n"/>
      <c r="D143" s="82" t="n"/>
      <c r="E143" s="82" t="n"/>
      <c r="F143" s="82" t="n"/>
      <c r="G143" s="82" t="n"/>
      <c r="H143" s="82" t="n"/>
      <c r="I143" s="82" t="n"/>
      <c r="J143" s="82" t="n"/>
      <c r="K143" s="82" t="n"/>
      <c r="L143" s="82" t="n"/>
    </row>
    <row r="144">
      <c r="A144" s="82" t="n"/>
      <c r="B144" s="82" t="n"/>
      <c r="C144" s="82" t="n"/>
      <c r="D144" s="82" t="n"/>
      <c r="E144" s="82" t="n"/>
      <c r="F144" s="82" t="n"/>
      <c r="G144" s="82" t="n"/>
      <c r="H144" s="82" t="n"/>
      <c r="I144" s="82" t="n"/>
      <c r="J144" s="82" t="n"/>
      <c r="K144" s="82" t="n"/>
      <c r="L144" s="82" t="n"/>
    </row>
    <row r="145">
      <c r="A145" s="82" t="n"/>
      <c r="B145" s="82" t="n"/>
      <c r="C145" s="82" t="n"/>
      <c r="D145" s="82" t="n"/>
      <c r="E145" s="82" t="n"/>
      <c r="F145" s="82" t="n"/>
      <c r="G145" s="82" t="n"/>
      <c r="H145" s="82" t="n"/>
      <c r="I145" s="82" t="n"/>
      <c r="J145" s="82" t="n"/>
      <c r="K145" s="82" t="n"/>
      <c r="L145" s="82" t="n"/>
    </row>
    <row r="146">
      <c r="A146" s="82" t="n"/>
      <c r="B146" s="82" t="n"/>
      <c r="C146" s="82" t="n"/>
      <c r="D146" s="82" t="n"/>
      <c r="E146" s="82" t="n"/>
      <c r="F146" s="82" t="n"/>
      <c r="G146" s="82" t="n"/>
      <c r="H146" s="82" t="n"/>
      <c r="I146" s="82" t="n"/>
      <c r="J146" s="82" t="n"/>
      <c r="K146" s="82" t="n"/>
      <c r="L146" s="82" t="n"/>
    </row>
    <row r="147">
      <c r="A147" s="82" t="n"/>
      <c r="B147" s="82" t="n"/>
      <c r="C147" s="82" t="n"/>
      <c r="D147" s="82" t="n"/>
      <c r="E147" s="82" t="n"/>
      <c r="F147" s="82" t="n"/>
      <c r="G147" s="82" t="n"/>
      <c r="H147" s="82" t="n"/>
      <c r="I147" s="82" t="n"/>
      <c r="J147" s="82" t="n"/>
      <c r="K147" s="82" t="n"/>
      <c r="L147" s="82" t="n"/>
    </row>
    <row r="148">
      <c r="A148" s="82" t="n"/>
      <c r="B148" s="82" t="n"/>
      <c r="C148" s="82" t="n"/>
      <c r="D148" s="82" t="n"/>
      <c r="E148" s="82" t="n"/>
      <c r="F148" s="82" t="n"/>
      <c r="G148" s="82" t="n"/>
      <c r="H148" s="82" t="n"/>
      <c r="I148" s="82" t="n"/>
      <c r="J148" s="82" t="n"/>
      <c r="K148" s="82" t="n"/>
      <c r="L148" s="82" t="n"/>
    </row>
    <row r="149">
      <c r="A149" s="82" t="n"/>
      <c r="B149" s="82" t="n"/>
      <c r="C149" s="82" t="n"/>
      <c r="D149" s="82" t="n"/>
      <c r="E149" s="82" t="n"/>
      <c r="F149" s="82" t="n"/>
      <c r="G149" s="82" t="n"/>
      <c r="H149" s="82" t="n"/>
      <c r="I149" s="82" t="n"/>
      <c r="J149" s="82" t="n"/>
      <c r="K149" s="82" t="n"/>
      <c r="L149" s="82" t="n"/>
    </row>
    <row r="150">
      <c r="A150" s="82" t="n"/>
      <c r="B150" s="82" t="n"/>
      <c r="C150" s="82" t="n"/>
      <c r="D150" s="82" t="n"/>
      <c r="E150" s="82" t="n"/>
      <c r="F150" s="82" t="n"/>
      <c r="G150" s="82" t="n"/>
      <c r="H150" s="82" t="n"/>
      <c r="I150" s="82" t="n"/>
      <c r="J150" s="82" t="n"/>
      <c r="K150" s="82" t="n"/>
      <c r="L150" s="82" t="n"/>
    </row>
    <row r="151">
      <c r="A151" s="82" t="n"/>
      <c r="B151" s="82" t="n"/>
      <c r="C151" s="82" t="n"/>
      <c r="D151" s="82" t="n"/>
      <c r="E151" s="82" t="n"/>
      <c r="F151" s="82" t="n"/>
      <c r="G151" s="82" t="n"/>
      <c r="H151" s="82" t="n"/>
      <c r="I151" s="82" t="n"/>
      <c r="J151" s="82" t="n"/>
      <c r="K151" s="82" t="n"/>
      <c r="L151" s="82" t="n"/>
    </row>
    <row r="152">
      <c r="A152" s="82" t="n"/>
      <c r="B152" s="82" t="n"/>
      <c r="C152" s="82" t="n"/>
      <c r="D152" s="82" t="n"/>
      <c r="E152" s="82" t="n"/>
      <c r="F152" s="82" t="n"/>
      <c r="G152" s="82" t="n"/>
      <c r="H152" s="82" t="n"/>
      <c r="I152" s="82" t="n"/>
      <c r="J152" s="82" t="n"/>
      <c r="K152" s="82" t="n"/>
      <c r="L152" s="82" t="n"/>
    </row>
    <row r="153">
      <c r="A153" s="82" t="n"/>
      <c r="B153" s="82" t="n"/>
      <c r="C153" s="82" t="n"/>
      <c r="D153" s="82" t="n"/>
      <c r="E153" s="82" t="n"/>
      <c r="F153" s="82" t="n"/>
      <c r="G153" s="82" t="n"/>
      <c r="H153" s="82" t="n"/>
      <c r="I153" s="82" t="n"/>
      <c r="J153" s="82" t="n"/>
      <c r="K153" s="82" t="n"/>
      <c r="L153" s="82" t="n"/>
    </row>
    <row r="154">
      <c r="A154" s="82" t="n"/>
      <c r="B154" s="82" t="n"/>
      <c r="C154" s="82" t="n"/>
      <c r="D154" s="82" t="n"/>
      <c r="E154" s="82" t="n"/>
      <c r="F154" s="82" t="n"/>
      <c r="G154" s="82" t="n"/>
      <c r="H154" s="82" t="n"/>
      <c r="I154" s="82" t="n"/>
      <c r="J154" s="82" t="n"/>
      <c r="K154" s="82" t="n"/>
      <c r="L154" s="82" t="n"/>
    </row>
    <row r="155">
      <c r="A155" s="82" t="n"/>
      <c r="B155" s="82" t="n"/>
      <c r="C155" s="82" t="n"/>
      <c r="D155" s="82" t="n"/>
      <c r="E155" s="82" t="n"/>
      <c r="F155" s="82" t="n"/>
      <c r="G155" s="82" t="n"/>
      <c r="H155" s="82" t="n"/>
      <c r="I155" s="82" t="n"/>
      <c r="J155" s="82" t="n"/>
      <c r="K155" s="82" t="n"/>
      <c r="L155" s="82" t="n"/>
    </row>
    <row r="156">
      <c r="A156" s="82" t="n"/>
      <c r="B156" s="82" t="n"/>
      <c r="C156" s="82" t="n"/>
      <c r="D156" s="82" t="n"/>
      <c r="E156" s="82" t="n"/>
      <c r="F156" s="82" t="n"/>
      <c r="G156" s="82" t="n"/>
      <c r="H156" s="82" t="n"/>
      <c r="I156" s="82" t="n"/>
      <c r="J156" s="82" t="n"/>
      <c r="K156" s="82" t="n"/>
      <c r="L156" s="82" t="n"/>
    </row>
    <row r="157">
      <c r="A157" s="82" t="n"/>
      <c r="B157" s="82" t="n"/>
      <c r="C157" s="82" t="n"/>
      <c r="D157" s="82" t="n"/>
      <c r="E157" s="82" t="n"/>
      <c r="F157" s="82" t="n"/>
      <c r="G157" s="82" t="n"/>
      <c r="H157" s="82" t="n"/>
      <c r="I157" s="82" t="n"/>
      <c r="J157" s="82" t="n"/>
      <c r="K157" s="82" t="n"/>
      <c r="L157" s="82" t="n"/>
    </row>
    <row r="158">
      <c r="A158" s="82" t="n"/>
      <c r="B158" s="82" t="n"/>
      <c r="C158" s="82" t="n"/>
      <c r="D158" s="82" t="n"/>
      <c r="E158" s="82" t="n"/>
      <c r="F158" s="82" t="n"/>
      <c r="G158" s="82" t="n"/>
      <c r="H158" s="82" t="n"/>
      <c r="I158" s="82" t="n"/>
      <c r="J158" s="82" t="n"/>
      <c r="K158" s="82" t="n"/>
      <c r="L158" s="82" t="n"/>
    </row>
    <row r="159">
      <c r="A159" s="82" t="n"/>
      <c r="B159" s="82" t="n"/>
      <c r="C159" s="82" t="n"/>
      <c r="D159" s="82" t="n"/>
      <c r="E159" s="82" t="n"/>
      <c r="F159" s="82" t="n"/>
      <c r="G159" s="82" t="n"/>
      <c r="H159" s="82" t="n"/>
      <c r="I159" s="82" t="n"/>
      <c r="J159" s="82" t="n"/>
      <c r="K159" s="82" t="n"/>
      <c r="L159" s="82" t="n"/>
    </row>
    <row r="160">
      <c r="A160" s="82" t="n"/>
      <c r="B160" s="82" t="n"/>
      <c r="C160" s="82" t="n"/>
      <c r="D160" s="82" t="n"/>
      <c r="E160" s="82" t="n"/>
      <c r="F160" s="82" t="n"/>
      <c r="G160" s="82" t="n"/>
      <c r="H160" s="82" t="n"/>
      <c r="I160" s="82" t="n"/>
      <c r="J160" s="82" t="n"/>
      <c r="K160" s="82" t="n"/>
      <c r="L160" s="82" t="n"/>
    </row>
    <row r="161">
      <c r="A161" s="82" t="n"/>
      <c r="B161" s="82" t="n"/>
      <c r="C161" s="82" t="n"/>
      <c r="D161" s="82" t="n"/>
      <c r="E161" s="82" t="n"/>
      <c r="F161" s="82" t="n"/>
      <c r="G161" s="82" t="n"/>
      <c r="H161" s="82" t="n"/>
      <c r="I161" s="82" t="n"/>
      <c r="J161" s="82" t="n"/>
      <c r="K161" s="82" t="n"/>
      <c r="L161" s="82" t="n"/>
    </row>
    <row r="162">
      <c r="A162" s="82" t="n"/>
      <c r="B162" s="82" t="n"/>
      <c r="C162" s="82" t="n"/>
      <c r="D162" s="82" t="n"/>
      <c r="E162" s="82" t="n"/>
      <c r="F162" s="82" t="n"/>
      <c r="G162" s="82" t="n"/>
      <c r="H162" s="82" t="n"/>
      <c r="I162" s="82" t="n"/>
      <c r="J162" s="82" t="n"/>
      <c r="K162" s="82" t="n"/>
      <c r="L162" s="82" t="n"/>
    </row>
    <row r="163">
      <c r="A163" s="82" t="n"/>
      <c r="B163" s="82" t="n"/>
      <c r="C163" s="82" t="n"/>
      <c r="D163" s="82" t="n"/>
      <c r="E163" s="82" t="n"/>
      <c r="F163" s="82" t="n"/>
      <c r="G163" s="82" t="n"/>
      <c r="H163" s="82" t="n"/>
      <c r="I163" s="82" t="n"/>
      <c r="J163" s="82" t="n"/>
      <c r="K163" s="82" t="n"/>
      <c r="L163" s="82" t="n"/>
    </row>
    <row r="164">
      <c r="A164" s="82" t="n"/>
      <c r="B164" s="82" t="n"/>
      <c r="C164" s="82" t="n"/>
      <c r="D164" s="82" t="n"/>
      <c r="E164" s="82" t="n"/>
      <c r="F164" s="82" t="n"/>
      <c r="G164" s="82" t="n"/>
      <c r="H164" s="82" t="n"/>
      <c r="I164" s="82" t="n"/>
      <c r="J164" s="82" t="n"/>
      <c r="K164" s="82" t="n"/>
      <c r="L164" s="82" t="n"/>
    </row>
    <row r="165">
      <c r="A165" s="82" t="n"/>
      <c r="B165" s="82" t="n"/>
      <c r="C165" s="82" t="n"/>
      <c r="D165" s="82" t="n"/>
      <c r="E165" s="82" t="n"/>
      <c r="F165" s="82" t="n"/>
      <c r="G165" s="82" t="n"/>
      <c r="H165" s="82" t="n"/>
      <c r="I165" s="82" t="n"/>
      <c r="J165" s="82" t="n"/>
      <c r="K165" s="82" t="n"/>
      <c r="L165" s="82" t="n"/>
    </row>
    <row r="166">
      <c r="A166" s="82" t="n"/>
      <c r="B166" s="82" t="n"/>
      <c r="C166" s="82" t="n"/>
      <c r="D166" s="82" t="n"/>
      <c r="E166" s="82" t="n"/>
      <c r="F166" s="82" t="n"/>
      <c r="G166" s="82" t="n"/>
      <c r="H166" s="82" t="n"/>
      <c r="I166" s="82" t="n"/>
      <c r="J166" s="82" t="n"/>
      <c r="K166" s="82" t="n"/>
      <c r="L166" s="82" t="n"/>
    </row>
    <row r="167">
      <c r="A167" s="82" t="n"/>
      <c r="B167" s="82" t="n"/>
      <c r="C167" s="82" t="n"/>
      <c r="D167" s="82" t="n"/>
      <c r="E167" s="82" t="n"/>
      <c r="F167" s="82" t="n"/>
      <c r="G167" s="82" t="n"/>
      <c r="H167" s="82" t="n"/>
      <c r="I167" s="82" t="n"/>
      <c r="J167" s="82" t="n"/>
      <c r="K167" s="82" t="n"/>
      <c r="L167" s="82" t="n"/>
    </row>
    <row r="168">
      <c r="A168" s="82" t="n"/>
      <c r="B168" s="82" t="n"/>
      <c r="C168" s="82" t="n"/>
      <c r="D168" s="82" t="n"/>
      <c r="E168" s="82" t="n"/>
      <c r="F168" s="82" t="n"/>
      <c r="G168" s="82" t="n"/>
      <c r="H168" s="82" t="n"/>
      <c r="I168" s="82" t="n"/>
      <c r="J168" s="82" t="n"/>
      <c r="K168" s="82" t="n"/>
      <c r="L168" s="82" t="n"/>
    </row>
    <row r="169">
      <c r="A169" s="82" t="n"/>
      <c r="B169" s="82" t="n"/>
      <c r="C169" s="82" t="n"/>
      <c r="D169" s="82" t="n"/>
      <c r="E169" s="82" t="n"/>
      <c r="F169" s="82" t="n"/>
      <c r="G169" s="82" t="n"/>
      <c r="H169" s="82" t="n"/>
      <c r="I169" s="82" t="n"/>
      <c r="J169" s="82" t="n"/>
      <c r="K169" s="82" t="n"/>
      <c r="L169" s="82" t="n"/>
    </row>
    <row r="170">
      <c r="A170" s="82" t="n"/>
      <c r="B170" s="82" t="n"/>
      <c r="C170" s="82" t="n"/>
      <c r="D170" s="82" t="n"/>
      <c r="E170" s="82" t="n"/>
      <c r="F170" s="82" t="n"/>
      <c r="G170" s="82" t="n"/>
      <c r="H170" s="82" t="n"/>
      <c r="I170" s="82" t="n"/>
      <c r="J170" s="82" t="n"/>
      <c r="K170" s="82" t="n"/>
      <c r="L170" s="82" t="n"/>
    </row>
    <row r="171">
      <c r="A171" s="82" t="n"/>
      <c r="B171" s="82" t="n"/>
      <c r="C171" s="82" t="n"/>
      <c r="D171" s="82" t="n"/>
      <c r="E171" s="82" t="n"/>
      <c r="F171" s="82" t="n"/>
      <c r="G171" s="82" t="n"/>
      <c r="H171" s="82" t="n"/>
      <c r="I171" s="82" t="n"/>
      <c r="J171" s="82" t="n"/>
      <c r="K171" s="82" t="n"/>
      <c r="L171" s="82" t="n"/>
    </row>
    <row r="172">
      <c r="A172" s="82" t="n"/>
      <c r="B172" s="82" t="n"/>
      <c r="C172" s="82" t="n"/>
      <c r="D172" s="82" t="n"/>
      <c r="E172" s="82" t="n"/>
      <c r="F172" s="82" t="n"/>
      <c r="G172" s="82" t="n"/>
      <c r="H172" s="82" t="n"/>
      <c r="I172" s="82" t="n"/>
      <c r="J172" s="82" t="n"/>
      <c r="K172" s="82" t="n"/>
      <c r="L172" s="82" t="n"/>
    </row>
    <row r="173">
      <c r="A173" s="82" t="n"/>
      <c r="B173" s="82" t="n"/>
      <c r="C173" s="82" t="n"/>
      <c r="D173" s="82" t="n"/>
      <c r="E173" s="82" t="n"/>
      <c r="F173" s="82" t="n"/>
      <c r="G173" s="82" t="n"/>
      <c r="H173" s="82" t="n"/>
      <c r="I173" s="82" t="n"/>
      <c r="J173" s="82" t="n"/>
      <c r="K173" s="82" t="n"/>
      <c r="L173" s="82" t="n"/>
    </row>
    <row r="174">
      <c r="A174" s="82" t="n"/>
      <c r="B174" s="82" t="n"/>
      <c r="C174" s="82" t="n"/>
      <c r="D174" s="82" t="n"/>
      <c r="E174" s="82" t="n"/>
      <c r="F174" s="82" t="n"/>
      <c r="G174" s="82" t="n"/>
      <c r="H174" s="82" t="n"/>
      <c r="I174" s="82" t="n"/>
      <c r="J174" s="82" t="n"/>
      <c r="K174" s="82" t="n"/>
      <c r="L174" s="82" t="n"/>
    </row>
    <row r="175">
      <c r="A175" s="82" t="n"/>
      <c r="B175" s="82" t="n"/>
      <c r="C175" s="82" t="n"/>
      <c r="D175" s="82" t="n"/>
      <c r="E175" s="82" t="n"/>
      <c r="F175" s="82" t="n"/>
      <c r="G175" s="82" t="n"/>
      <c r="H175" s="82" t="n"/>
      <c r="I175" s="82" t="n"/>
      <c r="J175" s="82" t="n"/>
      <c r="K175" s="82" t="n"/>
      <c r="L175" s="82" t="n"/>
    </row>
    <row r="176">
      <c r="A176" s="82" t="n"/>
      <c r="B176" s="82" t="n"/>
      <c r="C176" s="82" t="n"/>
      <c r="D176" s="82" t="n"/>
      <c r="E176" s="82" t="n"/>
      <c r="F176" s="82" t="n"/>
      <c r="G176" s="82" t="n"/>
      <c r="H176" s="82" t="n"/>
      <c r="I176" s="82" t="n"/>
      <c r="J176" s="82" t="n"/>
      <c r="K176" s="82" t="n"/>
      <c r="L176" s="82" t="n"/>
    </row>
    <row r="177">
      <c r="A177" s="82" t="n"/>
      <c r="B177" s="82" t="n"/>
      <c r="C177" s="82" t="n"/>
      <c r="D177" s="82" t="n"/>
      <c r="E177" s="82" t="n"/>
      <c r="F177" s="82" t="n"/>
      <c r="G177" s="82" t="n"/>
      <c r="H177" s="82" t="n"/>
      <c r="I177" s="82" t="n"/>
      <c r="J177" s="82" t="n"/>
      <c r="K177" s="82" t="n"/>
      <c r="L177" s="82" t="n"/>
    </row>
    <row r="178">
      <c r="A178" s="82" t="n"/>
      <c r="B178" s="82" t="n"/>
      <c r="C178" s="82" t="n"/>
      <c r="D178" s="82" t="n"/>
      <c r="E178" s="82" t="n"/>
      <c r="F178" s="82" t="n"/>
      <c r="G178" s="82" t="n"/>
      <c r="H178" s="82" t="n"/>
      <c r="I178" s="82" t="n"/>
      <c r="J178" s="82" t="n"/>
      <c r="K178" s="82" t="n"/>
      <c r="L178" s="82" t="n"/>
    </row>
    <row r="179">
      <c r="A179" s="82" t="n"/>
      <c r="B179" s="82" t="n"/>
      <c r="C179" s="82" t="n"/>
      <c r="D179" s="82" t="n"/>
      <c r="E179" s="82" t="n"/>
      <c r="F179" s="82" t="n"/>
      <c r="G179" s="82" t="n"/>
      <c r="H179" s="82" t="n"/>
      <c r="I179" s="82" t="n"/>
      <c r="J179" s="82" t="n"/>
      <c r="K179" s="82" t="n"/>
      <c r="L179" s="82" t="n"/>
    </row>
    <row r="180">
      <c r="A180" s="82" t="n"/>
      <c r="B180" s="82" t="n"/>
      <c r="C180" s="82" t="n"/>
      <c r="D180" s="82" t="n"/>
      <c r="E180" s="82" t="n"/>
      <c r="F180" s="82" t="n"/>
      <c r="G180" s="82" t="n"/>
      <c r="H180" s="82" t="n"/>
      <c r="I180" s="82" t="n"/>
      <c r="J180" s="82" t="n"/>
      <c r="K180" s="82" t="n"/>
      <c r="L180" s="82" t="n"/>
    </row>
    <row r="181">
      <c r="A181" s="82" t="n"/>
      <c r="B181" s="82" t="n"/>
      <c r="C181" s="82" t="n"/>
      <c r="D181" s="82" t="n"/>
      <c r="E181" s="82" t="n"/>
      <c r="F181" s="82" t="n"/>
      <c r="G181" s="82" t="n"/>
      <c r="H181" s="82" t="n"/>
      <c r="I181" s="82" t="n"/>
      <c r="J181" s="82" t="n"/>
      <c r="K181" s="82" t="n"/>
      <c r="L181" s="82" t="n"/>
    </row>
    <row r="182">
      <c r="A182" s="82" t="n"/>
      <c r="B182" s="82" t="n"/>
      <c r="C182" s="82" t="n"/>
      <c r="D182" s="82" t="n"/>
      <c r="E182" s="82" t="n"/>
      <c r="F182" s="82" t="n"/>
      <c r="G182" s="82" t="n"/>
      <c r="H182" s="82" t="n"/>
      <c r="I182" s="82" t="n"/>
      <c r="J182" s="82" t="n"/>
      <c r="K182" s="82" t="n"/>
      <c r="L182" s="82" t="n"/>
    </row>
    <row r="183">
      <c r="A183" s="82" t="n"/>
      <c r="B183" s="82" t="n"/>
      <c r="C183" s="82" t="n"/>
      <c r="D183" s="82" t="n"/>
      <c r="E183" s="82" t="n"/>
      <c r="F183" s="82" t="n"/>
      <c r="G183" s="82" t="n"/>
      <c r="H183" s="82" t="n"/>
      <c r="I183" s="82" t="n"/>
      <c r="J183" s="82" t="n"/>
      <c r="K183" s="82" t="n"/>
      <c r="L183" s="82" t="n"/>
    </row>
    <row r="184">
      <c r="A184" s="82" t="n"/>
      <c r="B184" s="82" t="n"/>
      <c r="C184" s="82" t="n"/>
      <c r="D184" s="82" t="n"/>
      <c r="E184" s="82" t="n"/>
      <c r="F184" s="82" t="n"/>
      <c r="G184" s="82" t="n"/>
      <c r="H184" s="82" t="n"/>
      <c r="I184" s="82" t="n"/>
      <c r="J184" s="82" t="n"/>
      <c r="K184" s="82" t="n"/>
      <c r="L184" s="82" t="n"/>
    </row>
    <row r="185">
      <c r="A185" s="82" t="n"/>
      <c r="B185" s="82" t="n"/>
      <c r="C185" s="82" t="n"/>
      <c r="D185" s="82" t="n"/>
      <c r="E185" s="82" t="n"/>
      <c r="F185" s="82" t="n"/>
      <c r="G185" s="82" t="n"/>
      <c r="H185" s="82" t="n"/>
      <c r="I185" s="82" t="n"/>
      <c r="J185" s="82" t="n"/>
      <c r="K185" s="82" t="n"/>
      <c r="L185" s="82" t="n"/>
    </row>
    <row r="186">
      <c r="A186" s="82" t="n"/>
      <c r="B186" s="82" t="n"/>
      <c r="C186" s="82" t="n"/>
      <c r="D186" s="82" t="n"/>
      <c r="E186" s="82" t="n"/>
      <c r="F186" s="82" t="n"/>
      <c r="G186" s="82" t="n"/>
      <c r="H186" s="82" t="n"/>
      <c r="I186" s="82" t="n"/>
      <c r="J186" s="82" t="n"/>
      <c r="K186" s="82" t="n"/>
      <c r="L186" s="82" t="n"/>
    </row>
    <row r="187">
      <c r="A187" s="82" t="n"/>
      <c r="B187" s="82" t="n"/>
      <c r="C187" s="82" t="n"/>
      <c r="D187" s="82" t="n"/>
      <c r="E187" s="82" t="n"/>
      <c r="F187" s="82" t="n"/>
      <c r="G187" s="82" t="n"/>
      <c r="H187" s="82" t="n"/>
      <c r="I187" s="82" t="n"/>
      <c r="J187" s="82" t="n"/>
      <c r="K187" s="82" t="n"/>
      <c r="L187" s="82" t="n"/>
    </row>
    <row r="188">
      <c r="A188" s="82" t="n"/>
      <c r="B188" s="82" t="n"/>
      <c r="C188" s="82" t="n"/>
      <c r="D188" s="82" t="n"/>
      <c r="E188" s="82" t="n"/>
      <c r="F188" s="82" t="n"/>
      <c r="G188" s="82" t="n"/>
      <c r="H188" s="82" t="n"/>
      <c r="I188" s="82" t="n"/>
      <c r="J188" s="82" t="n"/>
      <c r="K188" s="82" t="n"/>
      <c r="L188" s="82" t="n"/>
    </row>
    <row r="189">
      <c r="A189" s="82" t="n"/>
      <c r="B189" s="82" t="n"/>
      <c r="C189" s="82" t="n"/>
      <c r="D189" s="82" t="n"/>
      <c r="E189" s="82" t="n"/>
      <c r="F189" s="82" t="n"/>
      <c r="G189" s="82" t="n"/>
      <c r="H189" s="82" t="n"/>
      <c r="I189" s="82" t="n"/>
      <c r="J189" s="82" t="n"/>
      <c r="K189" s="82" t="n"/>
      <c r="L189" s="82" t="n"/>
    </row>
    <row r="190">
      <c r="A190" s="82" t="n"/>
      <c r="B190" s="82" t="n"/>
      <c r="C190" s="82" t="n"/>
      <c r="D190" s="82" t="n"/>
      <c r="E190" s="82" t="n"/>
      <c r="F190" s="82" t="n"/>
      <c r="G190" s="82" t="n"/>
      <c r="H190" s="82" t="n"/>
      <c r="I190" s="82" t="n"/>
      <c r="J190" s="82" t="n"/>
      <c r="K190" s="82" t="n"/>
      <c r="L190" s="82" t="n"/>
    </row>
    <row r="191">
      <c r="A191" s="82" t="n"/>
      <c r="B191" s="82" t="n"/>
      <c r="C191" s="82" t="n"/>
      <c r="D191" s="82" t="n"/>
      <c r="E191" s="82" t="n"/>
      <c r="F191" s="82" t="n"/>
      <c r="G191" s="82" t="n"/>
      <c r="H191" s="82" t="n"/>
      <c r="I191" s="82" t="n"/>
      <c r="J191" s="82" t="n"/>
      <c r="K191" s="82" t="n"/>
      <c r="L191" s="82" t="n"/>
    </row>
    <row r="192">
      <c r="A192" s="82" t="n"/>
      <c r="B192" s="82" t="n"/>
      <c r="C192" s="82" t="n"/>
      <c r="D192" s="82" t="n"/>
      <c r="E192" s="82" t="n"/>
      <c r="F192" s="82" t="n"/>
      <c r="G192" s="82" t="n"/>
      <c r="H192" s="82" t="n"/>
      <c r="I192" s="82" t="n"/>
      <c r="J192" s="82" t="n"/>
      <c r="K192" s="82" t="n"/>
      <c r="L192" s="82" t="n"/>
    </row>
    <row r="193">
      <c r="A193" s="82" t="n"/>
      <c r="B193" s="82" t="n"/>
      <c r="C193" s="82" t="n"/>
      <c r="D193" s="82" t="n"/>
      <c r="E193" s="82" t="n"/>
      <c r="F193" s="82" t="n"/>
      <c r="G193" s="82" t="n"/>
      <c r="H193" s="82" t="n"/>
      <c r="I193" s="82" t="n"/>
      <c r="J193" s="82" t="n"/>
      <c r="K193" s="82" t="n"/>
      <c r="L193" s="82" t="n"/>
    </row>
    <row r="194">
      <c r="A194" s="82" t="n"/>
      <c r="B194" s="82" t="n"/>
      <c r="C194" s="82" t="n"/>
      <c r="D194" s="82" t="n"/>
      <c r="E194" s="82" t="n"/>
      <c r="F194" s="82" t="n"/>
      <c r="G194" s="82" t="n"/>
      <c r="H194" s="82" t="n"/>
      <c r="I194" s="82" t="n"/>
      <c r="J194" s="82" t="n"/>
      <c r="K194" s="82" t="n"/>
      <c r="L194" s="82" t="n"/>
    </row>
    <row r="195">
      <c r="A195" s="82" t="n"/>
      <c r="B195" s="82" t="n"/>
      <c r="C195" s="82" t="n"/>
      <c r="D195" s="82" t="n"/>
      <c r="E195" s="82" t="n"/>
      <c r="F195" s="82" t="n"/>
      <c r="G195" s="82" t="n"/>
      <c r="H195" s="82" t="n"/>
      <c r="I195" s="82" t="n"/>
      <c r="J195" s="82" t="n"/>
      <c r="K195" s="82" t="n"/>
      <c r="L195" s="82" t="n"/>
    </row>
    <row r="196">
      <c r="A196" s="82" t="n"/>
      <c r="B196" s="82" t="n"/>
      <c r="C196" s="82" t="n"/>
      <c r="D196" s="82" t="n"/>
      <c r="E196" s="82" t="n"/>
      <c r="F196" s="82" t="n"/>
      <c r="G196" s="82" t="n"/>
      <c r="H196" s="82" t="n"/>
      <c r="I196" s="82" t="n"/>
      <c r="J196" s="82" t="n"/>
      <c r="K196" s="82" t="n"/>
      <c r="L196" s="82" t="n"/>
    </row>
    <row r="197">
      <c r="A197" s="82" t="n"/>
      <c r="B197" s="82" t="n"/>
      <c r="C197" s="82" t="n"/>
      <c r="D197" s="82" t="n"/>
      <c r="E197" s="82" t="n"/>
      <c r="F197" s="82" t="n"/>
      <c r="G197" s="82" t="n"/>
      <c r="H197" s="82" t="n"/>
      <c r="I197" s="82" t="n"/>
      <c r="J197" s="82" t="n"/>
      <c r="K197" s="82" t="n"/>
      <c r="L197" s="82" t="n"/>
    </row>
    <row r="198">
      <c r="A198" s="82" t="n"/>
      <c r="B198" s="82" t="n"/>
      <c r="C198" s="82" t="n"/>
      <c r="D198" s="82" t="n"/>
      <c r="E198" s="82" t="n"/>
      <c r="F198" s="82" t="n"/>
      <c r="G198" s="82" t="n"/>
      <c r="H198" s="82" t="n"/>
      <c r="I198" s="82" t="n"/>
      <c r="J198" s="82" t="n"/>
      <c r="K198" s="82" t="n"/>
      <c r="L198" s="82" t="n"/>
    </row>
    <row r="199">
      <c r="A199" s="82" t="n"/>
      <c r="B199" s="82" t="n"/>
      <c r="C199" s="82" t="n"/>
      <c r="D199" s="82" t="n"/>
      <c r="E199" s="82" t="n"/>
      <c r="F199" s="82" t="n"/>
      <c r="G199" s="82" t="n"/>
      <c r="H199" s="82" t="n"/>
      <c r="I199" s="82" t="n"/>
      <c r="J199" s="82" t="n"/>
      <c r="K199" s="82" t="n"/>
      <c r="L199" s="82" t="n"/>
    </row>
    <row r="200">
      <c r="A200" s="82" t="n"/>
      <c r="B200" s="82" t="n"/>
      <c r="C200" s="82" t="n"/>
      <c r="D200" s="82" t="n"/>
      <c r="E200" s="82" t="n"/>
      <c r="F200" s="82" t="n"/>
      <c r="G200" s="82" t="n"/>
      <c r="H200" s="82" t="n"/>
      <c r="I200" s="82" t="n"/>
      <c r="J200" s="82" t="n"/>
      <c r="K200" s="82" t="n"/>
      <c r="L200" s="82" t="n"/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autoFilter ref="A4:N14"/>
  <mergeCells count="2">
    <mergeCell ref="A2:N2"/>
    <mergeCell ref="A1:N1"/>
  </mergeCells>
  <conditionalFormatting sqref="J5:J80">
    <cfRule type="expression" priority="1" dxfId="8">
      <formula>J5="Assigned"</formula>
    </cfRule>
    <cfRule type="expression" priority="2" dxfId="2">
      <formula>J5="Scheduled"</formula>
    </cfRule>
    <cfRule type="expression" priority="3" dxfId="9">
      <formula>J5="In Progress"</formula>
    </cfRule>
    <cfRule type="expression" priority="4" dxfId="1">
      <formula>J5="Milestone Review"</formula>
    </cfRule>
    <cfRule type="expression" priority="5" dxfId="0">
      <formula>J5="Complete"</formula>
    </cfRule>
    <cfRule type="expression" priority="6" dxfId="4">
      <formula>J5="Disputed"</formula>
    </cfRule>
  </conditionalFormatting>
  <dataValidations count="1">
    <dataValidation sqref="J5:J80" showDropDown="0" showInputMessage="0" showErrorMessage="1" allowBlank="1" errorTitle="Invalid value" error="Pick a value from the list." type="list">
      <formula1>=Job_Status</formula1>
    </dataValidation>
  </dataValidations>
  <pageMargins left="0.4" right="0.4" top="0.6" bottom="0.5" header="0.25" footer="0.25"/>
  <pageSetup orientation="landscape" paperSize="3" fitToHeight="0" fitToWidth="1"/>
  <headerFooter>
    <oddHeader>&amp;LNovality Store  ·  Home Renovation System&amp;RJobs</oddHeader>
    <oddFooter>&amp;LConfidential  ·  Digital twin of the home&amp;RPage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C86B4A"/>
    <outlinePr summaryBelow="1" summaryRight="1"/>
    <pageSetUpPr fitToPage="1"/>
  </sheetPr>
  <dimension ref="A1:Q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8" customWidth="1" min="4" max="4"/>
    <col width="40" customWidth="1" min="5" max="5"/>
    <col width="16" customWidth="1" min="6" max="6"/>
    <col width="18" customWidth="1" min="7" max="7"/>
    <col width="14" customWidth="1" min="8" max="8"/>
    <col width="10" customWidth="1" min="9" max="9"/>
    <col width="12" customWidth="1" min="10" max="10"/>
    <col width="12" customWidth="1" min="11" max="11"/>
    <col width="10" customWidth="1" min="12" max="12"/>
    <col width="12" customWidth="1" min="13" max="13"/>
    <col width="10" customWidth="1" min="14" max="14"/>
    <col width="28" customWidth="1" min="15" max="15"/>
    <col width="10" customWidth="1" min="16" max="16"/>
    <col width="12" customWidth="1" min="17" max="17"/>
  </cols>
  <sheetData>
    <row r="1" ht="28" customHeight="1">
      <c r="A1" s="1" t="inlineStr">
        <is>
          <t>TASKS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3" t="inlineStr">
        <is>
          <t>Kanban fields  ·  To Do → Scheduled → In Progress → Inspection → Completed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</row>
    <row r="4" ht="22" customHeight="1">
      <c r="A4" s="66" t="inlineStr">
        <is>
          <t>Task ID</t>
        </is>
      </c>
      <c r="B4" s="66" t="inlineStr">
        <is>
          <t>Project ID</t>
        </is>
      </c>
      <c r="C4" s="66" t="inlineStr">
        <is>
          <t>Room ID</t>
        </is>
      </c>
      <c r="D4" s="66" t="inlineStr">
        <is>
          <t>Title</t>
        </is>
      </c>
      <c r="E4" s="66" t="inlineStr">
        <is>
          <t>Description</t>
        </is>
      </c>
      <c r="F4" s="66" t="inlineStr">
        <is>
          <t>Assignee</t>
        </is>
      </c>
      <c r="G4" s="66" t="inlineStr">
        <is>
          <t>Role</t>
        </is>
      </c>
      <c r="H4" s="66" t="inlineStr">
        <is>
          <t>Status</t>
        </is>
      </c>
      <c r="I4" s="66" t="inlineStr">
        <is>
          <t>Priority</t>
        </is>
      </c>
      <c r="J4" s="66" t="inlineStr">
        <is>
          <t>Start</t>
        </is>
      </c>
      <c r="K4" s="66" t="inlineStr">
        <is>
          <t>Deadline</t>
        </is>
      </c>
      <c r="L4" s="66" t="inlineStr">
        <is>
          <t>Cost</t>
        </is>
      </c>
      <c r="M4" s="66" t="inlineStr">
        <is>
          <t>Depends On</t>
        </is>
      </c>
      <c r="N4" s="66" t="inlineStr">
        <is>
          <t>% Complete</t>
        </is>
      </c>
      <c r="O4" s="66" t="inlineStr">
        <is>
          <t>Attachments / Comments</t>
        </is>
      </c>
      <c r="P4" s="66" t="inlineStr">
        <is>
          <t>Days Left</t>
        </is>
      </c>
      <c r="Q4" s="66" t="inlineStr">
        <is>
          <t>Health</t>
        </is>
      </c>
    </row>
    <row r="5" ht="18" customHeight="1">
      <c r="A5" s="67" t="inlineStr">
        <is>
          <t>TSK-001</t>
        </is>
      </c>
      <c r="B5" s="67" t="inlineStr">
        <is>
          <t>PRJ-001</t>
        </is>
      </c>
      <c r="C5" s="67" t="inlineStr"/>
      <c r="D5" s="67" t="inlineStr">
        <is>
          <t>Kickoff + scope lock</t>
        </is>
      </c>
      <c r="E5" s="68" t="inlineStr">
        <is>
          <t>Confirm rooms, budget, style.</t>
        </is>
      </c>
      <c r="F5" s="68" t="inlineStr">
        <is>
          <t>Marcus Webb</t>
        </is>
      </c>
      <c r="G5" s="68" t="inlineStr">
        <is>
          <t>Project Manager</t>
        </is>
      </c>
      <c r="H5" s="67" t="inlineStr">
        <is>
          <t>Completed</t>
        </is>
      </c>
      <c r="I5" s="67" t="inlineStr">
        <is>
          <t>High</t>
        </is>
      </c>
      <c r="J5" s="70" t="n">
        <v>46082</v>
      </c>
      <c r="K5" s="69" t="n">
        <v>46089</v>
      </c>
      <c r="L5" s="83" t="n">
        <v>0</v>
      </c>
      <c r="M5" s="67" t="inlineStr"/>
      <c r="N5" s="105" t="n">
        <v>1</v>
      </c>
      <c r="O5" s="67" t="inlineStr">
        <is>
          <t>drive/notes/kickoff</t>
        </is>
      </c>
      <c r="P5" s="74">
        <f>IF(OR($A5="",$K5=""),"", $K5-AsOfDate)</f>
        <v/>
      </c>
      <c r="Q5" s="74">
        <f>IF($A5="","",IF($H5="Completed","Done",IF($K5&lt;AsOfDate,"Overdue",IF($K5&lt;=AsOfDate+7,"Due Soon","On Track"))))</f>
        <v/>
      </c>
    </row>
    <row r="6" ht="18" customHeight="1">
      <c r="A6" s="75" t="inlineStr">
        <is>
          <t>TSK-002</t>
        </is>
      </c>
      <c r="B6" s="75" t="inlineStr">
        <is>
          <t>PRJ-001</t>
        </is>
      </c>
      <c r="C6" s="75" t="inlineStr">
        <is>
          <t>RM-01</t>
        </is>
      </c>
      <c r="D6" s="75" t="inlineStr">
        <is>
          <t>Kitchen measured drawings</t>
        </is>
      </c>
      <c r="E6" s="76" t="inlineStr">
        <is>
          <t>Field measure + as-builts.</t>
        </is>
      </c>
      <c r="F6" s="76" t="inlineStr">
        <is>
          <t>Sofia Alvarez</t>
        </is>
      </c>
      <c r="G6" s="76" t="inlineStr">
        <is>
          <t>Interior Designer</t>
        </is>
      </c>
      <c r="H6" s="75" t="inlineStr">
        <is>
          <t>Completed</t>
        </is>
      </c>
      <c r="I6" s="75" t="inlineStr">
        <is>
          <t>High</t>
        </is>
      </c>
      <c r="J6" s="78" t="n">
        <v>46091</v>
      </c>
      <c r="K6" s="77" t="n">
        <v>46101</v>
      </c>
      <c r="L6" s="87" t="n">
        <v>0</v>
      </c>
      <c r="M6" s="75" t="inlineStr"/>
      <c r="N6" s="107" t="n">
        <v>1</v>
      </c>
      <c r="O6" s="75" t="inlineStr"/>
      <c r="P6" s="74">
        <f>IF(OR($A6="",$K6=""),"", $K6-AsOfDate)</f>
        <v/>
      </c>
      <c r="Q6" s="74">
        <f>IF($A6="","",IF($H6="Completed","Done",IF($K6&lt;AsOfDate,"Overdue",IF($K6&lt;=AsOfDate+7,"Due Soon","On Track"))))</f>
        <v/>
      </c>
    </row>
    <row r="7" ht="18" customHeight="1">
      <c r="A7" s="67" t="inlineStr">
        <is>
          <t>TSK-003</t>
        </is>
      </c>
      <c r="B7" s="67" t="inlineStr">
        <is>
          <t>PRJ-001</t>
        </is>
      </c>
      <c r="C7" s="67" t="inlineStr"/>
      <c r="D7" s="67" t="inlineStr">
        <is>
          <t>Submit building permit</t>
        </is>
      </c>
      <c r="E7" s="68" t="inlineStr">
        <is>
          <t>Packet to City of Portland.</t>
        </is>
      </c>
      <c r="F7" s="68" t="inlineStr">
        <is>
          <t>Marcus Webb</t>
        </is>
      </c>
      <c r="G7" s="68" t="inlineStr">
        <is>
          <t>Project Manager</t>
        </is>
      </c>
      <c r="H7" s="67" t="inlineStr">
        <is>
          <t>Completed</t>
        </is>
      </c>
      <c r="I7" s="67" t="inlineStr">
        <is>
          <t>Critical</t>
        </is>
      </c>
      <c r="J7" s="70" t="n">
        <v>46113</v>
      </c>
      <c r="K7" s="69" t="n">
        <v>46122</v>
      </c>
      <c r="L7" s="83" t="n">
        <v>840</v>
      </c>
      <c r="M7" s="67" t="inlineStr"/>
      <c r="N7" s="105" t="n">
        <v>1</v>
      </c>
      <c r="O7" s="67" t="inlineStr"/>
      <c r="P7" s="74">
        <f>IF(OR($A7="",$K7=""),"", $K7-AsOfDate)</f>
        <v/>
      </c>
      <c r="Q7" s="74">
        <f>IF($A7="","",IF($H7="Completed","Done",IF($K7&lt;AsOfDate,"Overdue",IF($K7&lt;=AsOfDate+7,"Due Soon","On Track"))))</f>
        <v/>
      </c>
    </row>
    <row r="8" ht="18" customHeight="1">
      <c r="A8" s="75" t="inlineStr">
        <is>
          <t>TSK-004</t>
        </is>
      </c>
      <c r="B8" s="75" t="inlineStr">
        <is>
          <t>PRJ-001</t>
        </is>
      </c>
      <c r="C8" s="75" t="inlineStr">
        <is>
          <t>RM-01</t>
        </is>
      </c>
      <c r="D8" s="75" t="inlineStr">
        <is>
          <t>Kitchen demolition</t>
        </is>
      </c>
      <c r="E8" s="76" t="inlineStr">
        <is>
          <t>Cabinets, floor, plaster.</t>
        </is>
      </c>
      <c r="F8" s="76" t="inlineStr">
        <is>
          <t>Marcus Webb</t>
        </is>
      </c>
      <c r="G8" s="76" t="inlineStr">
        <is>
          <t>Project Manager</t>
        </is>
      </c>
      <c r="H8" s="75" t="inlineStr">
        <is>
          <t>Completed</t>
        </is>
      </c>
      <c r="I8" s="75" t="inlineStr">
        <is>
          <t>High</t>
        </is>
      </c>
      <c r="J8" s="78" t="n">
        <v>46163</v>
      </c>
      <c r="K8" s="77" t="n">
        <v>46178</v>
      </c>
      <c r="L8" s="87" t="n">
        <v>2800</v>
      </c>
      <c r="M8" s="75" t="inlineStr">
        <is>
          <t>TSK-003</t>
        </is>
      </c>
      <c r="N8" s="107" t="n">
        <v>1</v>
      </c>
      <c r="O8" s="75" t="inlineStr">
        <is>
          <t>drive/photos/demo</t>
        </is>
      </c>
      <c r="P8" s="74">
        <f>IF(OR($A8="",$K8=""),"", $K8-AsOfDate)</f>
        <v/>
      </c>
      <c r="Q8" s="74">
        <f>IF($A8="","",IF($H8="Completed","Done",IF($K8&lt;AsOfDate,"Overdue",IF($K8&lt;=AsOfDate+7,"Due Soon","On Track"))))</f>
        <v/>
      </c>
    </row>
    <row r="9" ht="18" customHeight="1">
      <c r="A9" s="67" t="inlineStr">
        <is>
          <t>TSK-005</t>
        </is>
      </c>
      <c r="B9" s="67" t="inlineStr">
        <is>
          <t>PRJ-001</t>
        </is>
      </c>
      <c r="C9" s="67" t="inlineStr">
        <is>
          <t>RM-01</t>
        </is>
      </c>
      <c r="D9" s="67" t="inlineStr">
        <is>
          <t>Electrical rough-in</t>
        </is>
      </c>
      <c r="E9" s="68" t="inlineStr">
        <is>
          <t>New circuits, island, lighting.</t>
        </is>
      </c>
      <c r="F9" s="68" t="inlineStr">
        <is>
          <t>Jordan Hale</t>
        </is>
      </c>
      <c r="G9" s="68" t="inlineStr">
        <is>
          <t>Subcontractor</t>
        </is>
      </c>
      <c r="H9" s="67" t="inlineStr">
        <is>
          <t>Completed</t>
        </is>
      </c>
      <c r="I9" s="67" t="inlineStr">
        <is>
          <t>High</t>
        </is>
      </c>
      <c r="J9" s="70" t="n">
        <v>46174</v>
      </c>
      <c r="K9" s="69" t="n">
        <v>46193</v>
      </c>
      <c r="L9" s="83" t="n">
        <v>1900</v>
      </c>
      <c r="M9" s="67" t="inlineStr">
        <is>
          <t>TSK-004</t>
        </is>
      </c>
      <c r="N9" s="105" t="n">
        <v>1</v>
      </c>
      <c r="O9" s="67" t="inlineStr"/>
      <c r="P9" s="74">
        <f>IF(OR($A9="",$K9=""),"", $K9-AsOfDate)</f>
        <v/>
      </c>
      <c r="Q9" s="74">
        <f>IF($A9="","",IF($H9="Completed","Done",IF($K9&lt;AsOfDate,"Overdue",IF($K9&lt;=AsOfDate+7,"Due Soon","On Track"))))</f>
        <v/>
      </c>
    </row>
    <row r="10" ht="18" customHeight="1">
      <c r="A10" s="75" t="inlineStr">
        <is>
          <t>TSK-006</t>
        </is>
      </c>
      <c r="B10" s="75" t="inlineStr">
        <is>
          <t>PRJ-001</t>
        </is>
      </c>
      <c r="C10" s="75" t="inlineStr">
        <is>
          <t>RM-03</t>
        </is>
      </c>
      <c r="D10" s="75" t="inlineStr">
        <is>
          <t>Plumbing rough-in</t>
        </is>
      </c>
      <c r="E10" s="76" t="inlineStr">
        <is>
          <t>Bath + laundry + kitchen stub.</t>
        </is>
      </c>
      <c r="F10" s="76" t="inlineStr">
        <is>
          <t>Sam Ortiz</t>
        </is>
      </c>
      <c r="G10" s="76" t="inlineStr">
        <is>
          <t>Contractor</t>
        </is>
      </c>
      <c r="H10" s="75" t="inlineStr">
        <is>
          <t>Completed</t>
        </is>
      </c>
      <c r="I10" s="75" t="inlineStr">
        <is>
          <t>High</t>
        </is>
      </c>
      <c r="J10" s="78" t="n">
        <v>46181</v>
      </c>
      <c r="K10" s="77" t="n">
        <v>46201</v>
      </c>
      <c r="L10" s="87" t="n">
        <v>2400</v>
      </c>
      <c r="M10" s="75" t="inlineStr">
        <is>
          <t>TSK-004</t>
        </is>
      </c>
      <c r="N10" s="107" t="n">
        <v>1</v>
      </c>
      <c r="O10" s="75" t="inlineStr"/>
      <c r="P10" s="74">
        <f>IF(OR($A10="",$K10=""),"", $K10-AsOfDate)</f>
        <v/>
      </c>
      <c r="Q10" s="74">
        <f>IF($A10="","",IF($H10="Completed","Done",IF($K10&lt;AsOfDate,"Overdue",IF($K10&lt;=AsOfDate+7,"Due Soon","On Track"))))</f>
        <v/>
      </c>
    </row>
    <row r="11" ht="18" customHeight="1">
      <c r="A11" s="67" t="inlineStr">
        <is>
          <t>TSK-007</t>
        </is>
      </c>
      <c r="B11" s="67" t="inlineStr">
        <is>
          <t>PRJ-001</t>
        </is>
      </c>
      <c r="C11" s="67" t="inlineStr">
        <is>
          <t>RM-03</t>
        </is>
      </c>
      <c r="D11" s="67" t="inlineStr">
        <is>
          <t>Heated floor install</t>
        </is>
      </c>
      <c r="E11" s="68" t="inlineStr">
        <is>
          <t>WarmFloor mat + thermostat.</t>
        </is>
      </c>
      <c r="F11" s="68" t="inlineStr">
        <is>
          <t>Sam Ortiz</t>
        </is>
      </c>
      <c r="G11" s="68" t="inlineStr">
        <is>
          <t>Contractor</t>
        </is>
      </c>
      <c r="H11" s="67" t="inlineStr">
        <is>
          <t>Completed</t>
        </is>
      </c>
      <c r="I11" s="67" t="inlineStr">
        <is>
          <t>Medium</t>
        </is>
      </c>
      <c r="J11" s="70" t="n">
        <v>46205</v>
      </c>
      <c r="K11" s="69" t="n">
        <v>46209</v>
      </c>
      <c r="L11" s="83" t="n">
        <v>1680</v>
      </c>
      <c r="M11" s="67" t="inlineStr">
        <is>
          <t>TSK-006</t>
        </is>
      </c>
      <c r="N11" s="105" t="n">
        <v>1</v>
      </c>
      <c r="O11" s="67" t="inlineStr"/>
      <c r="P11" s="74">
        <f>IF(OR($A11="",$K11=""),"", $K11-AsOfDate)</f>
        <v/>
      </c>
      <c r="Q11" s="74">
        <f>IF($A11="","",IF($H11="Completed","Done",IF($K11&lt;AsOfDate,"Overdue",IF($K11&lt;=AsOfDate+7,"Due Soon","On Track"))))</f>
        <v/>
      </c>
    </row>
    <row r="12" ht="18" customHeight="1">
      <c r="A12" s="75" t="inlineStr">
        <is>
          <t>TSK-008</t>
        </is>
      </c>
      <c r="B12" s="75" t="inlineStr">
        <is>
          <t>PRJ-001</t>
        </is>
      </c>
      <c r="C12" s="75" t="inlineStr">
        <is>
          <t>RM-03</t>
        </is>
      </c>
      <c r="D12" s="75" t="inlineStr">
        <is>
          <t>Tile primary bath</t>
        </is>
      </c>
      <c r="E12" s="76" t="inlineStr">
        <is>
          <t>Floor, shower, niche.</t>
        </is>
      </c>
      <c r="F12" s="76" t="inlineStr">
        <is>
          <t>Priya Shah</t>
        </is>
      </c>
      <c r="G12" s="76" t="inlineStr">
        <is>
          <t>Contractor</t>
        </is>
      </c>
      <c r="H12" s="75" t="inlineStr">
        <is>
          <t>Completed</t>
        </is>
      </c>
      <c r="I12" s="75" t="inlineStr">
        <is>
          <t>High</t>
        </is>
      </c>
      <c r="J12" s="78" t="n">
        <v>46211</v>
      </c>
      <c r="K12" s="77" t="n">
        <v>46242</v>
      </c>
      <c r="L12" s="87" t="n">
        <v>4200</v>
      </c>
      <c r="M12" s="75" t="inlineStr">
        <is>
          <t>TSK-007</t>
        </is>
      </c>
      <c r="N12" s="107" t="n">
        <v>1</v>
      </c>
      <c r="O12" s="75" t="inlineStr"/>
      <c r="P12" s="74">
        <f>IF(OR($A12="",$K12=""),"", $K12-AsOfDate)</f>
        <v/>
      </c>
      <c r="Q12" s="74">
        <f>IF($A12="","",IF($H12="Completed","Done",IF($K12&lt;AsOfDate,"Overdue",IF($K12&lt;=AsOfDate+7,"Due Soon","On Track"))))</f>
        <v/>
      </c>
    </row>
    <row r="13" ht="18" customHeight="1">
      <c r="A13" s="67" t="inlineStr">
        <is>
          <t>TSK-009</t>
        </is>
      </c>
      <c r="B13" s="67" t="inlineStr">
        <is>
          <t>PRJ-001</t>
        </is>
      </c>
      <c r="C13" s="67" t="inlineStr">
        <is>
          <t>RM-03</t>
        </is>
      </c>
      <c r="D13" s="67" t="inlineStr">
        <is>
          <t>Bath fixture trim</t>
        </is>
      </c>
      <c r="E13" s="68" t="inlineStr">
        <is>
          <t>Valve trims, vanity, toilet, glass.</t>
        </is>
      </c>
      <c r="F13" s="68" t="inlineStr">
        <is>
          <t>Sam Ortiz</t>
        </is>
      </c>
      <c r="G13" s="68" t="inlineStr">
        <is>
          <t>Contractor</t>
        </is>
      </c>
      <c r="H13" s="67" t="inlineStr">
        <is>
          <t>Completed</t>
        </is>
      </c>
      <c r="I13" s="67" t="inlineStr">
        <is>
          <t>High</t>
        </is>
      </c>
      <c r="J13" s="70" t="n">
        <v>46243</v>
      </c>
      <c r="K13" s="69" t="n">
        <v>46248</v>
      </c>
      <c r="L13" s="83" t="n">
        <v>1460</v>
      </c>
      <c r="M13" s="67" t="inlineStr">
        <is>
          <t>TSK-008</t>
        </is>
      </c>
      <c r="N13" s="105" t="n">
        <v>1</v>
      </c>
      <c r="O13" s="67" t="inlineStr"/>
      <c r="P13" s="74">
        <f>IF(OR($A13="",$K13=""),"", $K13-AsOfDate)</f>
        <v/>
      </c>
      <c r="Q13" s="74">
        <f>IF($A13="","",IF($H13="Completed","Done",IF($K13&lt;AsOfDate,"Overdue",IF($K13&lt;=AsOfDate+7,"Due Soon","On Track"))))</f>
        <v/>
      </c>
    </row>
    <row r="14" ht="18" customHeight="1">
      <c r="A14" s="75" t="inlineStr">
        <is>
          <t>TSK-010</t>
        </is>
      </c>
      <c r="B14" s="75" t="inlineStr">
        <is>
          <t>PRJ-001</t>
        </is>
      </c>
      <c r="C14" s="75" t="inlineStr">
        <is>
          <t>RM-03</t>
        </is>
      </c>
      <c r="D14" s="75" t="inlineStr">
        <is>
          <t>Primary bath punch</t>
        </is>
      </c>
      <c r="E14" s="76" t="inlineStr">
        <is>
          <t>Silicone, grout haze, door align.</t>
        </is>
      </c>
      <c r="F14" s="76" t="inlineStr">
        <is>
          <t>Priya Shah</t>
        </is>
      </c>
      <c r="G14" s="76" t="inlineStr">
        <is>
          <t>Contractor</t>
        </is>
      </c>
      <c r="H14" s="75" t="inlineStr">
        <is>
          <t>Inspection</t>
        </is>
      </c>
      <c r="I14" s="75" t="inlineStr">
        <is>
          <t>Medium</t>
        </is>
      </c>
      <c r="J14" s="78" t="n">
        <v>46252</v>
      </c>
      <c r="K14" s="77" t="n">
        <v>46260</v>
      </c>
      <c r="L14" s="87" t="n">
        <v>0</v>
      </c>
      <c r="M14" s="75" t="inlineStr">
        <is>
          <t>TSK-009</t>
        </is>
      </c>
      <c r="N14" s="107" t="n">
        <v>0.8</v>
      </c>
      <c r="O14" s="75" t="inlineStr"/>
      <c r="P14" s="74">
        <f>IF(OR($A14="",$K14=""),"", $K14-AsOfDate)</f>
        <v/>
      </c>
      <c r="Q14" s="74">
        <f>IF($A14="","",IF($H14="Completed","Done",IF($K14&lt;AsOfDate,"Overdue",IF($K14&lt;=AsOfDate+7,"Due Soon","On Track"))))</f>
        <v/>
      </c>
    </row>
    <row r="15" ht="18" customHeight="1">
      <c r="A15" s="67" t="inlineStr">
        <is>
          <t>TSK-011</t>
        </is>
      </c>
      <c r="B15" s="67" t="inlineStr">
        <is>
          <t>PRJ-001</t>
        </is>
      </c>
      <c r="C15" s="67" t="inlineStr">
        <is>
          <t>RM-07</t>
        </is>
      </c>
      <c r="D15" s="67" t="inlineStr">
        <is>
          <t>Laundry complete</t>
        </is>
      </c>
      <c r="E15" s="68" t="inlineStr">
        <is>
          <t>Tile splash + utility sink.</t>
        </is>
      </c>
      <c r="F15" s="68" t="inlineStr">
        <is>
          <t>Sam Ortiz</t>
        </is>
      </c>
      <c r="G15" s="68" t="inlineStr">
        <is>
          <t>Contractor</t>
        </is>
      </c>
      <c r="H15" s="67" t="inlineStr">
        <is>
          <t>Completed</t>
        </is>
      </c>
      <c r="I15" s="67" t="inlineStr">
        <is>
          <t>Low</t>
        </is>
      </c>
      <c r="J15" s="70" t="n">
        <v>46221</v>
      </c>
      <c r="K15" s="69" t="n">
        <v>46227</v>
      </c>
      <c r="L15" s="83" t="n">
        <v>1840</v>
      </c>
      <c r="M15" s="67" t="inlineStr"/>
      <c r="N15" s="105" t="n">
        <v>1</v>
      </c>
      <c r="O15" s="67" t="inlineStr"/>
      <c r="P15" s="74">
        <f>IF(OR($A15="",$K15=""),"", $K15-AsOfDate)</f>
        <v/>
      </c>
      <c r="Q15" s="74">
        <f>IF($A15="","",IF($H15="Completed","Done",IF($K15&lt;AsOfDate,"Overdue",IF($K15&lt;=AsOfDate+7,"Due Soon","On Track"))))</f>
        <v/>
      </c>
    </row>
    <row r="16" ht="18" customHeight="1">
      <c r="A16" s="75" t="inlineStr">
        <is>
          <t>TSK-012</t>
        </is>
      </c>
      <c r="B16" s="75" t="inlineStr">
        <is>
          <t>PRJ-001</t>
        </is>
      </c>
      <c r="C16" s="75" t="inlineStr">
        <is>
          <t>RM-01</t>
        </is>
      </c>
      <c r="D16" s="75" t="inlineStr">
        <is>
          <t>White oak flooring</t>
        </is>
      </c>
      <c r="E16" s="76" t="inlineStr">
        <is>
          <t>Install kitchen/living/dining.</t>
        </is>
      </c>
      <c r="F16" s="76" t="inlineStr">
        <is>
          <t>Elena Voss</t>
        </is>
      </c>
      <c r="G16" s="76" t="inlineStr">
        <is>
          <t>Contractor</t>
        </is>
      </c>
      <c r="H16" s="75" t="inlineStr">
        <is>
          <t>In Progress</t>
        </is>
      </c>
      <c r="I16" s="75" t="inlineStr">
        <is>
          <t>Critical</t>
        </is>
      </c>
      <c r="J16" s="78" t="n">
        <v>46239</v>
      </c>
      <c r="K16" s="77" t="n">
        <v>46262</v>
      </c>
      <c r="L16" s="87" t="n">
        <v>8200</v>
      </c>
      <c r="M16" s="75" t="inlineStr">
        <is>
          <t>TSK-005</t>
        </is>
      </c>
      <c r="N16" s="107" t="n">
        <v>0.75</v>
      </c>
      <c r="O16" s="75" t="inlineStr"/>
      <c r="P16" s="74">
        <f>IF(OR($A16="",$K16=""),"", $K16-AsOfDate)</f>
        <v/>
      </c>
      <c r="Q16" s="74">
        <f>IF($A16="","",IF($H16="Completed","Done",IF($K16&lt;AsOfDate,"Overdue",IF($K16&lt;=AsOfDate+7,"Due Soon","On Track"))))</f>
        <v/>
      </c>
    </row>
    <row r="17" ht="18" customHeight="1">
      <c r="A17" s="67" t="inlineStr">
        <is>
          <t>TSK-013</t>
        </is>
      </c>
      <c r="B17" s="67" t="inlineStr">
        <is>
          <t>PRJ-001</t>
        </is>
      </c>
      <c r="C17" s="67" t="inlineStr">
        <is>
          <t>RM-01</t>
        </is>
      </c>
      <c r="D17" s="67" t="inlineStr">
        <is>
          <t>Cabinet box set</t>
        </is>
      </c>
      <c r="E17" s="68" t="inlineStr">
        <is>
          <t>Set boxes, scribe, level island.</t>
        </is>
      </c>
      <c r="F17" s="68" t="inlineStr">
        <is>
          <t>Maya Chen</t>
        </is>
      </c>
      <c r="G17" s="68" t="inlineStr">
        <is>
          <t>Contractor</t>
        </is>
      </c>
      <c r="H17" s="67" t="inlineStr">
        <is>
          <t>In Progress</t>
        </is>
      </c>
      <c r="I17" s="67" t="inlineStr">
        <is>
          <t>Critical</t>
        </is>
      </c>
      <c r="J17" s="70" t="n">
        <v>46254</v>
      </c>
      <c r="K17" s="69" t="n">
        <v>46261</v>
      </c>
      <c r="L17" s="83" t="n">
        <v>0</v>
      </c>
      <c r="M17" s="67" t="inlineStr">
        <is>
          <t>TSK-012</t>
        </is>
      </c>
      <c r="N17" s="105" t="n">
        <v>0.55</v>
      </c>
      <c r="O17" s="67" t="inlineStr"/>
      <c r="P17" s="74">
        <f>IF(OR($A17="",$K17=""),"", $K17-AsOfDate)</f>
        <v/>
      </c>
      <c r="Q17" s="74">
        <f>IF($A17="","",IF($H17="Completed","Done",IF($K17&lt;AsOfDate,"Overdue",IF($K17&lt;=AsOfDate+7,"Due Soon","On Track"))))</f>
        <v/>
      </c>
    </row>
    <row r="18" ht="18" customHeight="1">
      <c r="A18" s="75" t="inlineStr">
        <is>
          <t>TSK-014</t>
        </is>
      </c>
      <c r="B18" s="75" t="inlineStr">
        <is>
          <t>PRJ-001</t>
        </is>
      </c>
      <c r="C18" s="75" t="inlineStr">
        <is>
          <t>RM-01</t>
        </is>
      </c>
      <c r="D18" s="75" t="inlineStr">
        <is>
          <t>Cabinet doors + hardware</t>
        </is>
      </c>
      <c r="E18" s="76" t="inlineStr">
        <is>
          <t>Hang doors, install pulls.</t>
        </is>
      </c>
      <c r="F18" s="76" t="inlineStr">
        <is>
          <t>Maya Chen</t>
        </is>
      </c>
      <c r="G18" s="76" t="inlineStr">
        <is>
          <t>Contractor</t>
        </is>
      </c>
      <c r="H18" s="75" t="inlineStr">
        <is>
          <t>Scheduled</t>
        </is>
      </c>
      <c r="I18" s="75" t="inlineStr">
        <is>
          <t>Critical</t>
        </is>
      </c>
      <c r="J18" s="78" t="n">
        <v>46262</v>
      </c>
      <c r="K18" s="77" t="n">
        <v>46270</v>
      </c>
      <c r="L18" s="87" t="n">
        <v>0</v>
      </c>
      <c r="M18" s="75" t="inlineStr">
        <is>
          <t>TSK-013</t>
        </is>
      </c>
      <c r="N18" s="107" t="n">
        <v>0</v>
      </c>
      <c r="O18" s="75" t="inlineStr">
        <is>
          <t>Hardware in transit</t>
        </is>
      </c>
      <c r="P18" s="74">
        <f>IF(OR($A18="",$K18=""),"", $K18-AsOfDate)</f>
        <v/>
      </c>
      <c r="Q18" s="74">
        <f>IF($A18="","",IF($H18="Completed","Done",IF($K18&lt;AsOfDate,"Overdue",IF($K18&lt;=AsOfDate+7,"Due Soon","On Track"))))</f>
        <v/>
      </c>
    </row>
    <row r="19" ht="18" customHeight="1">
      <c r="A19" s="67" t="inlineStr">
        <is>
          <t>TSK-015</t>
        </is>
      </c>
      <c r="B19" s="67" t="inlineStr">
        <is>
          <t>PRJ-001</t>
        </is>
      </c>
      <c r="C19" s="67" t="inlineStr">
        <is>
          <t>RM-01</t>
        </is>
      </c>
      <c r="D19" s="67" t="inlineStr">
        <is>
          <t>Counter template</t>
        </is>
      </c>
      <c r="E19" s="68" t="inlineStr">
        <is>
          <t>Quartz + island porcelain.</t>
        </is>
      </c>
      <c r="F19" s="68" t="inlineStr">
        <is>
          <t>Heritage Tile</t>
        </is>
      </c>
      <c r="G19" s="68" t="inlineStr">
        <is>
          <t>Contractor</t>
        </is>
      </c>
      <c r="H19" s="67" t="inlineStr">
        <is>
          <t>Scheduled</t>
        </is>
      </c>
      <c r="I19" s="67" t="inlineStr">
        <is>
          <t>High</t>
        </is>
      </c>
      <c r="J19" s="70" t="n">
        <v>46269</v>
      </c>
      <c r="K19" s="69" t="n">
        <v>46269</v>
      </c>
      <c r="L19" s="83" t="n">
        <v>0</v>
      </c>
      <c r="M19" s="67" t="inlineStr">
        <is>
          <t>TSK-014</t>
        </is>
      </c>
      <c r="N19" s="105" t="n">
        <v>0</v>
      </c>
      <c r="O19" s="67" t="inlineStr"/>
      <c r="P19" s="74">
        <f>IF(OR($A19="",$K19=""),"", $K19-AsOfDate)</f>
        <v/>
      </c>
      <c r="Q19" s="74">
        <f>IF($A19="","",IF($H19="Completed","Done",IF($K19&lt;AsOfDate,"Overdue",IF($K19&lt;=AsOfDate+7,"Due Soon","On Track"))))</f>
        <v/>
      </c>
    </row>
    <row r="20" ht="18" customHeight="1">
      <c r="A20" s="75" t="inlineStr">
        <is>
          <t>TSK-016</t>
        </is>
      </c>
      <c r="B20" s="75" t="inlineStr">
        <is>
          <t>PRJ-001</t>
        </is>
      </c>
      <c r="C20" s="75" t="inlineStr">
        <is>
          <t>RM-01</t>
        </is>
      </c>
      <c r="D20" s="75" t="inlineStr">
        <is>
          <t>Counter install</t>
        </is>
      </c>
      <c r="E20" s="76" t="inlineStr">
        <is>
          <t>Set, seam, sink.</t>
        </is>
      </c>
      <c r="F20" s="76" t="inlineStr">
        <is>
          <t>Heritage Tile</t>
        </is>
      </c>
      <c r="G20" s="76" t="inlineStr">
        <is>
          <t>Contractor</t>
        </is>
      </c>
      <c r="H20" s="75" t="inlineStr">
        <is>
          <t>To Do</t>
        </is>
      </c>
      <c r="I20" s="75" t="inlineStr">
        <is>
          <t>High</t>
        </is>
      </c>
      <c r="J20" s="78" t="n">
        <v>46275</v>
      </c>
      <c r="K20" s="77" t="n">
        <v>46276</v>
      </c>
      <c r="L20" s="87" t="n">
        <v>1860</v>
      </c>
      <c r="M20" s="75" t="inlineStr">
        <is>
          <t>TSK-015</t>
        </is>
      </c>
      <c r="N20" s="107" t="n">
        <v>0</v>
      </c>
      <c r="O20" s="75" t="inlineStr"/>
      <c r="P20" s="74">
        <f>IF(OR($A20="",$K20=""),"", $K20-AsOfDate)</f>
        <v/>
      </c>
      <c r="Q20" s="74">
        <f>IF($A20="","",IF($H20="Completed","Done",IF($K20&lt;AsOfDate,"Overdue",IF($K20&lt;=AsOfDate+7,"Due Soon","On Track"))))</f>
        <v/>
      </c>
    </row>
    <row r="21" ht="18" customHeight="1">
      <c r="A21" s="67" t="inlineStr">
        <is>
          <t>TSK-017</t>
        </is>
      </c>
      <c r="B21" s="67" t="inlineStr">
        <is>
          <t>PRJ-001</t>
        </is>
      </c>
      <c r="C21" s="67" t="inlineStr">
        <is>
          <t>RM-01</t>
        </is>
      </c>
      <c r="D21" s="67" t="inlineStr">
        <is>
          <t>Appliance delivery</t>
        </is>
      </c>
      <c r="E21" s="68" t="inlineStr">
        <is>
          <t>Range, fridge, DW.</t>
        </is>
      </c>
      <c r="F21" s="68" t="inlineStr">
        <is>
          <t>Alex Rivera</t>
        </is>
      </c>
      <c r="G21" s="68" t="inlineStr">
        <is>
          <t>Homeowner</t>
        </is>
      </c>
      <c r="H21" s="67" t="inlineStr">
        <is>
          <t>Scheduled</t>
        </is>
      </c>
      <c r="I21" s="67" t="inlineStr">
        <is>
          <t>High</t>
        </is>
      </c>
      <c r="J21" s="70" t="n">
        <v>46277</v>
      </c>
      <c r="K21" s="69" t="n">
        <v>46277</v>
      </c>
      <c r="L21" s="83" t="n">
        <v>2700</v>
      </c>
      <c r="M21" s="67" t="inlineStr">
        <is>
          <t>TSK-016</t>
        </is>
      </c>
      <c r="N21" s="105" t="n">
        <v>0</v>
      </c>
      <c r="O21" s="67" t="inlineStr"/>
      <c r="P21" s="74">
        <f>IF(OR($A21="",$K21=""),"", $K21-AsOfDate)</f>
        <v/>
      </c>
      <c r="Q21" s="74">
        <f>IF($A21="","",IF($H21="Completed","Done",IF($K21&lt;AsOfDate,"Overdue",IF($K21&lt;=AsOfDate+7,"Due Soon","On Track"))))</f>
        <v/>
      </c>
    </row>
    <row r="22" ht="18" customHeight="1">
      <c r="A22" s="75" t="inlineStr">
        <is>
          <t>TSK-018</t>
        </is>
      </c>
      <c r="B22" s="75" t="inlineStr">
        <is>
          <t>PRJ-001</t>
        </is>
      </c>
      <c r="C22" s="75" t="inlineStr">
        <is>
          <t>RM-01</t>
        </is>
      </c>
      <c r="D22" s="75" t="inlineStr">
        <is>
          <t>Island pendant hang</t>
        </is>
      </c>
      <c r="E22" s="76" t="inlineStr">
        <is>
          <t>Three aged-brass pendants.</t>
        </is>
      </c>
      <c r="F22" s="76" t="inlineStr">
        <is>
          <t>Nina Cho</t>
        </is>
      </c>
      <c r="G22" s="76" t="inlineStr">
        <is>
          <t>Supplier</t>
        </is>
      </c>
      <c r="H22" s="75" t="inlineStr">
        <is>
          <t>To Do</t>
        </is>
      </c>
      <c r="I22" s="75" t="inlineStr">
        <is>
          <t>Medium</t>
        </is>
      </c>
      <c r="J22" s="78" t="n">
        <v>46281</v>
      </c>
      <c r="K22" s="77" t="n">
        <v>46281</v>
      </c>
      <c r="L22" s="87" t="n">
        <v>890</v>
      </c>
      <c r="M22" s="75" t="inlineStr">
        <is>
          <t>TSK-017</t>
        </is>
      </c>
      <c r="N22" s="107" t="n">
        <v>0</v>
      </c>
      <c r="O22" s="75" t="inlineStr"/>
      <c r="P22" s="74">
        <f>IF(OR($A22="",$K22=""),"", $K22-AsOfDate)</f>
        <v/>
      </c>
      <c r="Q22" s="74">
        <f>IF($A22="","",IF($H22="Completed","Done",IF($K22&lt;AsOfDate,"Overdue",IF($K22&lt;=AsOfDate+7,"Due Soon","On Track"))))</f>
        <v/>
      </c>
    </row>
    <row r="23" ht="18" customHeight="1">
      <c r="A23" s="67" t="inlineStr">
        <is>
          <t>TSK-019</t>
        </is>
      </c>
      <c r="B23" s="67" t="inlineStr">
        <is>
          <t>PRJ-001</t>
        </is>
      </c>
      <c r="C23" s="67" t="inlineStr">
        <is>
          <t>RM-04</t>
        </is>
      </c>
      <c r="D23" s="67" t="inlineStr">
        <is>
          <t>Guest bedroom paint</t>
        </is>
      </c>
      <c r="E23" s="68" t="inlineStr">
        <is>
          <t>Clay + linen palette.</t>
        </is>
      </c>
      <c r="F23" s="68" t="inlineStr">
        <is>
          <t>Leo Park</t>
        </is>
      </c>
      <c r="G23" s="68" t="inlineStr">
        <is>
          <t>Contractor</t>
        </is>
      </c>
      <c r="H23" s="67" t="inlineStr">
        <is>
          <t>Scheduled</t>
        </is>
      </c>
      <c r="I23" s="67" t="inlineStr">
        <is>
          <t>Medium</t>
        </is>
      </c>
      <c r="J23" s="70" t="n">
        <v>46275</v>
      </c>
      <c r="K23" s="69" t="n">
        <v>46281</v>
      </c>
      <c r="L23" s="83" t="n">
        <v>240</v>
      </c>
      <c r="M23" s="67" t="inlineStr"/>
      <c r="N23" s="105" t="n">
        <v>0</v>
      </c>
      <c r="O23" s="67" t="inlineStr">
        <is>
          <t>Awaiting palette lock</t>
        </is>
      </c>
      <c r="P23" s="74">
        <f>IF(OR($A23="",$K23=""),"", $K23-AsOfDate)</f>
        <v/>
      </c>
      <c r="Q23" s="74">
        <f>IF($A23="","",IF($H23="Completed","Done",IF($K23&lt;AsOfDate,"Overdue",IF($K23&lt;=AsOfDate+7,"Due Soon","On Track"))))</f>
        <v/>
      </c>
    </row>
    <row r="24" ht="18" customHeight="1">
      <c r="A24" s="75" t="inlineStr">
        <is>
          <t>TSK-020</t>
        </is>
      </c>
      <c r="B24" s="75" t="inlineStr">
        <is>
          <t>PRJ-001</t>
        </is>
      </c>
      <c r="C24" s="75" t="inlineStr">
        <is>
          <t>RM-05</t>
        </is>
      </c>
      <c r="D24" s="75" t="inlineStr">
        <is>
          <t>Dining plaster + paint</t>
        </is>
      </c>
      <c r="E24" s="76" t="inlineStr">
        <is>
          <t>Repair north wall, paint.</t>
        </is>
      </c>
      <c r="F24" s="76" t="inlineStr">
        <is>
          <t>Leo Park</t>
        </is>
      </c>
      <c r="G24" s="76" t="inlineStr">
        <is>
          <t>Contractor</t>
        </is>
      </c>
      <c r="H24" s="75" t="inlineStr">
        <is>
          <t>Scheduled</t>
        </is>
      </c>
      <c r="I24" s="75" t="inlineStr">
        <is>
          <t>Medium</t>
        </is>
      </c>
      <c r="J24" s="78" t="n">
        <v>46282</v>
      </c>
      <c r="K24" s="77" t="n">
        <v>46287</v>
      </c>
      <c r="L24" s="87" t="n">
        <v>0</v>
      </c>
      <c r="M24" s="75" t="inlineStr"/>
      <c r="N24" s="107" t="n">
        <v>0</v>
      </c>
      <c r="O24" s="75" t="inlineStr"/>
      <c r="P24" s="74">
        <f>IF(OR($A24="",$K24=""),"", $K24-AsOfDate)</f>
        <v/>
      </c>
      <c r="Q24" s="74">
        <f>IF($A24="","",IF($H24="Completed","Done",IF($K24&lt;AsOfDate,"Overdue",IF($K24&lt;=AsOfDate+7,"Due Soon","On Track"))))</f>
        <v/>
      </c>
    </row>
    <row r="25" ht="18" customHeight="1">
      <c r="A25" s="67" t="inlineStr">
        <is>
          <t>TSK-021</t>
        </is>
      </c>
      <c r="B25" s="67" t="inlineStr">
        <is>
          <t>PRJ-001</t>
        </is>
      </c>
      <c r="C25" s="67" t="inlineStr">
        <is>
          <t>RM-08</t>
        </is>
      </c>
      <c r="D25" s="67" t="inlineStr">
        <is>
          <t>Entry bench + rail</t>
        </is>
      </c>
      <c r="E25" s="68" t="inlineStr">
        <is>
          <t>White oak bench, brass hooks.</t>
        </is>
      </c>
      <c r="F25" s="68" t="inlineStr">
        <is>
          <t>Marcus Webb</t>
        </is>
      </c>
      <c r="G25" s="68" t="inlineStr">
        <is>
          <t>Project Manager</t>
        </is>
      </c>
      <c r="H25" s="67" t="inlineStr">
        <is>
          <t>In Progress</t>
        </is>
      </c>
      <c r="I25" s="67" t="inlineStr">
        <is>
          <t>Low</t>
        </is>
      </c>
      <c r="J25" s="70" t="n">
        <v>46252</v>
      </c>
      <c r="K25" s="69" t="n">
        <v>46263</v>
      </c>
      <c r="L25" s="83" t="n">
        <v>186</v>
      </c>
      <c r="M25" s="67" t="inlineStr"/>
      <c r="N25" s="105" t="n">
        <v>0.4</v>
      </c>
      <c r="O25" s="67" t="inlineStr"/>
      <c r="P25" s="74">
        <f>IF(OR($A25="",$K25=""),"", $K25-AsOfDate)</f>
        <v/>
      </c>
      <c r="Q25" s="74">
        <f>IF($A25="","",IF($H25="Completed","Done",IF($K25&lt;AsOfDate,"Overdue",IF($K25&lt;=AsOfDate+7,"Due Soon","On Track"))))</f>
        <v/>
      </c>
    </row>
    <row r="26" ht="18" customHeight="1">
      <c r="A26" s="75" t="inlineStr">
        <is>
          <t>TSK-022</t>
        </is>
      </c>
      <c r="B26" s="75" t="inlineStr">
        <is>
          <t>PRJ-001</t>
        </is>
      </c>
      <c r="C26" s="75" t="inlineStr">
        <is>
          <t>RM-02</t>
        </is>
      </c>
      <c r="D26" s="75" t="inlineStr">
        <is>
          <t>Living furniture order</t>
        </is>
      </c>
      <c r="E26" s="76" t="inlineStr">
        <is>
          <t>Sofa + table. 6-week lead.</t>
        </is>
      </c>
      <c r="F26" s="76" t="inlineStr">
        <is>
          <t>Sofia Alvarez</t>
        </is>
      </c>
      <c r="G26" s="76" t="inlineStr">
        <is>
          <t>Interior Designer</t>
        </is>
      </c>
      <c r="H26" s="75" t="inlineStr">
        <is>
          <t>To Do</t>
        </is>
      </c>
      <c r="I26" s="75" t="inlineStr">
        <is>
          <t>High</t>
        </is>
      </c>
      <c r="J26" s="78" t="n">
        <v>46266</v>
      </c>
      <c r="K26" s="77" t="n">
        <v>46266</v>
      </c>
      <c r="L26" s="87" t="n">
        <v>3400</v>
      </c>
      <c r="M26" s="75" t="inlineStr"/>
      <c r="N26" s="107" t="n">
        <v>0</v>
      </c>
      <c r="O26" s="75" t="inlineStr">
        <is>
          <t>Order by Sep 1</t>
        </is>
      </c>
      <c r="P26" s="74">
        <f>IF(OR($A26="",$K26=""),"", $K26-AsOfDate)</f>
        <v/>
      </c>
      <c r="Q26" s="74">
        <f>IF($A26="","",IF($H26="Completed","Done",IF($K26&lt;AsOfDate,"Overdue",IF($K26&lt;=AsOfDate+7,"Due Soon","On Track"))))</f>
        <v/>
      </c>
    </row>
    <row r="27" ht="18" customHeight="1">
      <c r="A27" s="67" t="inlineStr">
        <is>
          <t>TSK-023</t>
        </is>
      </c>
      <c r="B27" s="67" t="inlineStr">
        <is>
          <t>PRJ-001</t>
        </is>
      </c>
      <c r="C27" s="67" t="inlineStr">
        <is>
          <t>RM-06</t>
        </is>
      </c>
      <c r="D27" s="67" t="inlineStr">
        <is>
          <t>Exterior path layout</t>
        </is>
      </c>
      <c r="E27" s="68" t="inlineStr">
        <is>
          <t>Stake path, confirm stone.</t>
        </is>
      </c>
      <c r="F27" s="68" t="inlineStr">
        <is>
          <t>Theo Brooks</t>
        </is>
      </c>
      <c r="G27" s="68" t="inlineStr">
        <is>
          <t>Contractor</t>
        </is>
      </c>
      <c r="H27" s="67" t="inlineStr">
        <is>
          <t>To Do</t>
        </is>
      </c>
      <c r="I27" s="67" t="inlineStr">
        <is>
          <t>Low</t>
        </is>
      </c>
      <c r="J27" s="70" t="n">
        <v>46301</v>
      </c>
      <c r="K27" s="69" t="n">
        <v>46303</v>
      </c>
      <c r="L27" s="83" t="n">
        <v>0</v>
      </c>
      <c r="M27" s="67" t="inlineStr"/>
      <c r="N27" s="105" t="n">
        <v>0</v>
      </c>
      <c r="O27" s="67" t="inlineStr">
        <is>
          <t>Hold extras</t>
        </is>
      </c>
      <c r="P27" s="74">
        <f>IF(OR($A27="",$K27=""),"", $K27-AsOfDate)</f>
        <v/>
      </c>
      <c r="Q27" s="74">
        <f>IF($A27="","",IF($H27="Completed","Done",IF($K27&lt;AsOfDate,"Overdue",IF($K27&lt;=AsOfDate+7,"Due Soon","On Track"))))</f>
        <v/>
      </c>
    </row>
    <row r="28" ht="18" customHeight="1">
      <c r="A28" s="75" t="inlineStr">
        <is>
          <t>TSK-024</t>
        </is>
      </c>
      <c r="B28" s="75" t="inlineStr">
        <is>
          <t>PRJ-001</t>
        </is>
      </c>
      <c r="C28" s="75" t="inlineStr"/>
      <c r="D28" s="75" t="inlineStr">
        <is>
          <t>Final city inspection</t>
        </is>
      </c>
      <c r="E28" s="76" t="inlineStr">
        <is>
          <t>Building final.</t>
        </is>
      </c>
      <c r="F28" s="76" t="inlineStr">
        <is>
          <t>Riley Grant</t>
        </is>
      </c>
      <c r="G28" s="76" t="inlineStr">
        <is>
          <t>Inspector</t>
        </is>
      </c>
      <c r="H28" s="75" t="inlineStr">
        <is>
          <t>To Do</t>
        </is>
      </c>
      <c r="I28" s="75" t="inlineStr">
        <is>
          <t>Critical</t>
        </is>
      </c>
      <c r="J28" s="78" t="n">
        <v>46320</v>
      </c>
      <c r="K28" s="77" t="n">
        <v>46331</v>
      </c>
      <c r="L28" s="87" t="n">
        <v>175</v>
      </c>
      <c r="M28" s="75" t="inlineStr">
        <is>
          <t>TSK-018</t>
        </is>
      </c>
      <c r="N28" s="107" t="n">
        <v>0</v>
      </c>
      <c r="O28" s="75" t="inlineStr"/>
      <c r="P28" s="74">
        <f>IF(OR($A28="",$K28=""),"", $K28-AsOfDate)</f>
        <v/>
      </c>
      <c r="Q28" s="74">
        <f>IF($A28="","",IF($H28="Completed","Done",IF($K28&lt;AsOfDate,"Overdue",IF($K28&lt;=AsOfDate+7,"Due Soon","On Track"))))</f>
        <v/>
      </c>
    </row>
    <row r="29" ht="18" customHeight="1">
      <c r="A29" s="67" t="inlineStr">
        <is>
          <t>TSK-025</t>
        </is>
      </c>
      <c r="B29" s="67" t="inlineStr">
        <is>
          <t>PRJ-001</t>
        </is>
      </c>
      <c r="C29" s="67" t="inlineStr"/>
      <c r="D29" s="67" t="inlineStr">
        <is>
          <t>Homeowner walkthrough</t>
        </is>
      </c>
      <c r="E29" s="68" t="inlineStr">
        <is>
          <t>Punch list + handover packet.</t>
        </is>
      </c>
      <c r="F29" s="68" t="inlineStr">
        <is>
          <t>Marcus Webb</t>
        </is>
      </c>
      <c r="G29" s="68" t="inlineStr">
        <is>
          <t>Project Manager</t>
        </is>
      </c>
      <c r="H29" s="67" t="inlineStr">
        <is>
          <t>To Do</t>
        </is>
      </c>
      <c r="I29" s="67" t="inlineStr">
        <is>
          <t>High</t>
        </is>
      </c>
      <c r="J29" s="70" t="n">
        <v>46336</v>
      </c>
      <c r="K29" s="69" t="n">
        <v>46341</v>
      </c>
      <c r="L29" s="83" t="n">
        <v>0</v>
      </c>
      <c r="M29" s="67" t="inlineStr">
        <is>
          <t>TSK-024</t>
        </is>
      </c>
      <c r="N29" s="105" t="n">
        <v>0</v>
      </c>
      <c r="O29" s="67" t="inlineStr"/>
      <c r="P29" s="74">
        <f>IF(OR($A29="",$K29=""),"", $K29-AsOfDate)</f>
        <v/>
      </c>
      <c r="Q29" s="74">
        <f>IF($A29="","",IF($H29="Completed","Done",IF($K29&lt;AsOfDate,"Overdue",IF($K29&lt;=AsOfDate+7,"Due Soon","On Track"))))</f>
        <v/>
      </c>
    </row>
    <row r="30" ht="18" customHeight="1">
      <c r="A30" s="75" t="inlineStr">
        <is>
          <t>TSK-026</t>
        </is>
      </c>
      <c r="B30" s="75" t="inlineStr">
        <is>
          <t>PRJ-001</t>
        </is>
      </c>
      <c r="C30" s="75" t="inlineStr">
        <is>
          <t>RM-01</t>
        </is>
      </c>
      <c r="D30" s="75" t="inlineStr">
        <is>
          <t>Approve island slab</t>
        </is>
      </c>
      <c r="E30" s="76" t="inlineStr">
        <is>
          <t>Confirm porcelain vs leftover quartz.</t>
        </is>
      </c>
      <c r="F30" s="76" t="inlineStr">
        <is>
          <t>Alex Rivera</t>
        </is>
      </c>
      <c r="G30" s="76" t="inlineStr">
        <is>
          <t>Homeowner</t>
        </is>
      </c>
      <c r="H30" s="75" t="inlineStr">
        <is>
          <t>In Progress</t>
        </is>
      </c>
      <c r="I30" s="75" t="inlineStr">
        <is>
          <t>High</t>
        </is>
      </c>
      <c r="J30" s="78" t="n">
        <v>46256</v>
      </c>
      <c r="K30" s="77" t="n">
        <v>46259</v>
      </c>
      <c r="L30" s="87" t="n">
        <v>0</v>
      </c>
      <c r="M30" s="75" t="inlineStr">
        <is>
          <t>AI-001</t>
        </is>
      </c>
      <c r="N30" s="107" t="n">
        <v>0.5</v>
      </c>
      <c r="O30" s="75" t="inlineStr">
        <is>
          <t>Pending approval</t>
        </is>
      </c>
      <c r="P30" s="74">
        <f>IF(OR($A30="",$K30=""),"", $K30-AsOfDate)</f>
        <v/>
      </c>
      <c r="Q30" s="74">
        <f>IF($A30="","",IF($H30="Completed","Done",IF($K30&lt;AsOfDate,"Overdue",IF($K30&lt;=AsOfDate+7,"Due Soon","On Track"))))</f>
        <v/>
      </c>
    </row>
    <row r="31" ht="18" customHeight="1">
      <c r="A31" s="67" t="inlineStr">
        <is>
          <t>TSK-027</t>
        </is>
      </c>
      <c r="B31" s="67" t="inlineStr">
        <is>
          <t>PRJ-001</t>
        </is>
      </c>
      <c r="C31" s="67" t="inlineStr"/>
      <c r="D31" s="67" t="inlineStr">
        <is>
          <t>Weekly site meeting</t>
        </is>
      </c>
      <c r="E31" s="68" t="inlineStr">
        <is>
          <t>GC + designer + homeowner.</t>
        </is>
      </c>
      <c r="F31" s="68" t="inlineStr">
        <is>
          <t>Marcus Webb</t>
        </is>
      </c>
      <c r="G31" s="68" t="inlineStr">
        <is>
          <t>Project Manager</t>
        </is>
      </c>
      <c r="H31" s="67" t="inlineStr">
        <is>
          <t>Scheduled</t>
        </is>
      </c>
      <c r="I31" s="67" t="inlineStr">
        <is>
          <t>Medium</t>
        </is>
      </c>
      <c r="J31" s="70" t="n">
        <v>46259</v>
      </c>
      <c r="K31" s="69" t="n">
        <v>46259</v>
      </c>
      <c r="L31" s="83" t="n">
        <v>0</v>
      </c>
      <c r="M31" s="67" t="inlineStr"/>
      <c r="N31" s="105" t="n">
        <v>0</v>
      </c>
      <c r="O31" s="67" t="inlineStr">
        <is>
          <t>Tue 9:00</t>
        </is>
      </c>
      <c r="P31" s="74">
        <f>IF(OR($A31="",$K31=""),"", $K31-AsOfDate)</f>
        <v/>
      </c>
      <c r="Q31" s="74">
        <f>IF($A31="","",IF($H31="Completed","Done",IF($K31&lt;AsOfDate,"Overdue",IF($K31&lt;=AsOfDate+7,"Due Soon","On Track"))))</f>
        <v/>
      </c>
    </row>
    <row r="32" ht="18" customHeight="1">
      <c r="A32" s="75" t="inlineStr">
        <is>
          <t>TSK-028</t>
        </is>
      </c>
      <c r="B32" s="75" t="inlineStr">
        <is>
          <t>PRJ-002</t>
        </is>
      </c>
      <c r="C32" s="75" t="inlineStr">
        <is>
          <t>RM-09</t>
        </is>
      </c>
      <c r="D32" s="75" t="inlineStr">
        <is>
          <t>Cabin bath concept</t>
        </is>
      </c>
      <c r="E32" s="76" t="inlineStr">
        <is>
          <t>Japandi mood board lock.</t>
        </is>
      </c>
      <c r="F32" s="76" t="inlineStr">
        <is>
          <t>Sofia Alvarez</t>
        </is>
      </c>
      <c r="G32" s="76" t="inlineStr">
        <is>
          <t>Interior Designer</t>
        </is>
      </c>
      <c r="H32" s="75" t="inlineStr">
        <is>
          <t>In Progress</t>
        </is>
      </c>
      <c r="I32" s="75" t="inlineStr">
        <is>
          <t>Low</t>
        </is>
      </c>
      <c r="J32" s="78" t="n">
        <v>46235</v>
      </c>
      <c r="K32" s="77" t="n">
        <v>46280</v>
      </c>
      <c r="L32" s="87" t="n">
        <v>600</v>
      </c>
      <c r="M32" s="75" t="inlineStr"/>
      <c r="N32" s="107" t="n">
        <v>0.4</v>
      </c>
      <c r="O32" s="75" t="inlineStr"/>
      <c r="P32" s="74">
        <f>IF(OR($A32="",$K32=""),"", $K32-AsOfDate)</f>
        <v/>
      </c>
      <c r="Q32" s="74">
        <f>IF($A32="","",IF($H32="Completed","Done",IF($K32&lt;AsOfDate,"Overdue",IF($K32&lt;=AsOfDate+7,"Due Soon","On Track"))))</f>
        <v/>
      </c>
    </row>
    <row r="33" ht="18" customHeight="1">
      <c r="A33" s="67" t="inlineStr">
        <is>
          <t>TSK-029</t>
        </is>
      </c>
      <c r="B33" s="67" t="inlineStr">
        <is>
          <t>PRJ-001</t>
        </is>
      </c>
      <c r="C33" s="67" t="inlineStr">
        <is>
          <t>RM-01</t>
        </is>
      </c>
      <c r="D33" s="67" t="inlineStr">
        <is>
          <t>Backsplash layout</t>
        </is>
      </c>
      <c r="E33" s="68" t="inlineStr">
        <is>
          <t>Zellige sample on site.</t>
        </is>
      </c>
      <c r="F33" s="68" t="inlineStr">
        <is>
          <t>Sofia Alvarez</t>
        </is>
      </c>
      <c r="G33" s="68" t="inlineStr">
        <is>
          <t>Interior Designer</t>
        </is>
      </c>
      <c r="H33" s="67" t="inlineStr">
        <is>
          <t>Scheduled</t>
        </is>
      </c>
      <c r="I33" s="67" t="inlineStr">
        <is>
          <t>Medium</t>
        </is>
      </c>
      <c r="J33" s="70" t="n">
        <v>46273</v>
      </c>
      <c r="K33" s="69" t="n">
        <v>46274</v>
      </c>
      <c r="L33" s="83" t="n">
        <v>0</v>
      </c>
      <c r="M33" s="67" t="inlineStr">
        <is>
          <t>TSK-016</t>
        </is>
      </c>
      <c r="N33" s="105" t="n">
        <v>0</v>
      </c>
      <c r="O33" s="67" t="inlineStr"/>
      <c r="P33" s="74">
        <f>IF(OR($A33="",$K33=""),"", $K33-AsOfDate)</f>
        <v/>
      </c>
      <c r="Q33" s="74">
        <f>IF($A33="","",IF($H33="Completed","Done",IF($K33&lt;AsOfDate,"Overdue",IF($K33&lt;=AsOfDate+7,"Due Soon","On Track"))))</f>
        <v/>
      </c>
    </row>
    <row r="34" ht="18" customHeight="1">
      <c r="A34" s="75" t="inlineStr">
        <is>
          <t>TSK-030</t>
        </is>
      </c>
      <c r="B34" s="75" t="inlineStr">
        <is>
          <t>PRJ-001</t>
        </is>
      </c>
      <c r="C34" s="75" t="inlineStr"/>
      <c r="D34" s="75" t="inlineStr">
        <is>
          <t>Update insurance inventory</t>
        </is>
      </c>
      <c r="E34" s="76" t="inlineStr">
        <is>
          <t>Photograph new fixtures.</t>
        </is>
      </c>
      <c r="F34" s="76" t="inlineStr">
        <is>
          <t>Alex Rivera</t>
        </is>
      </c>
      <c r="G34" s="76" t="inlineStr">
        <is>
          <t>Homeowner</t>
        </is>
      </c>
      <c r="H34" s="75" t="inlineStr">
        <is>
          <t>To Do</t>
        </is>
      </c>
      <c r="I34" s="75" t="inlineStr">
        <is>
          <t>Medium</t>
        </is>
      </c>
      <c r="J34" s="78" t="n">
        <v>46338</v>
      </c>
      <c r="K34" s="77" t="n">
        <v>46340</v>
      </c>
      <c r="L34" s="87" t="n">
        <v>0</v>
      </c>
      <c r="M34" s="75" t="inlineStr">
        <is>
          <t>TSK-025</t>
        </is>
      </c>
      <c r="N34" s="107" t="n">
        <v>0</v>
      </c>
      <c r="O34" s="75" t="inlineStr"/>
      <c r="P34" s="74">
        <f>IF(OR($A34="",$K34=""),"", $K34-AsOfDate)</f>
        <v/>
      </c>
      <c r="Q34" s="74">
        <f>IF($A34="","",IF($H34="Completed","Done",IF($K34&lt;AsOfDate,"Overdue",IF($K34&lt;=AsOfDate+7,"Due Soon","On Track"))))</f>
        <v/>
      </c>
    </row>
    <row r="35">
      <c r="A35" s="82" t="n"/>
      <c r="B35" s="82" t="n"/>
      <c r="C35" s="82" t="n"/>
      <c r="D35" s="82" t="n"/>
      <c r="E35" s="82" t="n"/>
      <c r="F35" s="82" t="n"/>
      <c r="G35" s="82" t="n"/>
      <c r="H35" s="82" t="n"/>
      <c r="I35" s="82" t="n"/>
      <c r="J35" s="82" t="n"/>
      <c r="K35" s="82" t="n"/>
      <c r="L35" s="82" t="n"/>
      <c r="M35" s="82" t="n"/>
      <c r="N35" s="82" t="n"/>
      <c r="O35" s="82" t="n"/>
    </row>
    <row r="36">
      <c r="A36" s="82" t="n"/>
      <c r="B36" s="82" t="n"/>
      <c r="C36" s="82" t="n"/>
      <c r="D36" s="82" t="n"/>
      <c r="E36" s="82" t="n"/>
      <c r="F36" s="82" t="n"/>
      <c r="G36" s="82" t="n"/>
      <c r="H36" s="82" t="n"/>
      <c r="I36" s="82" t="n"/>
      <c r="J36" s="82" t="n"/>
      <c r="K36" s="82" t="n"/>
      <c r="L36" s="82" t="n"/>
      <c r="M36" s="82" t="n"/>
      <c r="N36" s="82" t="n"/>
      <c r="O36" s="82" t="n"/>
    </row>
    <row r="37">
      <c r="A37" s="82" t="n"/>
      <c r="B37" s="82" t="n"/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  <c r="L37" s="82" t="n"/>
      <c r="M37" s="82" t="n"/>
      <c r="N37" s="82" t="n"/>
      <c r="O37" s="82" t="n"/>
    </row>
    <row r="38">
      <c r="A38" s="82" t="n"/>
      <c r="B38" s="82" t="n"/>
      <c r="C38" s="82" t="n"/>
      <c r="D38" s="82" t="n"/>
      <c r="E38" s="82" t="n"/>
      <c r="F38" s="82" t="n"/>
      <c r="G38" s="82" t="n"/>
      <c r="H38" s="82" t="n"/>
      <c r="I38" s="82" t="n"/>
      <c r="J38" s="82" t="n"/>
      <c r="K38" s="82" t="n"/>
      <c r="L38" s="82" t="n"/>
      <c r="M38" s="82" t="n"/>
      <c r="N38" s="82" t="n"/>
      <c r="O38" s="82" t="n"/>
    </row>
    <row r="39">
      <c r="A39" s="82" t="n"/>
      <c r="B39" s="82" t="n"/>
      <c r="C39" s="82" t="n"/>
      <c r="D39" s="82" t="n"/>
      <c r="E39" s="82" t="n"/>
      <c r="F39" s="82" t="n"/>
      <c r="G39" s="82" t="n"/>
      <c r="H39" s="82" t="n"/>
      <c r="I39" s="82" t="n"/>
      <c r="J39" s="82" t="n"/>
      <c r="K39" s="82" t="n"/>
      <c r="L39" s="82" t="n"/>
      <c r="M39" s="82" t="n"/>
      <c r="N39" s="82" t="n"/>
      <c r="O39" s="82" t="n"/>
    </row>
    <row r="40">
      <c r="A40" s="82" t="n"/>
      <c r="B40" s="82" t="n"/>
      <c r="C40" s="82" t="n"/>
      <c r="D40" s="82" t="n"/>
      <c r="E40" s="82" t="n"/>
      <c r="F40" s="82" t="n"/>
      <c r="G40" s="82" t="n"/>
      <c r="H40" s="82" t="n"/>
      <c r="I40" s="82" t="n"/>
      <c r="J40" s="82" t="n"/>
      <c r="K40" s="82" t="n"/>
      <c r="L40" s="82" t="n"/>
      <c r="M40" s="82" t="n"/>
      <c r="N40" s="82" t="n"/>
      <c r="O40" s="82" t="n"/>
    </row>
    <row r="41">
      <c r="A41" s="82" t="n"/>
      <c r="B41" s="82" t="n"/>
      <c r="C41" s="82" t="n"/>
      <c r="D41" s="82" t="n"/>
      <c r="E41" s="82" t="n"/>
      <c r="F41" s="82" t="n"/>
      <c r="G41" s="82" t="n"/>
      <c r="H41" s="82" t="n"/>
      <c r="I41" s="82" t="n"/>
      <c r="J41" s="82" t="n"/>
      <c r="K41" s="82" t="n"/>
      <c r="L41" s="82" t="n"/>
      <c r="M41" s="82" t="n"/>
      <c r="N41" s="82" t="n"/>
      <c r="O41" s="82" t="n"/>
    </row>
    <row r="42">
      <c r="A42" s="82" t="n"/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  <c r="L42" s="82" t="n"/>
      <c r="M42" s="82" t="n"/>
      <c r="N42" s="82" t="n"/>
      <c r="O42" s="82" t="n"/>
    </row>
    <row r="43">
      <c r="A43" s="82" t="n"/>
      <c r="B43" s="82" t="n"/>
      <c r="C43" s="82" t="n"/>
      <c r="D43" s="82" t="n"/>
      <c r="E43" s="82" t="n"/>
      <c r="F43" s="82" t="n"/>
      <c r="G43" s="82" t="n"/>
      <c r="H43" s="82" t="n"/>
      <c r="I43" s="82" t="n"/>
      <c r="J43" s="82" t="n"/>
      <c r="K43" s="82" t="n"/>
      <c r="L43" s="82" t="n"/>
      <c r="M43" s="82" t="n"/>
      <c r="N43" s="82" t="n"/>
      <c r="O43" s="82" t="n"/>
    </row>
    <row r="44">
      <c r="A44" s="82" t="n"/>
      <c r="B44" s="82" t="n"/>
      <c r="C44" s="82" t="n"/>
      <c r="D44" s="82" t="n"/>
      <c r="E44" s="82" t="n"/>
      <c r="F44" s="82" t="n"/>
      <c r="G44" s="82" t="n"/>
      <c r="H44" s="82" t="n"/>
      <c r="I44" s="82" t="n"/>
      <c r="J44" s="82" t="n"/>
      <c r="K44" s="82" t="n"/>
      <c r="L44" s="82" t="n"/>
      <c r="M44" s="82" t="n"/>
      <c r="N44" s="82" t="n"/>
      <c r="O44" s="82" t="n"/>
    </row>
    <row r="45">
      <c r="A45" s="82" t="n"/>
      <c r="B45" s="82" t="n"/>
      <c r="C45" s="82" t="n"/>
      <c r="D45" s="82" t="n"/>
      <c r="E45" s="82" t="n"/>
      <c r="F45" s="82" t="n"/>
      <c r="G45" s="82" t="n"/>
      <c r="H45" s="82" t="n"/>
      <c r="I45" s="82" t="n"/>
      <c r="J45" s="82" t="n"/>
      <c r="K45" s="82" t="n"/>
      <c r="L45" s="82" t="n"/>
      <c r="M45" s="82" t="n"/>
      <c r="N45" s="82" t="n"/>
      <c r="O45" s="82" t="n"/>
    </row>
    <row r="46">
      <c r="A46" s="82" t="n"/>
      <c r="B46" s="82" t="n"/>
      <c r="C46" s="82" t="n"/>
      <c r="D46" s="82" t="n"/>
      <c r="E46" s="82" t="n"/>
      <c r="F46" s="82" t="n"/>
      <c r="G46" s="82" t="n"/>
      <c r="H46" s="82" t="n"/>
      <c r="I46" s="82" t="n"/>
      <c r="J46" s="82" t="n"/>
      <c r="K46" s="82" t="n"/>
      <c r="L46" s="82" t="n"/>
      <c r="M46" s="82" t="n"/>
      <c r="N46" s="82" t="n"/>
      <c r="O46" s="82" t="n"/>
    </row>
    <row r="47">
      <c r="A47" s="82" t="n"/>
      <c r="B47" s="82" t="n"/>
      <c r="C47" s="82" t="n"/>
      <c r="D47" s="82" t="n"/>
      <c r="E47" s="82" t="n"/>
      <c r="F47" s="82" t="n"/>
      <c r="G47" s="82" t="n"/>
      <c r="H47" s="82" t="n"/>
      <c r="I47" s="82" t="n"/>
      <c r="J47" s="82" t="n"/>
      <c r="K47" s="82" t="n"/>
      <c r="L47" s="82" t="n"/>
      <c r="M47" s="82" t="n"/>
      <c r="N47" s="82" t="n"/>
      <c r="O47" s="82" t="n"/>
    </row>
    <row r="48">
      <c r="A48" s="82" t="n"/>
      <c r="B48" s="82" t="n"/>
      <c r="C48" s="82" t="n"/>
      <c r="D48" s="82" t="n"/>
      <c r="E48" s="82" t="n"/>
      <c r="F48" s="82" t="n"/>
      <c r="G48" s="82" t="n"/>
      <c r="H48" s="82" t="n"/>
      <c r="I48" s="82" t="n"/>
      <c r="J48" s="82" t="n"/>
      <c r="K48" s="82" t="n"/>
      <c r="L48" s="82" t="n"/>
      <c r="M48" s="82" t="n"/>
      <c r="N48" s="82" t="n"/>
      <c r="O48" s="82" t="n"/>
    </row>
    <row r="49">
      <c r="A49" s="82" t="n"/>
      <c r="B49" s="82" t="n"/>
      <c r="C49" s="82" t="n"/>
      <c r="D49" s="82" t="n"/>
      <c r="E49" s="82" t="n"/>
      <c r="F49" s="82" t="n"/>
      <c r="G49" s="82" t="n"/>
      <c r="H49" s="82" t="n"/>
      <c r="I49" s="82" t="n"/>
      <c r="J49" s="82" t="n"/>
      <c r="K49" s="82" t="n"/>
      <c r="L49" s="82" t="n"/>
      <c r="M49" s="82" t="n"/>
      <c r="N49" s="82" t="n"/>
      <c r="O49" s="82" t="n"/>
    </row>
    <row r="50">
      <c r="A50" s="82" t="n"/>
      <c r="B50" s="82" t="n"/>
      <c r="C50" s="82" t="n"/>
      <c r="D50" s="82" t="n"/>
      <c r="E50" s="82" t="n"/>
      <c r="F50" s="82" t="n"/>
      <c r="G50" s="82" t="n"/>
      <c r="H50" s="82" t="n"/>
      <c r="I50" s="82" t="n"/>
      <c r="J50" s="82" t="n"/>
      <c r="K50" s="82" t="n"/>
      <c r="L50" s="82" t="n"/>
      <c r="M50" s="82" t="n"/>
      <c r="N50" s="82" t="n"/>
      <c r="O50" s="82" t="n"/>
    </row>
    <row r="51">
      <c r="A51" s="82" t="n"/>
      <c r="B51" s="82" t="n"/>
      <c r="C51" s="82" t="n"/>
      <c r="D51" s="82" t="n"/>
      <c r="E51" s="82" t="n"/>
      <c r="F51" s="82" t="n"/>
      <c r="G51" s="82" t="n"/>
      <c r="H51" s="82" t="n"/>
      <c r="I51" s="82" t="n"/>
      <c r="J51" s="82" t="n"/>
      <c r="K51" s="82" t="n"/>
      <c r="L51" s="82" t="n"/>
      <c r="M51" s="82" t="n"/>
      <c r="N51" s="82" t="n"/>
      <c r="O51" s="82" t="n"/>
    </row>
    <row r="52">
      <c r="A52" s="82" t="n"/>
      <c r="B52" s="82" t="n"/>
      <c r="C52" s="82" t="n"/>
      <c r="D52" s="82" t="n"/>
      <c r="E52" s="82" t="n"/>
      <c r="F52" s="82" t="n"/>
      <c r="G52" s="82" t="n"/>
      <c r="H52" s="82" t="n"/>
      <c r="I52" s="82" t="n"/>
      <c r="J52" s="82" t="n"/>
      <c r="K52" s="82" t="n"/>
      <c r="L52" s="82" t="n"/>
      <c r="M52" s="82" t="n"/>
      <c r="N52" s="82" t="n"/>
      <c r="O52" s="82" t="n"/>
    </row>
    <row r="53">
      <c r="A53" s="82" t="n"/>
      <c r="B53" s="82" t="n"/>
      <c r="C53" s="82" t="n"/>
      <c r="D53" s="82" t="n"/>
      <c r="E53" s="82" t="n"/>
      <c r="F53" s="82" t="n"/>
      <c r="G53" s="82" t="n"/>
      <c r="H53" s="82" t="n"/>
      <c r="I53" s="82" t="n"/>
      <c r="J53" s="82" t="n"/>
      <c r="K53" s="82" t="n"/>
      <c r="L53" s="82" t="n"/>
      <c r="M53" s="82" t="n"/>
      <c r="N53" s="82" t="n"/>
      <c r="O53" s="82" t="n"/>
    </row>
    <row r="54">
      <c r="A54" s="82" t="n"/>
      <c r="B54" s="82" t="n"/>
      <c r="C54" s="82" t="n"/>
      <c r="D54" s="82" t="n"/>
      <c r="E54" s="82" t="n"/>
      <c r="F54" s="82" t="n"/>
      <c r="G54" s="82" t="n"/>
      <c r="H54" s="82" t="n"/>
      <c r="I54" s="82" t="n"/>
      <c r="J54" s="82" t="n"/>
      <c r="K54" s="82" t="n"/>
      <c r="L54" s="82" t="n"/>
      <c r="M54" s="82" t="n"/>
      <c r="N54" s="82" t="n"/>
      <c r="O54" s="82" t="n"/>
    </row>
    <row r="55">
      <c r="A55" s="82" t="n"/>
      <c r="B55" s="82" t="n"/>
      <c r="C55" s="82" t="n"/>
      <c r="D55" s="82" t="n"/>
      <c r="E55" s="82" t="n"/>
      <c r="F55" s="82" t="n"/>
      <c r="G55" s="82" t="n"/>
      <c r="H55" s="82" t="n"/>
      <c r="I55" s="82" t="n"/>
      <c r="J55" s="82" t="n"/>
      <c r="K55" s="82" t="n"/>
      <c r="L55" s="82" t="n"/>
      <c r="M55" s="82" t="n"/>
      <c r="N55" s="82" t="n"/>
      <c r="O55" s="82" t="n"/>
    </row>
    <row r="56">
      <c r="A56" s="82" t="n"/>
      <c r="B56" s="82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2" t="n"/>
      <c r="L56" s="82" t="n"/>
      <c r="M56" s="82" t="n"/>
      <c r="N56" s="82" t="n"/>
      <c r="O56" s="82" t="n"/>
    </row>
    <row r="57">
      <c r="A57" s="82" t="n"/>
      <c r="B57" s="82" t="n"/>
      <c r="C57" s="82" t="n"/>
      <c r="D57" s="82" t="n"/>
      <c r="E57" s="82" t="n"/>
      <c r="F57" s="82" t="n"/>
      <c r="G57" s="82" t="n"/>
      <c r="H57" s="82" t="n"/>
      <c r="I57" s="82" t="n"/>
      <c r="J57" s="82" t="n"/>
      <c r="K57" s="82" t="n"/>
      <c r="L57" s="82" t="n"/>
      <c r="M57" s="82" t="n"/>
      <c r="N57" s="82" t="n"/>
      <c r="O57" s="82" t="n"/>
    </row>
    <row r="58">
      <c r="A58" s="82" t="n"/>
      <c r="B58" s="82" t="n"/>
      <c r="C58" s="82" t="n"/>
      <c r="D58" s="82" t="n"/>
      <c r="E58" s="82" t="n"/>
      <c r="F58" s="82" t="n"/>
      <c r="G58" s="82" t="n"/>
      <c r="H58" s="82" t="n"/>
      <c r="I58" s="82" t="n"/>
      <c r="J58" s="82" t="n"/>
      <c r="K58" s="82" t="n"/>
      <c r="L58" s="82" t="n"/>
      <c r="M58" s="82" t="n"/>
      <c r="N58" s="82" t="n"/>
      <c r="O58" s="82" t="n"/>
    </row>
    <row r="59">
      <c r="A59" s="82" t="n"/>
      <c r="B59" s="82" t="n"/>
      <c r="C59" s="82" t="n"/>
      <c r="D59" s="82" t="n"/>
      <c r="E59" s="82" t="n"/>
      <c r="F59" s="82" t="n"/>
      <c r="G59" s="82" t="n"/>
      <c r="H59" s="82" t="n"/>
      <c r="I59" s="82" t="n"/>
      <c r="J59" s="82" t="n"/>
      <c r="K59" s="82" t="n"/>
      <c r="L59" s="82" t="n"/>
      <c r="M59" s="82" t="n"/>
      <c r="N59" s="82" t="n"/>
      <c r="O59" s="82" t="n"/>
    </row>
    <row r="60">
      <c r="A60" s="82" t="n"/>
      <c r="B60" s="82" t="n"/>
      <c r="C60" s="82" t="n"/>
      <c r="D60" s="82" t="n"/>
      <c r="E60" s="82" t="n"/>
      <c r="F60" s="82" t="n"/>
      <c r="G60" s="82" t="n"/>
      <c r="H60" s="82" t="n"/>
      <c r="I60" s="82" t="n"/>
      <c r="J60" s="82" t="n"/>
      <c r="K60" s="82" t="n"/>
      <c r="L60" s="82" t="n"/>
      <c r="M60" s="82" t="n"/>
      <c r="N60" s="82" t="n"/>
      <c r="O60" s="82" t="n"/>
    </row>
    <row r="61">
      <c r="A61" s="82" t="n"/>
      <c r="B61" s="82" t="n"/>
      <c r="C61" s="82" t="n"/>
      <c r="D61" s="82" t="n"/>
      <c r="E61" s="82" t="n"/>
      <c r="F61" s="82" t="n"/>
      <c r="G61" s="82" t="n"/>
      <c r="H61" s="82" t="n"/>
      <c r="I61" s="82" t="n"/>
      <c r="J61" s="82" t="n"/>
      <c r="K61" s="82" t="n"/>
      <c r="L61" s="82" t="n"/>
      <c r="M61" s="82" t="n"/>
      <c r="N61" s="82" t="n"/>
      <c r="O61" s="82" t="n"/>
    </row>
    <row r="62">
      <c r="A62" s="82" t="n"/>
      <c r="B62" s="82" t="n"/>
      <c r="C62" s="82" t="n"/>
      <c r="D62" s="82" t="n"/>
      <c r="E62" s="82" t="n"/>
      <c r="F62" s="82" t="n"/>
      <c r="G62" s="82" t="n"/>
      <c r="H62" s="82" t="n"/>
      <c r="I62" s="82" t="n"/>
      <c r="J62" s="82" t="n"/>
      <c r="K62" s="82" t="n"/>
      <c r="L62" s="82" t="n"/>
      <c r="M62" s="82" t="n"/>
      <c r="N62" s="82" t="n"/>
      <c r="O62" s="82" t="n"/>
    </row>
    <row r="63">
      <c r="A63" s="82" t="n"/>
      <c r="B63" s="82" t="n"/>
      <c r="C63" s="82" t="n"/>
      <c r="D63" s="82" t="n"/>
      <c r="E63" s="82" t="n"/>
      <c r="F63" s="82" t="n"/>
      <c r="G63" s="82" t="n"/>
      <c r="H63" s="82" t="n"/>
      <c r="I63" s="82" t="n"/>
      <c r="J63" s="82" t="n"/>
      <c r="K63" s="82" t="n"/>
      <c r="L63" s="82" t="n"/>
      <c r="M63" s="82" t="n"/>
      <c r="N63" s="82" t="n"/>
      <c r="O63" s="82" t="n"/>
    </row>
    <row r="64">
      <c r="A64" s="82" t="n"/>
      <c r="B64" s="82" t="n"/>
      <c r="C64" s="82" t="n"/>
      <c r="D64" s="82" t="n"/>
      <c r="E64" s="82" t="n"/>
      <c r="F64" s="82" t="n"/>
      <c r="G64" s="82" t="n"/>
      <c r="H64" s="82" t="n"/>
      <c r="I64" s="82" t="n"/>
      <c r="J64" s="82" t="n"/>
      <c r="K64" s="82" t="n"/>
      <c r="L64" s="82" t="n"/>
      <c r="M64" s="82" t="n"/>
      <c r="N64" s="82" t="n"/>
      <c r="O64" s="82" t="n"/>
    </row>
    <row r="65">
      <c r="A65" s="82" t="n"/>
      <c r="B65" s="82" t="n"/>
      <c r="C65" s="82" t="n"/>
      <c r="D65" s="82" t="n"/>
      <c r="E65" s="82" t="n"/>
      <c r="F65" s="82" t="n"/>
      <c r="G65" s="82" t="n"/>
      <c r="H65" s="82" t="n"/>
      <c r="I65" s="82" t="n"/>
      <c r="J65" s="82" t="n"/>
      <c r="K65" s="82" t="n"/>
      <c r="L65" s="82" t="n"/>
      <c r="M65" s="82" t="n"/>
      <c r="N65" s="82" t="n"/>
      <c r="O65" s="82" t="n"/>
    </row>
    <row r="66">
      <c r="A66" s="82" t="n"/>
      <c r="B66" s="82" t="n"/>
      <c r="C66" s="82" t="n"/>
      <c r="D66" s="82" t="n"/>
      <c r="E66" s="82" t="n"/>
      <c r="F66" s="82" t="n"/>
      <c r="G66" s="82" t="n"/>
      <c r="H66" s="82" t="n"/>
      <c r="I66" s="82" t="n"/>
      <c r="J66" s="82" t="n"/>
      <c r="K66" s="82" t="n"/>
      <c r="L66" s="82" t="n"/>
      <c r="M66" s="82" t="n"/>
      <c r="N66" s="82" t="n"/>
      <c r="O66" s="82" t="n"/>
    </row>
    <row r="67">
      <c r="A67" s="82" t="n"/>
      <c r="B67" s="82" t="n"/>
      <c r="C67" s="82" t="n"/>
      <c r="D67" s="82" t="n"/>
      <c r="E67" s="82" t="n"/>
      <c r="F67" s="82" t="n"/>
      <c r="G67" s="82" t="n"/>
      <c r="H67" s="82" t="n"/>
      <c r="I67" s="82" t="n"/>
      <c r="J67" s="82" t="n"/>
      <c r="K67" s="82" t="n"/>
      <c r="L67" s="82" t="n"/>
      <c r="M67" s="82" t="n"/>
      <c r="N67" s="82" t="n"/>
      <c r="O67" s="82" t="n"/>
    </row>
    <row r="68">
      <c r="A68" s="82" t="n"/>
      <c r="B68" s="82" t="n"/>
      <c r="C68" s="82" t="n"/>
      <c r="D68" s="82" t="n"/>
      <c r="E68" s="82" t="n"/>
      <c r="F68" s="82" t="n"/>
      <c r="G68" s="82" t="n"/>
      <c r="H68" s="82" t="n"/>
      <c r="I68" s="82" t="n"/>
      <c r="J68" s="82" t="n"/>
      <c r="K68" s="82" t="n"/>
      <c r="L68" s="82" t="n"/>
      <c r="M68" s="82" t="n"/>
      <c r="N68" s="82" t="n"/>
      <c r="O68" s="82" t="n"/>
    </row>
    <row r="69">
      <c r="A69" s="82" t="n"/>
      <c r="B69" s="82" t="n"/>
      <c r="C69" s="82" t="n"/>
      <c r="D69" s="82" t="n"/>
      <c r="E69" s="82" t="n"/>
      <c r="F69" s="82" t="n"/>
      <c r="G69" s="82" t="n"/>
      <c r="H69" s="82" t="n"/>
      <c r="I69" s="82" t="n"/>
      <c r="J69" s="82" t="n"/>
      <c r="K69" s="82" t="n"/>
      <c r="L69" s="82" t="n"/>
      <c r="M69" s="82" t="n"/>
      <c r="N69" s="82" t="n"/>
      <c r="O69" s="82" t="n"/>
    </row>
    <row r="70">
      <c r="A70" s="82" t="n"/>
      <c r="B70" s="82" t="n"/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  <c r="N70" s="82" t="n"/>
      <c r="O70" s="82" t="n"/>
    </row>
    <row r="71">
      <c r="A71" s="82" t="n"/>
      <c r="B71" s="82" t="n"/>
      <c r="C71" s="82" t="n"/>
      <c r="D71" s="82" t="n"/>
      <c r="E71" s="82" t="n"/>
      <c r="F71" s="82" t="n"/>
      <c r="G71" s="82" t="n"/>
      <c r="H71" s="82" t="n"/>
      <c r="I71" s="82" t="n"/>
      <c r="J71" s="82" t="n"/>
      <c r="K71" s="82" t="n"/>
      <c r="L71" s="82" t="n"/>
      <c r="M71" s="82" t="n"/>
      <c r="N71" s="82" t="n"/>
      <c r="O71" s="82" t="n"/>
    </row>
    <row r="72">
      <c r="A72" s="82" t="n"/>
      <c r="B72" s="82" t="n"/>
      <c r="C72" s="82" t="n"/>
      <c r="D72" s="82" t="n"/>
      <c r="E72" s="82" t="n"/>
      <c r="F72" s="82" t="n"/>
      <c r="G72" s="82" t="n"/>
      <c r="H72" s="82" t="n"/>
      <c r="I72" s="82" t="n"/>
      <c r="J72" s="82" t="n"/>
      <c r="K72" s="82" t="n"/>
      <c r="L72" s="82" t="n"/>
      <c r="M72" s="82" t="n"/>
      <c r="N72" s="82" t="n"/>
      <c r="O72" s="82" t="n"/>
    </row>
    <row r="73">
      <c r="A73" s="82" t="n"/>
      <c r="B73" s="82" t="n"/>
      <c r="C73" s="82" t="n"/>
      <c r="D73" s="82" t="n"/>
      <c r="E73" s="82" t="n"/>
      <c r="F73" s="82" t="n"/>
      <c r="G73" s="82" t="n"/>
      <c r="H73" s="82" t="n"/>
      <c r="I73" s="82" t="n"/>
      <c r="J73" s="82" t="n"/>
      <c r="K73" s="82" t="n"/>
      <c r="L73" s="82" t="n"/>
      <c r="M73" s="82" t="n"/>
      <c r="N73" s="82" t="n"/>
      <c r="O73" s="82" t="n"/>
    </row>
    <row r="74">
      <c r="A74" s="82" t="n"/>
      <c r="B74" s="82" t="n"/>
      <c r="C74" s="82" t="n"/>
      <c r="D74" s="82" t="n"/>
      <c r="E74" s="82" t="n"/>
      <c r="F74" s="82" t="n"/>
      <c r="G74" s="82" t="n"/>
      <c r="H74" s="82" t="n"/>
      <c r="I74" s="82" t="n"/>
      <c r="J74" s="82" t="n"/>
      <c r="K74" s="82" t="n"/>
      <c r="L74" s="82" t="n"/>
      <c r="M74" s="82" t="n"/>
      <c r="N74" s="82" t="n"/>
      <c r="O74" s="82" t="n"/>
    </row>
    <row r="75">
      <c r="A75" s="82" t="n"/>
      <c r="B75" s="82" t="n"/>
      <c r="C75" s="82" t="n"/>
      <c r="D75" s="82" t="n"/>
      <c r="E75" s="82" t="n"/>
      <c r="F75" s="82" t="n"/>
      <c r="G75" s="82" t="n"/>
      <c r="H75" s="82" t="n"/>
      <c r="I75" s="82" t="n"/>
      <c r="J75" s="82" t="n"/>
      <c r="K75" s="82" t="n"/>
      <c r="L75" s="82" t="n"/>
      <c r="M75" s="82" t="n"/>
      <c r="N75" s="82" t="n"/>
      <c r="O75" s="82" t="n"/>
    </row>
    <row r="76">
      <c r="A76" s="82" t="n"/>
      <c r="B76" s="82" t="n"/>
      <c r="C76" s="82" t="n"/>
      <c r="D76" s="82" t="n"/>
      <c r="E76" s="82" t="n"/>
      <c r="F76" s="82" t="n"/>
      <c r="G76" s="82" t="n"/>
      <c r="H76" s="82" t="n"/>
      <c r="I76" s="82" t="n"/>
      <c r="J76" s="82" t="n"/>
      <c r="K76" s="82" t="n"/>
      <c r="L76" s="82" t="n"/>
      <c r="M76" s="82" t="n"/>
      <c r="N76" s="82" t="n"/>
      <c r="O76" s="82" t="n"/>
    </row>
    <row r="77">
      <c r="A77" s="82" t="n"/>
      <c r="B77" s="82" t="n"/>
      <c r="C77" s="82" t="n"/>
      <c r="D77" s="82" t="n"/>
      <c r="E77" s="82" t="n"/>
      <c r="F77" s="82" t="n"/>
      <c r="G77" s="82" t="n"/>
      <c r="H77" s="82" t="n"/>
      <c r="I77" s="82" t="n"/>
      <c r="J77" s="82" t="n"/>
      <c r="K77" s="82" t="n"/>
      <c r="L77" s="82" t="n"/>
      <c r="M77" s="82" t="n"/>
      <c r="N77" s="82" t="n"/>
      <c r="O77" s="82" t="n"/>
    </row>
    <row r="78">
      <c r="A78" s="82" t="n"/>
      <c r="B78" s="82" t="n"/>
      <c r="C78" s="82" t="n"/>
      <c r="D78" s="82" t="n"/>
      <c r="E78" s="82" t="n"/>
      <c r="F78" s="82" t="n"/>
      <c r="G78" s="82" t="n"/>
      <c r="H78" s="82" t="n"/>
      <c r="I78" s="82" t="n"/>
      <c r="J78" s="82" t="n"/>
      <c r="K78" s="82" t="n"/>
      <c r="L78" s="82" t="n"/>
      <c r="M78" s="82" t="n"/>
      <c r="N78" s="82" t="n"/>
      <c r="O78" s="82" t="n"/>
    </row>
    <row r="79">
      <c r="A79" s="82" t="n"/>
      <c r="B79" s="82" t="n"/>
      <c r="C79" s="82" t="n"/>
      <c r="D79" s="82" t="n"/>
      <c r="E79" s="82" t="n"/>
      <c r="F79" s="82" t="n"/>
      <c r="G79" s="82" t="n"/>
      <c r="H79" s="82" t="n"/>
      <c r="I79" s="82" t="n"/>
      <c r="J79" s="82" t="n"/>
      <c r="K79" s="82" t="n"/>
      <c r="L79" s="82" t="n"/>
      <c r="M79" s="82" t="n"/>
      <c r="N79" s="82" t="n"/>
      <c r="O79" s="82" t="n"/>
    </row>
    <row r="80">
      <c r="A80" s="82" t="n"/>
      <c r="B80" s="82" t="n"/>
      <c r="C80" s="82" t="n"/>
      <c r="D80" s="82" t="n"/>
      <c r="E80" s="82" t="n"/>
      <c r="F80" s="82" t="n"/>
      <c r="G80" s="82" t="n"/>
      <c r="H80" s="82" t="n"/>
      <c r="I80" s="82" t="n"/>
      <c r="J80" s="82" t="n"/>
      <c r="K80" s="82" t="n"/>
      <c r="L80" s="82" t="n"/>
      <c r="M80" s="82" t="n"/>
      <c r="N80" s="82" t="n"/>
      <c r="O80" s="82" t="n"/>
    </row>
    <row r="81">
      <c r="A81" s="82" t="n"/>
      <c r="B81" s="82" t="n"/>
      <c r="C81" s="82" t="n"/>
      <c r="D81" s="82" t="n"/>
      <c r="E81" s="82" t="n"/>
      <c r="F81" s="82" t="n"/>
      <c r="G81" s="82" t="n"/>
      <c r="H81" s="82" t="n"/>
      <c r="I81" s="82" t="n"/>
      <c r="J81" s="82" t="n"/>
      <c r="K81" s="82" t="n"/>
      <c r="L81" s="82" t="n"/>
      <c r="M81" s="82" t="n"/>
      <c r="N81" s="82" t="n"/>
      <c r="O81" s="82" t="n"/>
    </row>
    <row r="82">
      <c r="A82" s="82" t="n"/>
      <c r="B82" s="82" t="n"/>
      <c r="C82" s="82" t="n"/>
      <c r="D82" s="82" t="n"/>
      <c r="E82" s="82" t="n"/>
      <c r="F82" s="82" t="n"/>
      <c r="G82" s="82" t="n"/>
      <c r="H82" s="82" t="n"/>
      <c r="I82" s="82" t="n"/>
      <c r="J82" s="82" t="n"/>
      <c r="K82" s="82" t="n"/>
      <c r="L82" s="82" t="n"/>
      <c r="M82" s="82" t="n"/>
      <c r="N82" s="82" t="n"/>
      <c r="O82" s="82" t="n"/>
    </row>
    <row r="83">
      <c r="A83" s="82" t="n"/>
      <c r="B83" s="82" t="n"/>
      <c r="C83" s="82" t="n"/>
      <c r="D83" s="82" t="n"/>
      <c r="E83" s="82" t="n"/>
      <c r="F83" s="82" t="n"/>
      <c r="G83" s="82" t="n"/>
      <c r="H83" s="82" t="n"/>
      <c r="I83" s="82" t="n"/>
      <c r="J83" s="82" t="n"/>
      <c r="K83" s="82" t="n"/>
      <c r="L83" s="82" t="n"/>
      <c r="M83" s="82" t="n"/>
      <c r="N83" s="82" t="n"/>
      <c r="O83" s="82" t="n"/>
    </row>
    <row r="84">
      <c r="A84" s="82" t="n"/>
      <c r="B84" s="82" t="n"/>
      <c r="C84" s="82" t="n"/>
      <c r="D84" s="82" t="n"/>
      <c r="E84" s="82" t="n"/>
      <c r="F84" s="82" t="n"/>
      <c r="G84" s="82" t="n"/>
      <c r="H84" s="82" t="n"/>
      <c r="I84" s="82" t="n"/>
      <c r="J84" s="82" t="n"/>
      <c r="K84" s="82" t="n"/>
      <c r="L84" s="82" t="n"/>
      <c r="M84" s="82" t="n"/>
      <c r="N84" s="82" t="n"/>
      <c r="O84" s="82" t="n"/>
    </row>
    <row r="85">
      <c r="A85" s="82" t="n"/>
      <c r="B85" s="82" t="n"/>
      <c r="C85" s="82" t="n"/>
      <c r="D85" s="82" t="n"/>
      <c r="E85" s="82" t="n"/>
      <c r="F85" s="82" t="n"/>
      <c r="G85" s="82" t="n"/>
      <c r="H85" s="82" t="n"/>
      <c r="I85" s="82" t="n"/>
      <c r="J85" s="82" t="n"/>
      <c r="K85" s="82" t="n"/>
      <c r="L85" s="82" t="n"/>
      <c r="M85" s="82" t="n"/>
      <c r="N85" s="82" t="n"/>
      <c r="O85" s="82" t="n"/>
    </row>
    <row r="86">
      <c r="A86" s="82" t="n"/>
      <c r="B86" s="82" t="n"/>
      <c r="C86" s="82" t="n"/>
      <c r="D86" s="82" t="n"/>
      <c r="E86" s="82" t="n"/>
      <c r="F86" s="82" t="n"/>
      <c r="G86" s="82" t="n"/>
      <c r="H86" s="82" t="n"/>
      <c r="I86" s="82" t="n"/>
      <c r="J86" s="82" t="n"/>
      <c r="K86" s="82" t="n"/>
      <c r="L86" s="82" t="n"/>
      <c r="M86" s="82" t="n"/>
      <c r="N86" s="82" t="n"/>
      <c r="O86" s="82" t="n"/>
    </row>
    <row r="87">
      <c r="A87" s="82" t="n"/>
      <c r="B87" s="82" t="n"/>
      <c r="C87" s="82" t="n"/>
      <c r="D87" s="82" t="n"/>
      <c r="E87" s="82" t="n"/>
      <c r="F87" s="82" t="n"/>
      <c r="G87" s="82" t="n"/>
      <c r="H87" s="82" t="n"/>
      <c r="I87" s="82" t="n"/>
      <c r="J87" s="82" t="n"/>
      <c r="K87" s="82" t="n"/>
      <c r="L87" s="82" t="n"/>
      <c r="M87" s="82" t="n"/>
      <c r="N87" s="82" t="n"/>
      <c r="O87" s="82" t="n"/>
    </row>
    <row r="88">
      <c r="A88" s="82" t="n"/>
      <c r="B88" s="82" t="n"/>
      <c r="C88" s="82" t="n"/>
      <c r="D88" s="82" t="n"/>
      <c r="E88" s="82" t="n"/>
      <c r="F88" s="82" t="n"/>
      <c r="G88" s="82" t="n"/>
      <c r="H88" s="82" t="n"/>
      <c r="I88" s="82" t="n"/>
      <c r="J88" s="82" t="n"/>
      <c r="K88" s="82" t="n"/>
      <c r="L88" s="82" t="n"/>
      <c r="M88" s="82" t="n"/>
      <c r="N88" s="82" t="n"/>
      <c r="O88" s="82" t="n"/>
    </row>
    <row r="89">
      <c r="A89" s="82" t="n"/>
      <c r="B89" s="82" t="n"/>
      <c r="C89" s="82" t="n"/>
      <c r="D89" s="82" t="n"/>
      <c r="E89" s="82" t="n"/>
      <c r="F89" s="82" t="n"/>
      <c r="G89" s="82" t="n"/>
      <c r="H89" s="82" t="n"/>
      <c r="I89" s="82" t="n"/>
      <c r="J89" s="82" t="n"/>
      <c r="K89" s="82" t="n"/>
      <c r="L89" s="82" t="n"/>
      <c r="M89" s="82" t="n"/>
      <c r="N89" s="82" t="n"/>
      <c r="O89" s="82" t="n"/>
    </row>
    <row r="90">
      <c r="A90" s="82" t="n"/>
      <c r="B90" s="82" t="n"/>
      <c r="C90" s="82" t="n"/>
      <c r="D90" s="82" t="n"/>
      <c r="E90" s="82" t="n"/>
      <c r="F90" s="82" t="n"/>
      <c r="G90" s="82" t="n"/>
      <c r="H90" s="82" t="n"/>
      <c r="I90" s="82" t="n"/>
      <c r="J90" s="82" t="n"/>
      <c r="K90" s="82" t="n"/>
      <c r="L90" s="82" t="n"/>
      <c r="M90" s="82" t="n"/>
      <c r="N90" s="82" t="n"/>
      <c r="O90" s="82" t="n"/>
    </row>
    <row r="91">
      <c r="A91" s="82" t="n"/>
      <c r="B91" s="82" t="n"/>
      <c r="C91" s="82" t="n"/>
      <c r="D91" s="82" t="n"/>
      <c r="E91" s="82" t="n"/>
      <c r="F91" s="82" t="n"/>
      <c r="G91" s="82" t="n"/>
      <c r="H91" s="82" t="n"/>
      <c r="I91" s="82" t="n"/>
      <c r="J91" s="82" t="n"/>
      <c r="K91" s="82" t="n"/>
      <c r="L91" s="82" t="n"/>
      <c r="M91" s="82" t="n"/>
      <c r="N91" s="82" t="n"/>
      <c r="O91" s="82" t="n"/>
    </row>
    <row r="92">
      <c r="A92" s="82" t="n"/>
      <c r="B92" s="82" t="n"/>
      <c r="C92" s="82" t="n"/>
      <c r="D92" s="82" t="n"/>
      <c r="E92" s="82" t="n"/>
      <c r="F92" s="82" t="n"/>
      <c r="G92" s="82" t="n"/>
      <c r="H92" s="82" t="n"/>
      <c r="I92" s="82" t="n"/>
      <c r="J92" s="82" t="n"/>
      <c r="K92" s="82" t="n"/>
      <c r="L92" s="82" t="n"/>
      <c r="M92" s="82" t="n"/>
      <c r="N92" s="82" t="n"/>
      <c r="O92" s="82" t="n"/>
    </row>
    <row r="93">
      <c r="A93" s="82" t="n"/>
      <c r="B93" s="82" t="n"/>
      <c r="C93" s="82" t="n"/>
      <c r="D93" s="82" t="n"/>
      <c r="E93" s="82" t="n"/>
      <c r="F93" s="82" t="n"/>
      <c r="G93" s="82" t="n"/>
      <c r="H93" s="82" t="n"/>
      <c r="I93" s="82" t="n"/>
      <c r="J93" s="82" t="n"/>
      <c r="K93" s="82" t="n"/>
      <c r="L93" s="82" t="n"/>
      <c r="M93" s="82" t="n"/>
      <c r="N93" s="82" t="n"/>
      <c r="O93" s="82" t="n"/>
    </row>
    <row r="94">
      <c r="A94" s="82" t="n"/>
      <c r="B94" s="82" t="n"/>
      <c r="C94" s="82" t="n"/>
      <c r="D94" s="82" t="n"/>
      <c r="E94" s="82" t="n"/>
      <c r="F94" s="82" t="n"/>
      <c r="G94" s="82" t="n"/>
      <c r="H94" s="82" t="n"/>
      <c r="I94" s="82" t="n"/>
      <c r="J94" s="82" t="n"/>
      <c r="K94" s="82" t="n"/>
      <c r="L94" s="82" t="n"/>
      <c r="M94" s="82" t="n"/>
      <c r="N94" s="82" t="n"/>
      <c r="O94" s="82" t="n"/>
    </row>
    <row r="95">
      <c r="A95" s="82" t="n"/>
      <c r="B95" s="82" t="n"/>
      <c r="C95" s="82" t="n"/>
      <c r="D95" s="82" t="n"/>
      <c r="E95" s="82" t="n"/>
      <c r="F95" s="82" t="n"/>
      <c r="G95" s="82" t="n"/>
      <c r="H95" s="82" t="n"/>
      <c r="I95" s="82" t="n"/>
      <c r="J95" s="82" t="n"/>
      <c r="K95" s="82" t="n"/>
      <c r="L95" s="82" t="n"/>
      <c r="M95" s="82" t="n"/>
      <c r="N95" s="82" t="n"/>
      <c r="O95" s="82" t="n"/>
    </row>
    <row r="96">
      <c r="A96" s="82" t="n"/>
      <c r="B96" s="82" t="n"/>
      <c r="C96" s="82" t="n"/>
      <c r="D96" s="82" t="n"/>
      <c r="E96" s="82" t="n"/>
      <c r="F96" s="82" t="n"/>
      <c r="G96" s="82" t="n"/>
      <c r="H96" s="82" t="n"/>
      <c r="I96" s="82" t="n"/>
      <c r="J96" s="82" t="n"/>
      <c r="K96" s="82" t="n"/>
      <c r="L96" s="82" t="n"/>
      <c r="M96" s="82" t="n"/>
      <c r="N96" s="82" t="n"/>
      <c r="O96" s="82" t="n"/>
    </row>
    <row r="97">
      <c r="A97" s="82" t="n"/>
      <c r="B97" s="82" t="n"/>
      <c r="C97" s="82" t="n"/>
      <c r="D97" s="82" t="n"/>
      <c r="E97" s="82" t="n"/>
      <c r="F97" s="82" t="n"/>
      <c r="G97" s="82" t="n"/>
      <c r="H97" s="82" t="n"/>
      <c r="I97" s="82" t="n"/>
      <c r="J97" s="82" t="n"/>
      <c r="K97" s="82" t="n"/>
      <c r="L97" s="82" t="n"/>
      <c r="M97" s="82" t="n"/>
      <c r="N97" s="82" t="n"/>
      <c r="O97" s="82" t="n"/>
    </row>
    <row r="98">
      <c r="A98" s="82" t="n"/>
      <c r="B98" s="82" t="n"/>
      <c r="C98" s="82" t="n"/>
      <c r="D98" s="82" t="n"/>
      <c r="E98" s="82" t="n"/>
      <c r="F98" s="82" t="n"/>
      <c r="G98" s="82" t="n"/>
      <c r="H98" s="82" t="n"/>
      <c r="I98" s="82" t="n"/>
      <c r="J98" s="82" t="n"/>
      <c r="K98" s="82" t="n"/>
      <c r="L98" s="82" t="n"/>
      <c r="M98" s="82" t="n"/>
      <c r="N98" s="82" t="n"/>
      <c r="O98" s="82" t="n"/>
    </row>
    <row r="99">
      <c r="A99" s="82" t="n"/>
      <c r="B99" s="82" t="n"/>
      <c r="C99" s="82" t="n"/>
      <c r="D99" s="82" t="n"/>
      <c r="E99" s="82" t="n"/>
      <c r="F99" s="82" t="n"/>
      <c r="G99" s="82" t="n"/>
      <c r="H99" s="82" t="n"/>
      <c r="I99" s="82" t="n"/>
      <c r="J99" s="82" t="n"/>
      <c r="K99" s="82" t="n"/>
      <c r="L99" s="82" t="n"/>
      <c r="M99" s="82" t="n"/>
      <c r="N99" s="82" t="n"/>
      <c r="O99" s="82" t="n"/>
    </row>
    <row r="100">
      <c r="A100" s="82" t="n"/>
      <c r="B100" s="82" t="n"/>
      <c r="C100" s="82" t="n"/>
      <c r="D100" s="82" t="n"/>
      <c r="E100" s="82" t="n"/>
      <c r="F100" s="82" t="n"/>
      <c r="G100" s="82" t="n"/>
      <c r="H100" s="82" t="n"/>
      <c r="I100" s="82" t="n"/>
      <c r="J100" s="82" t="n"/>
      <c r="K100" s="82" t="n"/>
      <c r="L100" s="82" t="n"/>
      <c r="M100" s="82" t="n"/>
      <c r="N100" s="82" t="n"/>
      <c r="O100" s="82" t="n"/>
    </row>
    <row r="101">
      <c r="A101" s="82" t="n"/>
      <c r="B101" s="82" t="n"/>
      <c r="C101" s="82" t="n"/>
      <c r="D101" s="82" t="n"/>
      <c r="E101" s="82" t="n"/>
      <c r="F101" s="82" t="n"/>
      <c r="G101" s="82" t="n"/>
      <c r="H101" s="82" t="n"/>
      <c r="I101" s="82" t="n"/>
      <c r="J101" s="82" t="n"/>
      <c r="K101" s="82" t="n"/>
      <c r="L101" s="82" t="n"/>
      <c r="M101" s="82" t="n"/>
      <c r="N101" s="82" t="n"/>
      <c r="O101" s="82" t="n"/>
    </row>
    <row r="102">
      <c r="A102" s="82" t="n"/>
      <c r="B102" s="82" t="n"/>
      <c r="C102" s="82" t="n"/>
      <c r="D102" s="82" t="n"/>
      <c r="E102" s="82" t="n"/>
      <c r="F102" s="82" t="n"/>
      <c r="G102" s="82" t="n"/>
      <c r="H102" s="82" t="n"/>
      <c r="I102" s="82" t="n"/>
      <c r="J102" s="82" t="n"/>
      <c r="K102" s="82" t="n"/>
      <c r="L102" s="82" t="n"/>
      <c r="M102" s="82" t="n"/>
      <c r="N102" s="82" t="n"/>
      <c r="O102" s="82" t="n"/>
    </row>
    <row r="103">
      <c r="A103" s="82" t="n"/>
      <c r="B103" s="82" t="n"/>
      <c r="C103" s="82" t="n"/>
      <c r="D103" s="82" t="n"/>
      <c r="E103" s="82" t="n"/>
      <c r="F103" s="82" t="n"/>
      <c r="G103" s="82" t="n"/>
      <c r="H103" s="82" t="n"/>
      <c r="I103" s="82" t="n"/>
      <c r="J103" s="82" t="n"/>
      <c r="K103" s="82" t="n"/>
      <c r="L103" s="82" t="n"/>
      <c r="M103" s="82" t="n"/>
      <c r="N103" s="82" t="n"/>
      <c r="O103" s="82" t="n"/>
    </row>
    <row r="104">
      <c r="A104" s="82" t="n"/>
      <c r="B104" s="82" t="n"/>
      <c r="C104" s="82" t="n"/>
      <c r="D104" s="82" t="n"/>
      <c r="E104" s="82" t="n"/>
      <c r="F104" s="82" t="n"/>
      <c r="G104" s="82" t="n"/>
      <c r="H104" s="82" t="n"/>
      <c r="I104" s="82" t="n"/>
      <c r="J104" s="82" t="n"/>
      <c r="K104" s="82" t="n"/>
      <c r="L104" s="82" t="n"/>
      <c r="M104" s="82" t="n"/>
      <c r="N104" s="82" t="n"/>
      <c r="O104" s="82" t="n"/>
    </row>
    <row r="105">
      <c r="A105" s="82" t="n"/>
      <c r="B105" s="82" t="n"/>
      <c r="C105" s="82" t="n"/>
      <c r="D105" s="82" t="n"/>
      <c r="E105" s="82" t="n"/>
      <c r="F105" s="82" t="n"/>
      <c r="G105" s="82" t="n"/>
      <c r="H105" s="82" t="n"/>
      <c r="I105" s="82" t="n"/>
      <c r="J105" s="82" t="n"/>
      <c r="K105" s="82" t="n"/>
      <c r="L105" s="82" t="n"/>
      <c r="M105" s="82" t="n"/>
      <c r="N105" s="82" t="n"/>
      <c r="O105" s="82" t="n"/>
    </row>
    <row r="106">
      <c r="A106" s="82" t="n"/>
      <c r="B106" s="82" t="n"/>
      <c r="C106" s="82" t="n"/>
      <c r="D106" s="82" t="n"/>
      <c r="E106" s="82" t="n"/>
      <c r="F106" s="82" t="n"/>
      <c r="G106" s="82" t="n"/>
      <c r="H106" s="82" t="n"/>
      <c r="I106" s="82" t="n"/>
      <c r="J106" s="82" t="n"/>
      <c r="K106" s="82" t="n"/>
      <c r="L106" s="82" t="n"/>
      <c r="M106" s="82" t="n"/>
      <c r="N106" s="82" t="n"/>
      <c r="O106" s="82" t="n"/>
    </row>
    <row r="107">
      <c r="A107" s="82" t="n"/>
      <c r="B107" s="82" t="n"/>
      <c r="C107" s="82" t="n"/>
      <c r="D107" s="82" t="n"/>
      <c r="E107" s="82" t="n"/>
      <c r="F107" s="82" t="n"/>
      <c r="G107" s="82" t="n"/>
      <c r="H107" s="82" t="n"/>
      <c r="I107" s="82" t="n"/>
      <c r="J107" s="82" t="n"/>
      <c r="K107" s="82" t="n"/>
      <c r="L107" s="82" t="n"/>
      <c r="M107" s="82" t="n"/>
      <c r="N107" s="82" t="n"/>
      <c r="O107" s="82" t="n"/>
    </row>
    <row r="108">
      <c r="A108" s="82" t="n"/>
      <c r="B108" s="82" t="n"/>
      <c r="C108" s="82" t="n"/>
      <c r="D108" s="82" t="n"/>
      <c r="E108" s="82" t="n"/>
      <c r="F108" s="82" t="n"/>
      <c r="G108" s="82" t="n"/>
      <c r="H108" s="82" t="n"/>
      <c r="I108" s="82" t="n"/>
      <c r="J108" s="82" t="n"/>
      <c r="K108" s="82" t="n"/>
      <c r="L108" s="82" t="n"/>
      <c r="M108" s="82" t="n"/>
      <c r="N108" s="82" t="n"/>
      <c r="O108" s="82" t="n"/>
    </row>
    <row r="109">
      <c r="A109" s="82" t="n"/>
      <c r="B109" s="82" t="n"/>
      <c r="C109" s="82" t="n"/>
      <c r="D109" s="82" t="n"/>
      <c r="E109" s="82" t="n"/>
      <c r="F109" s="82" t="n"/>
      <c r="G109" s="82" t="n"/>
      <c r="H109" s="82" t="n"/>
      <c r="I109" s="82" t="n"/>
      <c r="J109" s="82" t="n"/>
      <c r="K109" s="82" t="n"/>
      <c r="L109" s="82" t="n"/>
      <c r="M109" s="82" t="n"/>
      <c r="N109" s="82" t="n"/>
      <c r="O109" s="82" t="n"/>
    </row>
    <row r="110">
      <c r="A110" s="82" t="n"/>
      <c r="B110" s="82" t="n"/>
      <c r="C110" s="82" t="n"/>
      <c r="D110" s="82" t="n"/>
      <c r="E110" s="82" t="n"/>
      <c r="F110" s="82" t="n"/>
      <c r="G110" s="82" t="n"/>
      <c r="H110" s="82" t="n"/>
      <c r="I110" s="82" t="n"/>
      <c r="J110" s="82" t="n"/>
      <c r="K110" s="82" t="n"/>
      <c r="L110" s="82" t="n"/>
      <c r="M110" s="82" t="n"/>
      <c r="N110" s="82" t="n"/>
      <c r="O110" s="82" t="n"/>
    </row>
    <row r="111">
      <c r="A111" s="82" t="n"/>
      <c r="B111" s="82" t="n"/>
      <c r="C111" s="82" t="n"/>
      <c r="D111" s="82" t="n"/>
      <c r="E111" s="82" t="n"/>
      <c r="F111" s="82" t="n"/>
      <c r="G111" s="82" t="n"/>
      <c r="H111" s="82" t="n"/>
      <c r="I111" s="82" t="n"/>
      <c r="J111" s="82" t="n"/>
      <c r="K111" s="82" t="n"/>
      <c r="L111" s="82" t="n"/>
      <c r="M111" s="82" t="n"/>
      <c r="N111" s="82" t="n"/>
      <c r="O111" s="82" t="n"/>
    </row>
    <row r="112">
      <c r="A112" s="82" t="n"/>
      <c r="B112" s="82" t="n"/>
      <c r="C112" s="82" t="n"/>
      <c r="D112" s="82" t="n"/>
      <c r="E112" s="82" t="n"/>
      <c r="F112" s="82" t="n"/>
      <c r="G112" s="82" t="n"/>
      <c r="H112" s="82" t="n"/>
      <c r="I112" s="82" t="n"/>
      <c r="J112" s="82" t="n"/>
      <c r="K112" s="82" t="n"/>
      <c r="L112" s="82" t="n"/>
      <c r="M112" s="82" t="n"/>
      <c r="N112" s="82" t="n"/>
      <c r="O112" s="82" t="n"/>
    </row>
    <row r="113">
      <c r="A113" s="82" t="n"/>
      <c r="B113" s="82" t="n"/>
      <c r="C113" s="82" t="n"/>
      <c r="D113" s="82" t="n"/>
      <c r="E113" s="82" t="n"/>
      <c r="F113" s="82" t="n"/>
      <c r="G113" s="82" t="n"/>
      <c r="H113" s="82" t="n"/>
      <c r="I113" s="82" t="n"/>
      <c r="J113" s="82" t="n"/>
      <c r="K113" s="82" t="n"/>
      <c r="L113" s="82" t="n"/>
      <c r="M113" s="82" t="n"/>
      <c r="N113" s="82" t="n"/>
      <c r="O113" s="82" t="n"/>
    </row>
    <row r="114">
      <c r="A114" s="82" t="n"/>
      <c r="B114" s="82" t="n"/>
      <c r="C114" s="82" t="n"/>
      <c r="D114" s="82" t="n"/>
      <c r="E114" s="82" t="n"/>
      <c r="F114" s="82" t="n"/>
      <c r="G114" s="82" t="n"/>
      <c r="H114" s="82" t="n"/>
      <c r="I114" s="82" t="n"/>
      <c r="J114" s="82" t="n"/>
      <c r="K114" s="82" t="n"/>
      <c r="L114" s="82" t="n"/>
      <c r="M114" s="82" t="n"/>
      <c r="N114" s="82" t="n"/>
      <c r="O114" s="82" t="n"/>
    </row>
    <row r="115">
      <c r="A115" s="82" t="n"/>
      <c r="B115" s="82" t="n"/>
      <c r="C115" s="82" t="n"/>
      <c r="D115" s="82" t="n"/>
      <c r="E115" s="82" t="n"/>
      <c r="F115" s="82" t="n"/>
      <c r="G115" s="82" t="n"/>
      <c r="H115" s="82" t="n"/>
      <c r="I115" s="82" t="n"/>
      <c r="J115" s="82" t="n"/>
      <c r="K115" s="82" t="n"/>
      <c r="L115" s="82" t="n"/>
      <c r="M115" s="82" t="n"/>
      <c r="N115" s="82" t="n"/>
      <c r="O115" s="82" t="n"/>
    </row>
    <row r="116">
      <c r="A116" s="82" t="n"/>
      <c r="B116" s="82" t="n"/>
      <c r="C116" s="82" t="n"/>
      <c r="D116" s="82" t="n"/>
      <c r="E116" s="82" t="n"/>
      <c r="F116" s="82" t="n"/>
      <c r="G116" s="82" t="n"/>
      <c r="H116" s="82" t="n"/>
      <c r="I116" s="82" t="n"/>
      <c r="J116" s="82" t="n"/>
      <c r="K116" s="82" t="n"/>
      <c r="L116" s="82" t="n"/>
      <c r="M116" s="82" t="n"/>
      <c r="N116" s="82" t="n"/>
      <c r="O116" s="82" t="n"/>
    </row>
    <row r="117">
      <c r="A117" s="82" t="n"/>
      <c r="B117" s="82" t="n"/>
      <c r="C117" s="82" t="n"/>
      <c r="D117" s="82" t="n"/>
      <c r="E117" s="82" t="n"/>
      <c r="F117" s="82" t="n"/>
      <c r="G117" s="82" t="n"/>
      <c r="H117" s="82" t="n"/>
      <c r="I117" s="82" t="n"/>
      <c r="J117" s="82" t="n"/>
      <c r="K117" s="82" t="n"/>
      <c r="L117" s="82" t="n"/>
      <c r="M117" s="82" t="n"/>
      <c r="N117" s="82" t="n"/>
      <c r="O117" s="82" t="n"/>
    </row>
    <row r="118">
      <c r="A118" s="82" t="n"/>
      <c r="B118" s="82" t="n"/>
      <c r="C118" s="82" t="n"/>
      <c r="D118" s="82" t="n"/>
      <c r="E118" s="82" t="n"/>
      <c r="F118" s="82" t="n"/>
      <c r="G118" s="82" t="n"/>
      <c r="H118" s="82" t="n"/>
      <c r="I118" s="82" t="n"/>
      <c r="J118" s="82" t="n"/>
      <c r="K118" s="82" t="n"/>
      <c r="L118" s="82" t="n"/>
      <c r="M118" s="82" t="n"/>
      <c r="N118" s="82" t="n"/>
      <c r="O118" s="82" t="n"/>
    </row>
    <row r="119">
      <c r="A119" s="82" t="n"/>
      <c r="B119" s="82" t="n"/>
      <c r="C119" s="82" t="n"/>
      <c r="D119" s="82" t="n"/>
      <c r="E119" s="82" t="n"/>
      <c r="F119" s="82" t="n"/>
      <c r="G119" s="82" t="n"/>
      <c r="H119" s="82" t="n"/>
      <c r="I119" s="82" t="n"/>
      <c r="J119" s="82" t="n"/>
      <c r="K119" s="82" t="n"/>
      <c r="L119" s="82" t="n"/>
      <c r="M119" s="82" t="n"/>
      <c r="N119" s="82" t="n"/>
      <c r="O119" s="82" t="n"/>
    </row>
    <row r="120">
      <c r="A120" s="82" t="n"/>
      <c r="B120" s="82" t="n"/>
      <c r="C120" s="82" t="n"/>
      <c r="D120" s="82" t="n"/>
      <c r="E120" s="82" t="n"/>
      <c r="F120" s="82" t="n"/>
      <c r="G120" s="82" t="n"/>
      <c r="H120" s="82" t="n"/>
      <c r="I120" s="82" t="n"/>
      <c r="J120" s="82" t="n"/>
      <c r="K120" s="82" t="n"/>
      <c r="L120" s="82" t="n"/>
      <c r="M120" s="82" t="n"/>
      <c r="N120" s="82" t="n"/>
      <c r="O120" s="82" t="n"/>
    </row>
    <row r="121">
      <c r="A121" s="82" t="n"/>
      <c r="B121" s="82" t="n"/>
      <c r="C121" s="82" t="n"/>
      <c r="D121" s="82" t="n"/>
      <c r="E121" s="82" t="n"/>
      <c r="F121" s="82" t="n"/>
      <c r="G121" s="82" t="n"/>
      <c r="H121" s="82" t="n"/>
      <c r="I121" s="82" t="n"/>
      <c r="J121" s="82" t="n"/>
      <c r="K121" s="82" t="n"/>
      <c r="L121" s="82" t="n"/>
      <c r="M121" s="82" t="n"/>
      <c r="N121" s="82" t="n"/>
      <c r="O121" s="82" t="n"/>
    </row>
    <row r="122">
      <c r="A122" s="82" t="n"/>
      <c r="B122" s="82" t="n"/>
      <c r="C122" s="82" t="n"/>
      <c r="D122" s="82" t="n"/>
      <c r="E122" s="82" t="n"/>
      <c r="F122" s="82" t="n"/>
      <c r="G122" s="82" t="n"/>
      <c r="H122" s="82" t="n"/>
      <c r="I122" s="82" t="n"/>
      <c r="J122" s="82" t="n"/>
      <c r="K122" s="82" t="n"/>
      <c r="L122" s="82" t="n"/>
      <c r="M122" s="82" t="n"/>
      <c r="N122" s="82" t="n"/>
      <c r="O122" s="82" t="n"/>
    </row>
    <row r="123">
      <c r="A123" s="82" t="n"/>
      <c r="B123" s="82" t="n"/>
      <c r="C123" s="82" t="n"/>
      <c r="D123" s="82" t="n"/>
      <c r="E123" s="82" t="n"/>
      <c r="F123" s="82" t="n"/>
      <c r="G123" s="82" t="n"/>
      <c r="H123" s="82" t="n"/>
      <c r="I123" s="82" t="n"/>
      <c r="J123" s="82" t="n"/>
      <c r="K123" s="82" t="n"/>
      <c r="L123" s="82" t="n"/>
      <c r="M123" s="82" t="n"/>
      <c r="N123" s="82" t="n"/>
      <c r="O123" s="82" t="n"/>
    </row>
    <row r="124">
      <c r="A124" s="82" t="n"/>
      <c r="B124" s="82" t="n"/>
      <c r="C124" s="82" t="n"/>
      <c r="D124" s="82" t="n"/>
      <c r="E124" s="82" t="n"/>
      <c r="F124" s="82" t="n"/>
      <c r="G124" s="82" t="n"/>
      <c r="H124" s="82" t="n"/>
      <c r="I124" s="82" t="n"/>
      <c r="J124" s="82" t="n"/>
      <c r="K124" s="82" t="n"/>
      <c r="L124" s="82" t="n"/>
      <c r="M124" s="82" t="n"/>
      <c r="N124" s="82" t="n"/>
      <c r="O124" s="82" t="n"/>
    </row>
    <row r="125">
      <c r="A125" s="82" t="n"/>
      <c r="B125" s="82" t="n"/>
      <c r="C125" s="82" t="n"/>
      <c r="D125" s="82" t="n"/>
      <c r="E125" s="82" t="n"/>
      <c r="F125" s="82" t="n"/>
      <c r="G125" s="82" t="n"/>
      <c r="H125" s="82" t="n"/>
      <c r="I125" s="82" t="n"/>
      <c r="J125" s="82" t="n"/>
      <c r="K125" s="82" t="n"/>
      <c r="L125" s="82" t="n"/>
      <c r="M125" s="82" t="n"/>
      <c r="N125" s="82" t="n"/>
      <c r="O125" s="82" t="n"/>
    </row>
    <row r="126">
      <c r="A126" s="82" t="n"/>
      <c r="B126" s="82" t="n"/>
      <c r="C126" s="82" t="n"/>
      <c r="D126" s="82" t="n"/>
      <c r="E126" s="82" t="n"/>
      <c r="F126" s="82" t="n"/>
      <c r="G126" s="82" t="n"/>
      <c r="H126" s="82" t="n"/>
      <c r="I126" s="82" t="n"/>
      <c r="J126" s="82" t="n"/>
      <c r="K126" s="82" t="n"/>
      <c r="L126" s="82" t="n"/>
      <c r="M126" s="82" t="n"/>
      <c r="N126" s="82" t="n"/>
      <c r="O126" s="82" t="n"/>
    </row>
    <row r="127">
      <c r="A127" s="82" t="n"/>
      <c r="B127" s="82" t="n"/>
      <c r="C127" s="82" t="n"/>
      <c r="D127" s="82" t="n"/>
      <c r="E127" s="82" t="n"/>
      <c r="F127" s="82" t="n"/>
      <c r="G127" s="82" t="n"/>
      <c r="H127" s="82" t="n"/>
      <c r="I127" s="82" t="n"/>
      <c r="J127" s="82" t="n"/>
      <c r="K127" s="82" t="n"/>
      <c r="L127" s="82" t="n"/>
      <c r="M127" s="82" t="n"/>
      <c r="N127" s="82" t="n"/>
      <c r="O127" s="82" t="n"/>
    </row>
    <row r="128">
      <c r="A128" s="82" t="n"/>
      <c r="B128" s="82" t="n"/>
      <c r="C128" s="82" t="n"/>
      <c r="D128" s="82" t="n"/>
      <c r="E128" s="82" t="n"/>
      <c r="F128" s="82" t="n"/>
      <c r="G128" s="82" t="n"/>
      <c r="H128" s="82" t="n"/>
      <c r="I128" s="82" t="n"/>
      <c r="J128" s="82" t="n"/>
      <c r="K128" s="82" t="n"/>
      <c r="L128" s="82" t="n"/>
      <c r="M128" s="82" t="n"/>
      <c r="N128" s="82" t="n"/>
      <c r="O128" s="82" t="n"/>
    </row>
    <row r="129">
      <c r="A129" s="82" t="n"/>
      <c r="B129" s="82" t="n"/>
      <c r="C129" s="82" t="n"/>
      <c r="D129" s="82" t="n"/>
      <c r="E129" s="82" t="n"/>
      <c r="F129" s="82" t="n"/>
      <c r="G129" s="82" t="n"/>
      <c r="H129" s="82" t="n"/>
      <c r="I129" s="82" t="n"/>
      <c r="J129" s="82" t="n"/>
      <c r="K129" s="82" t="n"/>
      <c r="L129" s="82" t="n"/>
      <c r="M129" s="82" t="n"/>
      <c r="N129" s="82" t="n"/>
      <c r="O129" s="82" t="n"/>
    </row>
    <row r="130">
      <c r="A130" s="82" t="n"/>
      <c r="B130" s="82" t="n"/>
      <c r="C130" s="82" t="n"/>
      <c r="D130" s="82" t="n"/>
      <c r="E130" s="82" t="n"/>
      <c r="F130" s="82" t="n"/>
      <c r="G130" s="82" t="n"/>
      <c r="H130" s="82" t="n"/>
      <c r="I130" s="82" t="n"/>
      <c r="J130" s="82" t="n"/>
      <c r="K130" s="82" t="n"/>
      <c r="L130" s="82" t="n"/>
      <c r="M130" s="82" t="n"/>
      <c r="N130" s="82" t="n"/>
      <c r="O130" s="82" t="n"/>
    </row>
    <row r="131">
      <c r="A131" s="82" t="n"/>
      <c r="B131" s="82" t="n"/>
      <c r="C131" s="82" t="n"/>
      <c r="D131" s="82" t="n"/>
      <c r="E131" s="82" t="n"/>
      <c r="F131" s="82" t="n"/>
      <c r="G131" s="82" t="n"/>
      <c r="H131" s="82" t="n"/>
      <c r="I131" s="82" t="n"/>
      <c r="J131" s="82" t="n"/>
      <c r="K131" s="82" t="n"/>
      <c r="L131" s="82" t="n"/>
      <c r="M131" s="82" t="n"/>
      <c r="N131" s="82" t="n"/>
      <c r="O131" s="82" t="n"/>
    </row>
    <row r="132">
      <c r="A132" s="82" t="n"/>
      <c r="B132" s="82" t="n"/>
      <c r="C132" s="82" t="n"/>
      <c r="D132" s="82" t="n"/>
      <c r="E132" s="82" t="n"/>
      <c r="F132" s="82" t="n"/>
      <c r="G132" s="82" t="n"/>
      <c r="H132" s="82" t="n"/>
      <c r="I132" s="82" t="n"/>
      <c r="J132" s="82" t="n"/>
      <c r="K132" s="82" t="n"/>
      <c r="L132" s="82" t="n"/>
      <c r="M132" s="82" t="n"/>
      <c r="N132" s="82" t="n"/>
      <c r="O132" s="82" t="n"/>
    </row>
    <row r="133">
      <c r="A133" s="82" t="n"/>
      <c r="B133" s="82" t="n"/>
      <c r="C133" s="82" t="n"/>
      <c r="D133" s="82" t="n"/>
      <c r="E133" s="82" t="n"/>
      <c r="F133" s="82" t="n"/>
      <c r="G133" s="82" t="n"/>
      <c r="H133" s="82" t="n"/>
      <c r="I133" s="82" t="n"/>
      <c r="J133" s="82" t="n"/>
      <c r="K133" s="82" t="n"/>
      <c r="L133" s="82" t="n"/>
      <c r="M133" s="82" t="n"/>
      <c r="N133" s="82" t="n"/>
      <c r="O133" s="82" t="n"/>
    </row>
    <row r="134">
      <c r="A134" s="82" t="n"/>
      <c r="B134" s="82" t="n"/>
      <c r="C134" s="82" t="n"/>
      <c r="D134" s="82" t="n"/>
      <c r="E134" s="82" t="n"/>
      <c r="F134" s="82" t="n"/>
      <c r="G134" s="82" t="n"/>
      <c r="H134" s="82" t="n"/>
      <c r="I134" s="82" t="n"/>
      <c r="J134" s="82" t="n"/>
      <c r="K134" s="82" t="n"/>
      <c r="L134" s="82" t="n"/>
      <c r="M134" s="82" t="n"/>
      <c r="N134" s="82" t="n"/>
      <c r="O134" s="82" t="n"/>
    </row>
    <row r="135">
      <c r="A135" s="82" t="n"/>
      <c r="B135" s="82" t="n"/>
      <c r="C135" s="82" t="n"/>
      <c r="D135" s="82" t="n"/>
      <c r="E135" s="82" t="n"/>
      <c r="F135" s="82" t="n"/>
      <c r="G135" s="82" t="n"/>
      <c r="H135" s="82" t="n"/>
      <c r="I135" s="82" t="n"/>
      <c r="J135" s="82" t="n"/>
      <c r="K135" s="82" t="n"/>
      <c r="L135" s="82" t="n"/>
      <c r="M135" s="82" t="n"/>
      <c r="N135" s="82" t="n"/>
      <c r="O135" s="82" t="n"/>
    </row>
    <row r="136">
      <c r="A136" s="82" t="n"/>
      <c r="B136" s="82" t="n"/>
      <c r="C136" s="82" t="n"/>
      <c r="D136" s="82" t="n"/>
      <c r="E136" s="82" t="n"/>
      <c r="F136" s="82" t="n"/>
      <c r="G136" s="82" t="n"/>
      <c r="H136" s="82" t="n"/>
      <c r="I136" s="82" t="n"/>
      <c r="J136" s="82" t="n"/>
      <c r="K136" s="82" t="n"/>
      <c r="L136" s="82" t="n"/>
      <c r="M136" s="82" t="n"/>
      <c r="N136" s="82" t="n"/>
      <c r="O136" s="82" t="n"/>
    </row>
    <row r="137">
      <c r="A137" s="82" t="n"/>
      <c r="B137" s="82" t="n"/>
      <c r="C137" s="82" t="n"/>
      <c r="D137" s="82" t="n"/>
      <c r="E137" s="82" t="n"/>
      <c r="F137" s="82" t="n"/>
      <c r="G137" s="82" t="n"/>
      <c r="H137" s="82" t="n"/>
      <c r="I137" s="82" t="n"/>
      <c r="J137" s="82" t="n"/>
      <c r="K137" s="82" t="n"/>
      <c r="L137" s="82" t="n"/>
      <c r="M137" s="82" t="n"/>
      <c r="N137" s="82" t="n"/>
      <c r="O137" s="82" t="n"/>
    </row>
    <row r="138">
      <c r="A138" s="82" t="n"/>
      <c r="B138" s="82" t="n"/>
      <c r="C138" s="82" t="n"/>
      <c r="D138" s="82" t="n"/>
      <c r="E138" s="82" t="n"/>
      <c r="F138" s="82" t="n"/>
      <c r="G138" s="82" t="n"/>
      <c r="H138" s="82" t="n"/>
      <c r="I138" s="82" t="n"/>
      <c r="J138" s="82" t="n"/>
      <c r="K138" s="82" t="n"/>
      <c r="L138" s="82" t="n"/>
      <c r="M138" s="82" t="n"/>
      <c r="N138" s="82" t="n"/>
      <c r="O138" s="82" t="n"/>
    </row>
    <row r="139">
      <c r="A139" s="82" t="n"/>
      <c r="B139" s="82" t="n"/>
      <c r="C139" s="82" t="n"/>
      <c r="D139" s="82" t="n"/>
      <c r="E139" s="82" t="n"/>
      <c r="F139" s="82" t="n"/>
      <c r="G139" s="82" t="n"/>
      <c r="H139" s="82" t="n"/>
      <c r="I139" s="82" t="n"/>
      <c r="J139" s="82" t="n"/>
      <c r="K139" s="82" t="n"/>
      <c r="L139" s="82" t="n"/>
      <c r="M139" s="82" t="n"/>
      <c r="N139" s="82" t="n"/>
      <c r="O139" s="82" t="n"/>
    </row>
    <row r="140">
      <c r="A140" s="82" t="n"/>
      <c r="B140" s="82" t="n"/>
      <c r="C140" s="82" t="n"/>
      <c r="D140" s="82" t="n"/>
      <c r="E140" s="82" t="n"/>
      <c r="F140" s="82" t="n"/>
      <c r="G140" s="82" t="n"/>
      <c r="H140" s="82" t="n"/>
      <c r="I140" s="82" t="n"/>
      <c r="J140" s="82" t="n"/>
      <c r="K140" s="82" t="n"/>
      <c r="L140" s="82" t="n"/>
      <c r="M140" s="82" t="n"/>
      <c r="N140" s="82" t="n"/>
      <c r="O140" s="82" t="n"/>
    </row>
    <row r="141">
      <c r="A141" s="82" t="n"/>
      <c r="B141" s="82" t="n"/>
      <c r="C141" s="82" t="n"/>
      <c r="D141" s="82" t="n"/>
      <c r="E141" s="82" t="n"/>
      <c r="F141" s="82" t="n"/>
      <c r="G141" s="82" t="n"/>
      <c r="H141" s="82" t="n"/>
      <c r="I141" s="82" t="n"/>
      <c r="J141" s="82" t="n"/>
      <c r="K141" s="82" t="n"/>
      <c r="L141" s="82" t="n"/>
      <c r="M141" s="82" t="n"/>
      <c r="N141" s="82" t="n"/>
      <c r="O141" s="82" t="n"/>
    </row>
    <row r="142">
      <c r="A142" s="82" t="n"/>
      <c r="B142" s="82" t="n"/>
      <c r="C142" s="82" t="n"/>
      <c r="D142" s="82" t="n"/>
      <c r="E142" s="82" t="n"/>
      <c r="F142" s="82" t="n"/>
      <c r="G142" s="82" t="n"/>
      <c r="H142" s="82" t="n"/>
      <c r="I142" s="82" t="n"/>
      <c r="J142" s="82" t="n"/>
      <c r="K142" s="82" t="n"/>
      <c r="L142" s="82" t="n"/>
      <c r="M142" s="82" t="n"/>
      <c r="N142" s="82" t="n"/>
      <c r="O142" s="82" t="n"/>
    </row>
    <row r="143">
      <c r="A143" s="82" t="n"/>
      <c r="B143" s="82" t="n"/>
      <c r="C143" s="82" t="n"/>
      <c r="D143" s="82" t="n"/>
      <c r="E143" s="82" t="n"/>
      <c r="F143" s="82" t="n"/>
      <c r="G143" s="82" t="n"/>
      <c r="H143" s="82" t="n"/>
      <c r="I143" s="82" t="n"/>
      <c r="J143" s="82" t="n"/>
      <c r="K143" s="82" t="n"/>
      <c r="L143" s="82" t="n"/>
      <c r="M143" s="82" t="n"/>
      <c r="N143" s="82" t="n"/>
      <c r="O143" s="82" t="n"/>
    </row>
    <row r="144">
      <c r="A144" s="82" t="n"/>
      <c r="B144" s="82" t="n"/>
      <c r="C144" s="82" t="n"/>
      <c r="D144" s="82" t="n"/>
      <c r="E144" s="82" t="n"/>
      <c r="F144" s="82" t="n"/>
      <c r="G144" s="82" t="n"/>
      <c r="H144" s="82" t="n"/>
      <c r="I144" s="82" t="n"/>
      <c r="J144" s="82" t="n"/>
      <c r="K144" s="82" t="n"/>
      <c r="L144" s="82" t="n"/>
      <c r="M144" s="82" t="n"/>
      <c r="N144" s="82" t="n"/>
      <c r="O144" s="82" t="n"/>
    </row>
    <row r="145">
      <c r="A145" s="82" t="n"/>
      <c r="B145" s="82" t="n"/>
      <c r="C145" s="82" t="n"/>
      <c r="D145" s="82" t="n"/>
      <c r="E145" s="82" t="n"/>
      <c r="F145" s="82" t="n"/>
      <c r="G145" s="82" t="n"/>
      <c r="H145" s="82" t="n"/>
      <c r="I145" s="82" t="n"/>
      <c r="J145" s="82" t="n"/>
      <c r="K145" s="82" t="n"/>
      <c r="L145" s="82" t="n"/>
      <c r="M145" s="82" t="n"/>
      <c r="N145" s="82" t="n"/>
      <c r="O145" s="82" t="n"/>
    </row>
    <row r="146">
      <c r="A146" s="82" t="n"/>
      <c r="B146" s="82" t="n"/>
      <c r="C146" s="82" t="n"/>
      <c r="D146" s="82" t="n"/>
      <c r="E146" s="82" t="n"/>
      <c r="F146" s="82" t="n"/>
      <c r="G146" s="82" t="n"/>
      <c r="H146" s="82" t="n"/>
      <c r="I146" s="82" t="n"/>
      <c r="J146" s="82" t="n"/>
      <c r="K146" s="82" t="n"/>
      <c r="L146" s="82" t="n"/>
      <c r="M146" s="82" t="n"/>
      <c r="N146" s="82" t="n"/>
      <c r="O146" s="82" t="n"/>
    </row>
    <row r="147">
      <c r="A147" s="82" t="n"/>
      <c r="B147" s="82" t="n"/>
      <c r="C147" s="82" t="n"/>
      <c r="D147" s="82" t="n"/>
      <c r="E147" s="82" t="n"/>
      <c r="F147" s="82" t="n"/>
      <c r="G147" s="82" t="n"/>
      <c r="H147" s="82" t="n"/>
      <c r="I147" s="82" t="n"/>
      <c r="J147" s="82" t="n"/>
      <c r="K147" s="82" t="n"/>
      <c r="L147" s="82" t="n"/>
      <c r="M147" s="82" t="n"/>
      <c r="N147" s="82" t="n"/>
      <c r="O147" s="82" t="n"/>
    </row>
    <row r="148">
      <c r="A148" s="82" t="n"/>
      <c r="B148" s="82" t="n"/>
      <c r="C148" s="82" t="n"/>
      <c r="D148" s="82" t="n"/>
      <c r="E148" s="82" t="n"/>
      <c r="F148" s="82" t="n"/>
      <c r="G148" s="82" t="n"/>
      <c r="H148" s="82" t="n"/>
      <c r="I148" s="82" t="n"/>
      <c r="J148" s="82" t="n"/>
      <c r="K148" s="82" t="n"/>
      <c r="L148" s="82" t="n"/>
      <c r="M148" s="82" t="n"/>
      <c r="N148" s="82" t="n"/>
      <c r="O148" s="82" t="n"/>
    </row>
    <row r="149">
      <c r="A149" s="82" t="n"/>
      <c r="B149" s="82" t="n"/>
      <c r="C149" s="82" t="n"/>
      <c r="D149" s="82" t="n"/>
      <c r="E149" s="82" t="n"/>
      <c r="F149" s="82" t="n"/>
      <c r="G149" s="82" t="n"/>
      <c r="H149" s="82" t="n"/>
      <c r="I149" s="82" t="n"/>
      <c r="J149" s="82" t="n"/>
      <c r="K149" s="82" t="n"/>
      <c r="L149" s="82" t="n"/>
      <c r="M149" s="82" t="n"/>
      <c r="N149" s="82" t="n"/>
      <c r="O149" s="82" t="n"/>
    </row>
    <row r="150">
      <c r="A150" s="82" t="n"/>
      <c r="B150" s="82" t="n"/>
      <c r="C150" s="82" t="n"/>
      <c r="D150" s="82" t="n"/>
      <c r="E150" s="82" t="n"/>
      <c r="F150" s="82" t="n"/>
      <c r="G150" s="82" t="n"/>
      <c r="H150" s="82" t="n"/>
      <c r="I150" s="82" t="n"/>
      <c r="J150" s="82" t="n"/>
      <c r="K150" s="82" t="n"/>
      <c r="L150" s="82" t="n"/>
      <c r="M150" s="82" t="n"/>
      <c r="N150" s="82" t="n"/>
      <c r="O150" s="82" t="n"/>
    </row>
    <row r="151">
      <c r="A151" s="82" t="n"/>
      <c r="B151" s="82" t="n"/>
      <c r="C151" s="82" t="n"/>
      <c r="D151" s="82" t="n"/>
      <c r="E151" s="82" t="n"/>
      <c r="F151" s="82" t="n"/>
      <c r="G151" s="82" t="n"/>
      <c r="H151" s="82" t="n"/>
      <c r="I151" s="82" t="n"/>
      <c r="J151" s="82" t="n"/>
      <c r="K151" s="82" t="n"/>
      <c r="L151" s="82" t="n"/>
      <c r="M151" s="82" t="n"/>
      <c r="N151" s="82" t="n"/>
      <c r="O151" s="82" t="n"/>
    </row>
    <row r="152">
      <c r="A152" s="82" t="n"/>
      <c r="B152" s="82" t="n"/>
      <c r="C152" s="82" t="n"/>
      <c r="D152" s="82" t="n"/>
      <c r="E152" s="82" t="n"/>
      <c r="F152" s="82" t="n"/>
      <c r="G152" s="82" t="n"/>
      <c r="H152" s="82" t="n"/>
      <c r="I152" s="82" t="n"/>
      <c r="J152" s="82" t="n"/>
      <c r="K152" s="82" t="n"/>
      <c r="L152" s="82" t="n"/>
      <c r="M152" s="82" t="n"/>
      <c r="N152" s="82" t="n"/>
      <c r="O152" s="82" t="n"/>
    </row>
    <row r="153">
      <c r="A153" s="82" t="n"/>
      <c r="B153" s="82" t="n"/>
      <c r="C153" s="82" t="n"/>
      <c r="D153" s="82" t="n"/>
      <c r="E153" s="82" t="n"/>
      <c r="F153" s="82" t="n"/>
      <c r="G153" s="82" t="n"/>
      <c r="H153" s="82" t="n"/>
      <c r="I153" s="82" t="n"/>
      <c r="J153" s="82" t="n"/>
      <c r="K153" s="82" t="n"/>
      <c r="L153" s="82" t="n"/>
      <c r="M153" s="82" t="n"/>
      <c r="N153" s="82" t="n"/>
      <c r="O153" s="82" t="n"/>
    </row>
    <row r="154">
      <c r="A154" s="82" t="n"/>
      <c r="B154" s="82" t="n"/>
      <c r="C154" s="82" t="n"/>
      <c r="D154" s="82" t="n"/>
      <c r="E154" s="82" t="n"/>
      <c r="F154" s="82" t="n"/>
      <c r="G154" s="82" t="n"/>
      <c r="H154" s="82" t="n"/>
      <c r="I154" s="82" t="n"/>
      <c r="J154" s="82" t="n"/>
      <c r="K154" s="82" t="n"/>
      <c r="L154" s="82" t="n"/>
      <c r="M154" s="82" t="n"/>
      <c r="N154" s="82" t="n"/>
      <c r="O154" s="82" t="n"/>
    </row>
    <row r="155">
      <c r="A155" s="82" t="n"/>
      <c r="B155" s="82" t="n"/>
      <c r="C155" s="82" t="n"/>
      <c r="D155" s="82" t="n"/>
      <c r="E155" s="82" t="n"/>
      <c r="F155" s="82" t="n"/>
      <c r="G155" s="82" t="n"/>
      <c r="H155" s="82" t="n"/>
      <c r="I155" s="82" t="n"/>
      <c r="J155" s="82" t="n"/>
      <c r="K155" s="82" t="n"/>
      <c r="L155" s="82" t="n"/>
      <c r="M155" s="82" t="n"/>
      <c r="N155" s="82" t="n"/>
      <c r="O155" s="82" t="n"/>
    </row>
    <row r="156">
      <c r="A156" s="82" t="n"/>
      <c r="B156" s="82" t="n"/>
      <c r="C156" s="82" t="n"/>
      <c r="D156" s="82" t="n"/>
      <c r="E156" s="82" t="n"/>
      <c r="F156" s="82" t="n"/>
      <c r="G156" s="82" t="n"/>
      <c r="H156" s="82" t="n"/>
      <c r="I156" s="82" t="n"/>
      <c r="J156" s="82" t="n"/>
      <c r="K156" s="82" t="n"/>
      <c r="L156" s="82" t="n"/>
      <c r="M156" s="82" t="n"/>
      <c r="N156" s="82" t="n"/>
      <c r="O156" s="82" t="n"/>
    </row>
    <row r="157">
      <c r="A157" s="82" t="n"/>
      <c r="B157" s="82" t="n"/>
      <c r="C157" s="82" t="n"/>
      <c r="D157" s="82" t="n"/>
      <c r="E157" s="82" t="n"/>
      <c r="F157" s="82" t="n"/>
      <c r="G157" s="82" t="n"/>
      <c r="H157" s="82" t="n"/>
      <c r="I157" s="82" t="n"/>
      <c r="J157" s="82" t="n"/>
      <c r="K157" s="82" t="n"/>
      <c r="L157" s="82" t="n"/>
      <c r="M157" s="82" t="n"/>
      <c r="N157" s="82" t="n"/>
      <c r="O157" s="82" t="n"/>
    </row>
    <row r="158">
      <c r="A158" s="82" t="n"/>
      <c r="B158" s="82" t="n"/>
      <c r="C158" s="82" t="n"/>
      <c r="D158" s="82" t="n"/>
      <c r="E158" s="82" t="n"/>
      <c r="F158" s="82" t="n"/>
      <c r="G158" s="82" t="n"/>
      <c r="H158" s="82" t="n"/>
      <c r="I158" s="82" t="n"/>
      <c r="J158" s="82" t="n"/>
      <c r="K158" s="82" t="n"/>
      <c r="L158" s="82" t="n"/>
      <c r="M158" s="82" t="n"/>
      <c r="N158" s="82" t="n"/>
      <c r="O158" s="82" t="n"/>
    </row>
    <row r="159">
      <c r="A159" s="82" t="n"/>
      <c r="B159" s="82" t="n"/>
      <c r="C159" s="82" t="n"/>
      <c r="D159" s="82" t="n"/>
      <c r="E159" s="82" t="n"/>
      <c r="F159" s="82" t="n"/>
      <c r="G159" s="82" t="n"/>
      <c r="H159" s="82" t="n"/>
      <c r="I159" s="82" t="n"/>
      <c r="J159" s="82" t="n"/>
      <c r="K159" s="82" t="n"/>
      <c r="L159" s="82" t="n"/>
      <c r="M159" s="82" t="n"/>
      <c r="N159" s="82" t="n"/>
      <c r="O159" s="82" t="n"/>
    </row>
    <row r="160">
      <c r="A160" s="82" t="n"/>
      <c r="B160" s="82" t="n"/>
      <c r="C160" s="82" t="n"/>
      <c r="D160" s="82" t="n"/>
      <c r="E160" s="82" t="n"/>
      <c r="F160" s="82" t="n"/>
      <c r="G160" s="82" t="n"/>
      <c r="H160" s="82" t="n"/>
      <c r="I160" s="82" t="n"/>
      <c r="J160" s="82" t="n"/>
      <c r="K160" s="82" t="n"/>
      <c r="L160" s="82" t="n"/>
      <c r="M160" s="82" t="n"/>
      <c r="N160" s="82" t="n"/>
      <c r="O160" s="82" t="n"/>
    </row>
    <row r="161">
      <c r="A161" s="82" t="n"/>
      <c r="B161" s="82" t="n"/>
      <c r="C161" s="82" t="n"/>
      <c r="D161" s="82" t="n"/>
      <c r="E161" s="82" t="n"/>
      <c r="F161" s="82" t="n"/>
      <c r="G161" s="82" t="n"/>
      <c r="H161" s="82" t="n"/>
      <c r="I161" s="82" t="n"/>
      <c r="J161" s="82" t="n"/>
      <c r="K161" s="82" t="n"/>
      <c r="L161" s="82" t="n"/>
      <c r="M161" s="82" t="n"/>
      <c r="N161" s="82" t="n"/>
      <c r="O161" s="82" t="n"/>
    </row>
    <row r="162">
      <c r="A162" s="82" t="n"/>
      <c r="B162" s="82" t="n"/>
      <c r="C162" s="82" t="n"/>
      <c r="D162" s="82" t="n"/>
      <c r="E162" s="82" t="n"/>
      <c r="F162" s="82" t="n"/>
      <c r="G162" s="82" t="n"/>
      <c r="H162" s="82" t="n"/>
      <c r="I162" s="82" t="n"/>
      <c r="J162" s="82" t="n"/>
      <c r="K162" s="82" t="n"/>
      <c r="L162" s="82" t="n"/>
      <c r="M162" s="82" t="n"/>
      <c r="N162" s="82" t="n"/>
      <c r="O162" s="82" t="n"/>
    </row>
    <row r="163">
      <c r="A163" s="82" t="n"/>
      <c r="B163" s="82" t="n"/>
      <c r="C163" s="82" t="n"/>
      <c r="D163" s="82" t="n"/>
      <c r="E163" s="82" t="n"/>
      <c r="F163" s="82" t="n"/>
      <c r="G163" s="82" t="n"/>
      <c r="H163" s="82" t="n"/>
      <c r="I163" s="82" t="n"/>
      <c r="J163" s="82" t="n"/>
      <c r="K163" s="82" t="n"/>
      <c r="L163" s="82" t="n"/>
      <c r="M163" s="82" t="n"/>
      <c r="N163" s="82" t="n"/>
      <c r="O163" s="82" t="n"/>
    </row>
    <row r="164">
      <c r="A164" s="82" t="n"/>
      <c r="B164" s="82" t="n"/>
      <c r="C164" s="82" t="n"/>
      <c r="D164" s="82" t="n"/>
      <c r="E164" s="82" t="n"/>
      <c r="F164" s="82" t="n"/>
      <c r="G164" s="82" t="n"/>
      <c r="H164" s="82" t="n"/>
      <c r="I164" s="82" t="n"/>
      <c r="J164" s="82" t="n"/>
      <c r="K164" s="82" t="n"/>
      <c r="L164" s="82" t="n"/>
      <c r="M164" s="82" t="n"/>
      <c r="N164" s="82" t="n"/>
      <c r="O164" s="82" t="n"/>
    </row>
    <row r="165">
      <c r="A165" s="82" t="n"/>
      <c r="B165" s="82" t="n"/>
      <c r="C165" s="82" t="n"/>
      <c r="D165" s="82" t="n"/>
      <c r="E165" s="82" t="n"/>
      <c r="F165" s="82" t="n"/>
      <c r="G165" s="82" t="n"/>
      <c r="H165" s="82" t="n"/>
      <c r="I165" s="82" t="n"/>
      <c r="J165" s="82" t="n"/>
      <c r="K165" s="82" t="n"/>
      <c r="L165" s="82" t="n"/>
      <c r="M165" s="82" t="n"/>
      <c r="N165" s="82" t="n"/>
      <c r="O165" s="82" t="n"/>
    </row>
    <row r="166">
      <c r="A166" s="82" t="n"/>
      <c r="B166" s="82" t="n"/>
      <c r="C166" s="82" t="n"/>
      <c r="D166" s="82" t="n"/>
      <c r="E166" s="82" t="n"/>
      <c r="F166" s="82" t="n"/>
      <c r="G166" s="82" t="n"/>
      <c r="H166" s="82" t="n"/>
      <c r="I166" s="82" t="n"/>
      <c r="J166" s="82" t="n"/>
      <c r="K166" s="82" t="n"/>
      <c r="L166" s="82" t="n"/>
      <c r="M166" s="82" t="n"/>
      <c r="N166" s="82" t="n"/>
      <c r="O166" s="82" t="n"/>
    </row>
    <row r="167">
      <c r="A167" s="82" t="n"/>
      <c r="B167" s="82" t="n"/>
      <c r="C167" s="82" t="n"/>
      <c r="D167" s="82" t="n"/>
      <c r="E167" s="82" t="n"/>
      <c r="F167" s="82" t="n"/>
      <c r="G167" s="82" t="n"/>
      <c r="H167" s="82" t="n"/>
      <c r="I167" s="82" t="n"/>
      <c r="J167" s="82" t="n"/>
      <c r="K167" s="82" t="n"/>
      <c r="L167" s="82" t="n"/>
      <c r="M167" s="82" t="n"/>
      <c r="N167" s="82" t="n"/>
      <c r="O167" s="82" t="n"/>
    </row>
    <row r="168">
      <c r="A168" s="82" t="n"/>
      <c r="B168" s="82" t="n"/>
      <c r="C168" s="82" t="n"/>
      <c r="D168" s="82" t="n"/>
      <c r="E168" s="82" t="n"/>
      <c r="F168" s="82" t="n"/>
      <c r="G168" s="82" t="n"/>
      <c r="H168" s="82" t="n"/>
      <c r="I168" s="82" t="n"/>
      <c r="J168" s="82" t="n"/>
      <c r="K168" s="82" t="n"/>
      <c r="L168" s="82" t="n"/>
      <c r="M168" s="82" t="n"/>
      <c r="N168" s="82" t="n"/>
      <c r="O168" s="82" t="n"/>
    </row>
    <row r="169">
      <c r="A169" s="82" t="n"/>
      <c r="B169" s="82" t="n"/>
      <c r="C169" s="82" t="n"/>
      <c r="D169" s="82" t="n"/>
      <c r="E169" s="82" t="n"/>
      <c r="F169" s="82" t="n"/>
      <c r="G169" s="82" t="n"/>
      <c r="H169" s="82" t="n"/>
      <c r="I169" s="82" t="n"/>
      <c r="J169" s="82" t="n"/>
      <c r="K169" s="82" t="n"/>
      <c r="L169" s="82" t="n"/>
      <c r="M169" s="82" t="n"/>
      <c r="N169" s="82" t="n"/>
      <c r="O169" s="82" t="n"/>
    </row>
    <row r="170">
      <c r="A170" s="82" t="n"/>
      <c r="B170" s="82" t="n"/>
      <c r="C170" s="82" t="n"/>
      <c r="D170" s="82" t="n"/>
      <c r="E170" s="82" t="n"/>
      <c r="F170" s="82" t="n"/>
      <c r="G170" s="82" t="n"/>
      <c r="H170" s="82" t="n"/>
      <c r="I170" s="82" t="n"/>
      <c r="J170" s="82" t="n"/>
      <c r="K170" s="82" t="n"/>
      <c r="L170" s="82" t="n"/>
      <c r="M170" s="82" t="n"/>
      <c r="N170" s="82" t="n"/>
      <c r="O170" s="82" t="n"/>
    </row>
    <row r="171">
      <c r="A171" s="82" t="n"/>
      <c r="B171" s="82" t="n"/>
      <c r="C171" s="82" t="n"/>
      <c r="D171" s="82" t="n"/>
      <c r="E171" s="82" t="n"/>
      <c r="F171" s="82" t="n"/>
      <c r="G171" s="82" t="n"/>
      <c r="H171" s="82" t="n"/>
      <c r="I171" s="82" t="n"/>
      <c r="J171" s="82" t="n"/>
      <c r="K171" s="82" t="n"/>
      <c r="L171" s="82" t="n"/>
      <c r="M171" s="82" t="n"/>
      <c r="N171" s="82" t="n"/>
      <c r="O171" s="82" t="n"/>
    </row>
    <row r="172">
      <c r="A172" s="82" t="n"/>
      <c r="B172" s="82" t="n"/>
      <c r="C172" s="82" t="n"/>
      <c r="D172" s="82" t="n"/>
      <c r="E172" s="82" t="n"/>
      <c r="F172" s="82" t="n"/>
      <c r="G172" s="82" t="n"/>
      <c r="H172" s="82" t="n"/>
      <c r="I172" s="82" t="n"/>
      <c r="J172" s="82" t="n"/>
      <c r="K172" s="82" t="n"/>
      <c r="L172" s="82" t="n"/>
      <c r="M172" s="82" t="n"/>
      <c r="N172" s="82" t="n"/>
      <c r="O172" s="82" t="n"/>
    </row>
    <row r="173">
      <c r="A173" s="82" t="n"/>
      <c r="B173" s="82" t="n"/>
      <c r="C173" s="82" t="n"/>
      <c r="D173" s="82" t="n"/>
      <c r="E173" s="82" t="n"/>
      <c r="F173" s="82" t="n"/>
      <c r="G173" s="82" t="n"/>
      <c r="H173" s="82" t="n"/>
      <c r="I173" s="82" t="n"/>
      <c r="J173" s="82" t="n"/>
      <c r="K173" s="82" t="n"/>
      <c r="L173" s="82" t="n"/>
      <c r="M173" s="82" t="n"/>
      <c r="N173" s="82" t="n"/>
      <c r="O173" s="82" t="n"/>
    </row>
    <row r="174">
      <c r="A174" s="82" t="n"/>
      <c r="B174" s="82" t="n"/>
      <c r="C174" s="82" t="n"/>
      <c r="D174" s="82" t="n"/>
      <c r="E174" s="82" t="n"/>
      <c r="F174" s="82" t="n"/>
      <c r="G174" s="82" t="n"/>
      <c r="H174" s="82" t="n"/>
      <c r="I174" s="82" t="n"/>
      <c r="J174" s="82" t="n"/>
      <c r="K174" s="82" t="n"/>
      <c r="L174" s="82" t="n"/>
      <c r="M174" s="82" t="n"/>
      <c r="N174" s="82" t="n"/>
      <c r="O174" s="82" t="n"/>
    </row>
    <row r="175">
      <c r="A175" s="82" t="n"/>
      <c r="B175" s="82" t="n"/>
      <c r="C175" s="82" t="n"/>
      <c r="D175" s="82" t="n"/>
      <c r="E175" s="82" t="n"/>
      <c r="F175" s="82" t="n"/>
      <c r="G175" s="82" t="n"/>
      <c r="H175" s="82" t="n"/>
      <c r="I175" s="82" t="n"/>
      <c r="J175" s="82" t="n"/>
      <c r="K175" s="82" t="n"/>
      <c r="L175" s="82" t="n"/>
      <c r="M175" s="82" t="n"/>
      <c r="N175" s="82" t="n"/>
      <c r="O175" s="82" t="n"/>
    </row>
    <row r="176">
      <c r="A176" s="82" t="n"/>
      <c r="B176" s="82" t="n"/>
      <c r="C176" s="82" t="n"/>
      <c r="D176" s="82" t="n"/>
      <c r="E176" s="82" t="n"/>
      <c r="F176" s="82" t="n"/>
      <c r="G176" s="82" t="n"/>
      <c r="H176" s="82" t="n"/>
      <c r="I176" s="82" t="n"/>
      <c r="J176" s="82" t="n"/>
      <c r="K176" s="82" t="n"/>
      <c r="L176" s="82" t="n"/>
      <c r="M176" s="82" t="n"/>
      <c r="N176" s="82" t="n"/>
      <c r="O176" s="82" t="n"/>
    </row>
    <row r="177">
      <c r="A177" s="82" t="n"/>
      <c r="B177" s="82" t="n"/>
      <c r="C177" s="82" t="n"/>
      <c r="D177" s="82" t="n"/>
      <c r="E177" s="82" t="n"/>
      <c r="F177" s="82" t="n"/>
      <c r="G177" s="82" t="n"/>
      <c r="H177" s="82" t="n"/>
      <c r="I177" s="82" t="n"/>
      <c r="J177" s="82" t="n"/>
      <c r="K177" s="82" t="n"/>
      <c r="L177" s="82" t="n"/>
      <c r="M177" s="82" t="n"/>
      <c r="N177" s="82" t="n"/>
      <c r="O177" s="82" t="n"/>
    </row>
    <row r="178">
      <c r="A178" s="82" t="n"/>
      <c r="B178" s="82" t="n"/>
      <c r="C178" s="82" t="n"/>
      <c r="D178" s="82" t="n"/>
      <c r="E178" s="82" t="n"/>
      <c r="F178" s="82" t="n"/>
      <c r="G178" s="82" t="n"/>
      <c r="H178" s="82" t="n"/>
      <c r="I178" s="82" t="n"/>
      <c r="J178" s="82" t="n"/>
      <c r="K178" s="82" t="n"/>
      <c r="L178" s="82" t="n"/>
      <c r="M178" s="82" t="n"/>
      <c r="N178" s="82" t="n"/>
      <c r="O178" s="82" t="n"/>
    </row>
    <row r="179">
      <c r="A179" s="82" t="n"/>
      <c r="B179" s="82" t="n"/>
      <c r="C179" s="82" t="n"/>
      <c r="D179" s="82" t="n"/>
      <c r="E179" s="82" t="n"/>
      <c r="F179" s="82" t="n"/>
      <c r="G179" s="82" t="n"/>
      <c r="H179" s="82" t="n"/>
      <c r="I179" s="82" t="n"/>
      <c r="J179" s="82" t="n"/>
      <c r="K179" s="82" t="n"/>
      <c r="L179" s="82" t="n"/>
      <c r="M179" s="82" t="n"/>
      <c r="N179" s="82" t="n"/>
      <c r="O179" s="82" t="n"/>
    </row>
    <row r="180">
      <c r="A180" s="82" t="n"/>
      <c r="B180" s="82" t="n"/>
      <c r="C180" s="82" t="n"/>
      <c r="D180" s="82" t="n"/>
      <c r="E180" s="82" t="n"/>
      <c r="F180" s="82" t="n"/>
      <c r="G180" s="82" t="n"/>
      <c r="H180" s="82" t="n"/>
      <c r="I180" s="82" t="n"/>
      <c r="J180" s="82" t="n"/>
      <c r="K180" s="82" t="n"/>
      <c r="L180" s="82" t="n"/>
      <c r="M180" s="82" t="n"/>
      <c r="N180" s="82" t="n"/>
      <c r="O180" s="82" t="n"/>
    </row>
    <row r="181">
      <c r="A181" s="82" t="n"/>
      <c r="B181" s="82" t="n"/>
      <c r="C181" s="82" t="n"/>
      <c r="D181" s="82" t="n"/>
      <c r="E181" s="82" t="n"/>
      <c r="F181" s="82" t="n"/>
      <c r="G181" s="82" t="n"/>
      <c r="H181" s="82" t="n"/>
      <c r="I181" s="82" t="n"/>
      <c r="J181" s="82" t="n"/>
      <c r="K181" s="82" t="n"/>
      <c r="L181" s="82" t="n"/>
      <c r="M181" s="82" t="n"/>
      <c r="N181" s="82" t="n"/>
      <c r="O181" s="82" t="n"/>
    </row>
    <row r="182">
      <c r="A182" s="82" t="n"/>
      <c r="B182" s="82" t="n"/>
      <c r="C182" s="82" t="n"/>
      <c r="D182" s="82" t="n"/>
      <c r="E182" s="82" t="n"/>
      <c r="F182" s="82" t="n"/>
      <c r="G182" s="82" t="n"/>
      <c r="H182" s="82" t="n"/>
      <c r="I182" s="82" t="n"/>
      <c r="J182" s="82" t="n"/>
      <c r="K182" s="82" t="n"/>
      <c r="L182" s="82" t="n"/>
      <c r="M182" s="82" t="n"/>
      <c r="N182" s="82" t="n"/>
      <c r="O182" s="82" t="n"/>
    </row>
    <row r="183">
      <c r="A183" s="82" t="n"/>
      <c r="B183" s="82" t="n"/>
      <c r="C183" s="82" t="n"/>
      <c r="D183" s="82" t="n"/>
      <c r="E183" s="82" t="n"/>
      <c r="F183" s="82" t="n"/>
      <c r="G183" s="82" t="n"/>
      <c r="H183" s="82" t="n"/>
      <c r="I183" s="82" t="n"/>
      <c r="J183" s="82" t="n"/>
      <c r="K183" s="82" t="n"/>
      <c r="L183" s="82" t="n"/>
      <c r="M183" s="82" t="n"/>
      <c r="N183" s="82" t="n"/>
      <c r="O183" s="82" t="n"/>
    </row>
    <row r="184">
      <c r="A184" s="82" t="n"/>
      <c r="B184" s="82" t="n"/>
      <c r="C184" s="82" t="n"/>
      <c r="D184" s="82" t="n"/>
      <c r="E184" s="82" t="n"/>
      <c r="F184" s="82" t="n"/>
      <c r="G184" s="82" t="n"/>
      <c r="H184" s="82" t="n"/>
      <c r="I184" s="82" t="n"/>
      <c r="J184" s="82" t="n"/>
      <c r="K184" s="82" t="n"/>
      <c r="L184" s="82" t="n"/>
      <c r="M184" s="82" t="n"/>
      <c r="N184" s="82" t="n"/>
      <c r="O184" s="82" t="n"/>
    </row>
    <row r="185">
      <c r="A185" s="82" t="n"/>
      <c r="B185" s="82" t="n"/>
      <c r="C185" s="82" t="n"/>
      <c r="D185" s="82" t="n"/>
      <c r="E185" s="82" t="n"/>
      <c r="F185" s="82" t="n"/>
      <c r="G185" s="82" t="n"/>
      <c r="H185" s="82" t="n"/>
      <c r="I185" s="82" t="n"/>
      <c r="J185" s="82" t="n"/>
      <c r="K185" s="82" t="n"/>
      <c r="L185" s="82" t="n"/>
      <c r="M185" s="82" t="n"/>
      <c r="N185" s="82" t="n"/>
      <c r="O185" s="82" t="n"/>
    </row>
    <row r="186">
      <c r="A186" s="82" t="n"/>
      <c r="B186" s="82" t="n"/>
      <c r="C186" s="82" t="n"/>
      <c r="D186" s="82" t="n"/>
      <c r="E186" s="82" t="n"/>
      <c r="F186" s="82" t="n"/>
      <c r="G186" s="82" t="n"/>
      <c r="H186" s="82" t="n"/>
      <c r="I186" s="82" t="n"/>
      <c r="J186" s="82" t="n"/>
      <c r="K186" s="82" t="n"/>
      <c r="L186" s="82" t="n"/>
      <c r="M186" s="82" t="n"/>
      <c r="N186" s="82" t="n"/>
      <c r="O186" s="82" t="n"/>
    </row>
    <row r="187">
      <c r="A187" s="82" t="n"/>
      <c r="B187" s="82" t="n"/>
      <c r="C187" s="82" t="n"/>
      <c r="D187" s="82" t="n"/>
      <c r="E187" s="82" t="n"/>
      <c r="F187" s="82" t="n"/>
      <c r="G187" s="82" t="n"/>
      <c r="H187" s="82" t="n"/>
      <c r="I187" s="82" t="n"/>
      <c r="J187" s="82" t="n"/>
      <c r="K187" s="82" t="n"/>
      <c r="L187" s="82" t="n"/>
      <c r="M187" s="82" t="n"/>
      <c r="N187" s="82" t="n"/>
      <c r="O187" s="82" t="n"/>
    </row>
    <row r="188">
      <c r="A188" s="82" t="n"/>
      <c r="B188" s="82" t="n"/>
      <c r="C188" s="82" t="n"/>
      <c r="D188" s="82" t="n"/>
      <c r="E188" s="82" t="n"/>
      <c r="F188" s="82" t="n"/>
      <c r="G188" s="82" t="n"/>
      <c r="H188" s="82" t="n"/>
      <c r="I188" s="82" t="n"/>
      <c r="J188" s="82" t="n"/>
      <c r="K188" s="82" t="n"/>
      <c r="L188" s="82" t="n"/>
      <c r="M188" s="82" t="n"/>
      <c r="N188" s="82" t="n"/>
      <c r="O188" s="82" t="n"/>
    </row>
    <row r="189">
      <c r="A189" s="82" t="n"/>
      <c r="B189" s="82" t="n"/>
      <c r="C189" s="82" t="n"/>
      <c r="D189" s="82" t="n"/>
      <c r="E189" s="82" t="n"/>
      <c r="F189" s="82" t="n"/>
      <c r="G189" s="82" t="n"/>
      <c r="H189" s="82" t="n"/>
      <c r="I189" s="82" t="n"/>
      <c r="J189" s="82" t="n"/>
      <c r="K189" s="82" t="n"/>
      <c r="L189" s="82" t="n"/>
      <c r="M189" s="82" t="n"/>
      <c r="N189" s="82" t="n"/>
      <c r="O189" s="82" t="n"/>
    </row>
    <row r="190">
      <c r="A190" s="82" t="n"/>
      <c r="B190" s="82" t="n"/>
      <c r="C190" s="82" t="n"/>
      <c r="D190" s="82" t="n"/>
      <c r="E190" s="82" t="n"/>
      <c r="F190" s="82" t="n"/>
      <c r="G190" s="82" t="n"/>
      <c r="H190" s="82" t="n"/>
      <c r="I190" s="82" t="n"/>
      <c r="J190" s="82" t="n"/>
      <c r="K190" s="82" t="n"/>
      <c r="L190" s="82" t="n"/>
      <c r="M190" s="82" t="n"/>
      <c r="N190" s="82" t="n"/>
      <c r="O190" s="82" t="n"/>
    </row>
    <row r="191">
      <c r="A191" s="82" t="n"/>
      <c r="B191" s="82" t="n"/>
      <c r="C191" s="82" t="n"/>
      <c r="D191" s="82" t="n"/>
      <c r="E191" s="82" t="n"/>
      <c r="F191" s="82" t="n"/>
      <c r="G191" s="82" t="n"/>
      <c r="H191" s="82" t="n"/>
      <c r="I191" s="82" t="n"/>
      <c r="J191" s="82" t="n"/>
      <c r="K191" s="82" t="n"/>
      <c r="L191" s="82" t="n"/>
      <c r="M191" s="82" t="n"/>
      <c r="N191" s="82" t="n"/>
      <c r="O191" s="82" t="n"/>
    </row>
    <row r="192">
      <c r="A192" s="82" t="n"/>
      <c r="B192" s="82" t="n"/>
      <c r="C192" s="82" t="n"/>
      <c r="D192" s="82" t="n"/>
      <c r="E192" s="82" t="n"/>
      <c r="F192" s="82" t="n"/>
      <c r="G192" s="82" t="n"/>
      <c r="H192" s="82" t="n"/>
      <c r="I192" s="82" t="n"/>
      <c r="J192" s="82" t="n"/>
      <c r="K192" s="82" t="n"/>
      <c r="L192" s="82" t="n"/>
      <c r="M192" s="82" t="n"/>
      <c r="N192" s="82" t="n"/>
      <c r="O192" s="82" t="n"/>
    </row>
    <row r="193">
      <c r="A193" s="82" t="n"/>
      <c r="B193" s="82" t="n"/>
      <c r="C193" s="82" t="n"/>
      <c r="D193" s="82" t="n"/>
      <c r="E193" s="82" t="n"/>
      <c r="F193" s="82" t="n"/>
      <c r="G193" s="82" t="n"/>
      <c r="H193" s="82" t="n"/>
      <c r="I193" s="82" t="n"/>
      <c r="J193" s="82" t="n"/>
      <c r="K193" s="82" t="n"/>
      <c r="L193" s="82" t="n"/>
      <c r="M193" s="82" t="n"/>
      <c r="N193" s="82" t="n"/>
      <c r="O193" s="82" t="n"/>
    </row>
    <row r="194">
      <c r="A194" s="82" t="n"/>
      <c r="B194" s="82" t="n"/>
      <c r="C194" s="82" t="n"/>
      <c r="D194" s="82" t="n"/>
      <c r="E194" s="82" t="n"/>
      <c r="F194" s="82" t="n"/>
      <c r="G194" s="82" t="n"/>
      <c r="H194" s="82" t="n"/>
      <c r="I194" s="82" t="n"/>
      <c r="J194" s="82" t="n"/>
      <c r="K194" s="82" t="n"/>
      <c r="L194" s="82" t="n"/>
      <c r="M194" s="82" t="n"/>
      <c r="N194" s="82" t="n"/>
      <c r="O194" s="82" t="n"/>
    </row>
    <row r="195">
      <c r="A195" s="82" t="n"/>
      <c r="B195" s="82" t="n"/>
      <c r="C195" s="82" t="n"/>
      <c r="D195" s="82" t="n"/>
      <c r="E195" s="82" t="n"/>
      <c r="F195" s="82" t="n"/>
      <c r="G195" s="82" t="n"/>
      <c r="H195" s="82" t="n"/>
      <c r="I195" s="82" t="n"/>
      <c r="J195" s="82" t="n"/>
      <c r="K195" s="82" t="n"/>
      <c r="L195" s="82" t="n"/>
      <c r="M195" s="82" t="n"/>
      <c r="N195" s="82" t="n"/>
      <c r="O195" s="82" t="n"/>
    </row>
    <row r="196">
      <c r="A196" s="82" t="n"/>
      <c r="B196" s="82" t="n"/>
      <c r="C196" s="82" t="n"/>
      <c r="D196" s="82" t="n"/>
      <c r="E196" s="82" t="n"/>
      <c r="F196" s="82" t="n"/>
      <c r="G196" s="82" t="n"/>
      <c r="H196" s="82" t="n"/>
      <c r="I196" s="82" t="n"/>
      <c r="J196" s="82" t="n"/>
      <c r="K196" s="82" t="n"/>
      <c r="L196" s="82" t="n"/>
      <c r="M196" s="82" t="n"/>
      <c r="N196" s="82" t="n"/>
      <c r="O196" s="82" t="n"/>
    </row>
    <row r="197">
      <c r="A197" s="82" t="n"/>
      <c r="B197" s="82" t="n"/>
      <c r="C197" s="82" t="n"/>
      <c r="D197" s="82" t="n"/>
      <c r="E197" s="82" t="n"/>
      <c r="F197" s="82" t="n"/>
      <c r="G197" s="82" t="n"/>
      <c r="H197" s="82" t="n"/>
      <c r="I197" s="82" t="n"/>
      <c r="J197" s="82" t="n"/>
      <c r="K197" s="82" t="n"/>
      <c r="L197" s="82" t="n"/>
      <c r="M197" s="82" t="n"/>
      <c r="N197" s="82" t="n"/>
      <c r="O197" s="82" t="n"/>
    </row>
    <row r="198">
      <c r="A198" s="82" t="n"/>
      <c r="B198" s="82" t="n"/>
      <c r="C198" s="82" t="n"/>
      <c r="D198" s="82" t="n"/>
      <c r="E198" s="82" t="n"/>
      <c r="F198" s="82" t="n"/>
      <c r="G198" s="82" t="n"/>
      <c r="H198" s="82" t="n"/>
      <c r="I198" s="82" t="n"/>
      <c r="J198" s="82" t="n"/>
      <c r="K198" s="82" t="n"/>
      <c r="L198" s="82" t="n"/>
      <c r="M198" s="82" t="n"/>
      <c r="N198" s="82" t="n"/>
      <c r="O198" s="82" t="n"/>
    </row>
    <row r="199">
      <c r="A199" s="82" t="n"/>
      <c r="B199" s="82" t="n"/>
      <c r="C199" s="82" t="n"/>
      <c r="D199" s="82" t="n"/>
      <c r="E199" s="82" t="n"/>
      <c r="F199" s="82" t="n"/>
      <c r="G199" s="82" t="n"/>
      <c r="H199" s="82" t="n"/>
      <c r="I199" s="82" t="n"/>
      <c r="J199" s="82" t="n"/>
      <c r="K199" s="82" t="n"/>
      <c r="L199" s="82" t="n"/>
      <c r="M199" s="82" t="n"/>
      <c r="N199" s="82" t="n"/>
      <c r="O199" s="82" t="n"/>
    </row>
    <row r="200">
      <c r="A200" s="82" t="n"/>
      <c r="B200" s="82" t="n"/>
      <c r="C200" s="82" t="n"/>
      <c r="D200" s="82" t="n"/>
      <c r="E200" s="82" t="n"/>
      <c r="F200" s="82" t="n"/>
      <c r="G200" s="82" t="n"/>
      <c r="H200" s="82" t="n"/>
      <c r="I200" s="82" t="n"/>
      <c r="J200" s="82" t="n"/>
      <c r="K200" s="82" t="n"/>
      <c r="L200" s="82" t="n"/>
      <c r="M200" s="82" t="n"/>
      <c r="N200" s="82" t="n"/>
      <c r="O200" s="82" t="n"/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autoFilter ref="A4:Q34"/>
  <mergeCells count="2">
    <mergeCell ref="A2:Q2"/>
    <mergeCell ref="A1:Q1"/>
  </mergeCells>
  <conditionalFormatting sqref="H5:H80">
    <cfRule type="expression" priority="1" dxfId="8">
      <formula>H5="To Do"</formula>
    </cfRule>
    <cfRule type="expression" priority="2" dxfId="2">
      <formula>H5="Scheduled"</formula>
    </cfRule>
    <cfRule type="expression" priority="3" dxfId="9">
      <formula>H5="In Progress"</formula>
    </cfRule>
    <cfRule type="expression" priority="4" dxfId="1">
      <formula>H5="Inspection"</formula>
    </cfRule>
    <cfRule type="expression" priority="5" dxfId="0">
      <formula>H5="Completed"</formula>
    </cfRule>
    <cfRule type="expression" priority="6" dxfId="4">
      <formula>H5="Blocked"</formula>
    </cfRule>
  </conditionalFormatting>
  <conditionalFormatting sqref="Q5:Q200">
    <cfRule type="expression" priority="7" dxfId="0">
      <formula>Q5="Done"</formula>
    </cfRule>
    <cfRule type="expression" priority="8" dxfId="1">
      <formula>Q5="On Track"</formula>
    </cfRule>
    <cfRule type="expression" priority="9" dxfId="2">
      <formula>Q5="Due Soon"</formula>
    </cfRule>
    <cfRule type="expression" priority="10" dxfId="4">
      <formula>Q5="Overdue"</formula>
    </cfRule>
  </conditionalFormatting>
  <conditionalFormatting sqref="I5:I200">
    <cfRule type="expression" priority="11" dxfId="4">
      <formula>I5="Critical"</formula>
    </cfRule>
    <cfRule type="expression" priority="12" dxfId="9">
      <formula>I5="High"</formula>
    </cfRule>
    <cfRule type="expression" priority="13" dxfId="2">
      <formula>I5="Medium"</formula>
    </cfRule>
    <cfRule type="expression" priority="14" dxfId="0">
      <formula>I5="Low"</formula>
    </cfRule>
  </conditionalFormatting>
  <dataValidations count="3">
    <dataValidation sqref="H5:H200" showDropDown="0" showInputMessage="0" showErrorMessage="1" allowBlank="1" errorTitle="Invalid value" error="Pick a value from the list." type="list">
      <formula1>=Task_Status</formula1>
    </dataValidation>
    <dataValidation sqref="I5:I200" showDropDown="0" showInputMessage="0" showErrorMessage="1" allowBlank="1" errorTitle="Invalid value" error="Pick a value from the list." type="list">
      <formula1>=Priority</formula1>
    </dataValidation>
    <dataValidation sqref="G5:G200" showDropDown="0" showInputMessage="0" showErrorMessage="1" allowBlank="1" errorTitle="Invalid value" error="Pick a value from the list." type="list">
      <formula1>=Role</formula1>
    </dataValidation>
  </dataValidations>
  <pageMargins left="0.4" right="0.4" top="0.6" bottom="0.5" header="0.25" footer="0.25"/>
  <pageSetup orientation="landscape" paperSize="3" fitToHeight="0" fitToWidth="1"/>
  <headerFooter>
    <oddHeader>&amp;LNovality Store  ·  Home Renovation System&amp;RTasks</oddHeader>
    <oddFooter>&amp;LConfidential  ·  Digital twin of the home&amp;RPage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16352F"/>
    <outlinePr summaryBelow="1" summaryRight="1"/>
    <pageSetUpPr fitToPage="1"/>
  </sheetPr>
  <dimension ref="A1:AX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</cols>
  <sheetData>
    <row r="1" ht="28" customHeight="1">
      <c r="A1" s="1" t="inlineStr">
        <is>
          <t>TIMELINE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Phase schedule  ·  Gantt to the right  ·  each block is one week from 1 Mar 2026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K3" s="109" t="inlineStr">
        <is>
          <t>WEEKLY GANTT  ·  filled cell = phase is active that week  ·  gold column = this week</t>
        </is>
      </c>
    </row>
    <row r="4" ht="22" customHeight="1">
      <c r="A4" s="66" t="inlineStr">
        <is>
          <t>Phase ID</t>
        </is>
      </c>
      <c r="B4" s="66" t="inlineStr">
        <is>
          <t>Project ID</t>
        </is>
      </c>
      <c r="C4" s="66" t="inlineStr">
        <is>
          <t>Phase</t>
        </is>
      </c>
      <c r="D4" s="66" t="inlineStr">
        <is>
          <t>Start</t>
        </is>
      </c>
      <c r="E4" s="66" t="inlineStr">
        <is>
          <t>End</t>
        </is>
      </c>
      <c r="F4" s="66" t="inlineStr">
        <is>
          <t>Duration (days)</t>
        </is>
      </c>
      <c r="G4" s="66" t="inlineStr">
        <is>
          <t>Status</t>
        </is>
      </c>
      <c r="H4" s="66" t="inlineStr">
        <is>
          <t>Depends On</t>
        </is>
      </c>
      <c r="I4" s="66" t="inlineStr">
        <is>
          <t>% Elapsed</t>
        </is>
      </c>
      <c r="K4" s="110" t="n">
        <v>46082</v>
      </c>
      <c r="L4" s="110" t="n">
        <v>46089</v>
      </c>
      <c r="M4" s="110" t="n">
        <v>46096</v>
      </c>
      <c r="N4" s="110" t="n">
        <v>46103</v>
      </c>
      <c r="O4" s="110" t="n">
        <v>46110</v>
      </c>
      <c r="P4" s="110" t="n">
        <v>46117</v>
      </c>
      <c r="Q4" s="110" t="n">
        <v>46124</v>
      </c>
      <c r="R4" s="110" t="n">
        <v>46131</v>
      </c>
      <c r="S4" s="110" t="n">
        <v>46138</v>
      </c>
      <c r="T4" s="110" t="n">
        <v>46145</v>
      </c>
      <c r="U4" s="110" t="n">
        <v>46152</v>
      </c>
      <c r="V4" s="110" t="n">
        <v>46159</v>
      </c>
      <c r="W4" s="110" t="n">
        <v>46166</v>
      </c>
      <c r="X4" s="110" t="n">
        <v>46173</v>
      </c>
      <c r="Y4" s="110" t="n">
        <v>46180</v>
      </c>
      <c r="Z4" s="110" t="n">
        <v>46187</v>
      </c>
      <c r="AA4" s="110" t="n">
        <v>46194</v>
      </c>
      <c r="AB4" s="110" t="n">
        <v>46201</v>
      </c>
      <c r="AC4" s="110" t="n">
        <v>46208</v>
      </c>
      <c r="AD4" s="110" t="n">
        <v>46215</v>
      </c>
      <c r="AE4" s="110" t="n">
        <v>46222</v>
      </c>
      <c r="AF4" s="110" t="n">
        <v>46229</v>
      </c>
      <c r="AG4" s="110" t="n">
        <v>46236</v>
      </c>
      <c r="AH4" s="110" t="n">
        <v>46243</v>
      </c>
      <c r="AI4" s="110" t="n">
        <v>46250</v>
      </c>
      <c r="AJ4" s="110" t="n">
        <v>46257</v>
      </c>
      <c r="AK4" s="110" t="n">
        <v>46264</v>
      </c>
      <c r="AL4" s="110" t="n">
        <v>46271</v>
      </c>
      <c r="AM4" s="110" t="n">
        <v>46278</v>
      </c>
      <c r="AN4" s="110" t="n">
        <v>46285</v>
      </c>
      <c r="AO4" s="110" t="n">
        <v>46292</v>
      </c>
      <c r="AP4" s="110" t="n">
        <v>46299</v>
      </c>
      <c r="AQ4" s="110" t="n">
        <v>46306</v>
      </c>
      <c r="AR4" s="110" t="n">
        <v>46313</v>
      </c>
      <c r="AS4" s="110" t="n">
        <v>46320</v>
      </c>
      <c r="AT4" s="110" t="n">
        <v>46327</v>
      </c>
      <c r="AU4" s="110" t="n">
        <v>46334</v>
      </c>
      <c r="AV4" s="110" t="n">
        <v>46341</v>
      </c>
      <c r="AW4" s="110" t="n">
        <v>46348</v>
      </c>
      <c r="AX4" s="110" t="n">
        <v>46355</v>
      </c>
    </row>
    <row r="5" ht="18" customHeight="1">
      <c r="A5" s="67" t="inlineStr">
        <is>
          <t>PH-01</t>
        </is>
      </c>
      <c r="B5" s="67" t="inlineStr">
        <is>
          <t>PRJ-001</t>
        </is>
      </c>
      <c r="C5" s="67" t="inlineStr">
        <is>
          <t>Planning</t>
        </is>
      </c>
      <c r="D5" s="70" t="n">
        <v>46082</v>
      </c>
      <c r="E5" s="69" t="n">
        <v>46112</v>
      </c>
      <c r="F5" s="111">
        <f>IF($A5="","",$E5-$D5+1)</f>
        <v/>
      </c>
      <c r="G5" s="68" t="inlineStr">
        <is>
          <t>Completed</t>
        </is>
      </c>
      <c r="H5" s="67" t="inlineStr"/>
      <c r="I5" s="108">
        <f>IF($A5="","",MAX(0,MIN(1,(AsOfDate-$D5+1)/MAX(1,$E5-$D5+1))))</f>
        <v/>
      </c>
      <c r="J5" s="82" t="n"/>
      <c r="K5" s="112">
        <f>IF(OR($D5="",$E5=""),"",IF(AND(K$4&lt;=$E5,K$4+6&gt;=$D5),IF($G5="Completed","D",IF($G5="In Progress","N","P")),""))</f>
        <v/>
      </c>
      <c r="L5" s="112">
        <f>IF(OR($D5="",$E5=""),"",IF(AND(L$4&lt;=$E5,L$4+6&gt;=$D5),IF($G5="Completed","D",IF($G5="In Progress","N","P")),""))</f>
        <v/>
      </c>
      <c r="M5" s="112">
        <f>IF(OR($D5="",$E5=""),"",IF(AND(M$4&lt;=$E5,M$4+6&gt;=$D5),IF($G5="Completed","D",IF($G5="In Progress","N","P")),""))</f>
        <v/>
      </c>
      <c r="N5" s="112">
        <f>IF(OR($D5="",$E5=""),"",IF(AND(N$4&lt;=$E5,N$4+6&gt;=$D5),IF($G5="Completed","D",IF($G5="In Progress","N","P")),""))</f>
        <v/>
      </c>
      <c r="O5" s="112">
        <f>IF(OR($D5="",$E5=""),"",IF(AND(O$4&lt;=$E5,O$4+6&gt;=$D5),IF($G5="Completed","D",IF($G5="In Progress","N","P")),""))</f>
        <v/>
      </c>
      <c r="P5" s="112">
        <f>IF(OR($D5="",$E5=""),"",IF(AND(P$4&lt;=$E5,P$4+6&gt;=$D5),IF($G5="Completed","D",IF($G5="In Progress","N","P")),""))</f>
        <v/>
      </c>
      <c r="Q5" s="112">
        <f>IF(OR($D5="",$E5=""),"",IF(AND(Q$4&lt;=$E5,Q$4+6&gt;=$D5),IF($G5="Completed","D",IF($G5="In Progress","N","P")),""))</f>
        <v/>
      </c>
      <c r="R5" s="112">
        <f>IF(OR($D5="",$E5=""),"",IF(AND(R$4&lt;=$E5,R$4+6&gt;=$D5),IF($G5="Completed","D",IF($G5="In Progress","N","P")),""))</f>
        <v/>
      </c>
      <c r="S5" s="112">
        <f>IF(OR($D5="",$E5=""),"",IF(AND(S$4&lt;=$E5,S$4+6&gt;=$D5),IF($G5="Completed","D",IF($G5="In Progress","N","P")),""))</f>
        <v/>
      </c>
      <c r="T5" s="112">
        <f>IF(OR($D5="",$E5=""),"",IF(AND(T$4&lt;=$E5,T$4+6&gt;=$D5),IF($G5="Completed","D",IF($G5="In Progress","N","P")),""))</f>
        <v/>
      </c>
      <c r="U5" s="112">
        <f>IF(OR($D5="",$E5=""),"",IF(AND(U$4&lt;=$E5,U$4+6&gt;=$D5),IF($G5="Completed","D",IF($G5="In Progress","N","P")),""))</f>
        <v/>
      </c>
      <c r="V5" s="112">
        <f>IF(OR($D5="",$E5=""),"",IF(AND(V$4&lt;=$E5,V$4+6&gt;=$D5),IF($G5="Completed","D",IF($G5="In Progress","N","P")),""))</f>
        <v/>
      </c>
      <c r="W5" s="112">
        <f>IF(OR($D5="",$E5=""),"",IF(AND(W$4&lt;=$E5,W$4+6&gt;=$D5),IF($G5="Completed","D",IF($G5="In Progress","N","P")),""))</f>
        <v/>
      </c>
      <c r="X5" s="112">
        <f>IF(OR($D5="",$E5=""),"",IF(AND(X$4&lt;=$E5,X$4+6&gt;=$D5),IF($G5="Completed","D",IF($G5="In Progress","N","P")),""))</f>
        <v/>
      </c>
      <c r="Y5" s="112">
        <f>IF(OR($D5="",$E5=""),"",IF(AND(Y$4&lt;=$E5,Y$4+6&gt;=$D5),IF($G5="Completed","D",IF($G5="In Progress","N","P")),""))</f>
        <v/>
      </c>
      <c r="Z5" s="112">
        <f>IF(OR($D5="",$E5=""),"",IF(AND(Z$4&lt;=$E5,Z$4+6&gt;=$D5),IF($G5="Completed","D",IF($G5="In Progress","N","P")),""))</f>
        <v/>
      </c>
      <c r="AA5" s="112">
        <f>IF(OR($D5="",$E5=""),"",IF(AND(AA$4&lt;=$E5,AA$4+6&gt;=$D5),IF($G5="Completed","D",IF($G5="In Progress","N","P")),""))</f>
        <v/>
      </c>
      <c r="AB5" s="112">
        <f>IF(OR($D5="",$E5=""),"",IF(AND(AB$4&lt;=$E5,AB$4+6&gt;=$D5),IF($G5="Completed","D",IF($G5="In Progress","N","P")),""))</f>
        <v/>
      </c>
      <c r="AC5" s="112">
        <f>IF(OR($D5="",$E5=""),"",IF(AND(AC$4&lt;=$E5,AC$4+6&gt;=$D5),IF($G5="Completed","D",IF($G5="In Progress","N","P")),""))</f>
        <v/>
      </c>
      <c r="AD5" s="112">
        <f>IF(OR($D5="",$E5=""),"",IF(AND(AD$4&lt;=$E5,AD$4+6&gt;=$D5),IF($G5="Completed","D",IF($G5="In Progress","N","P")),""))</f>
        <v/>
      </c>
      <c r="AE5" s="112">
        <f>IF(OR($D5="",$E5=""),"",IF(AND(AE$4&lt;=$E5,AE$4+6&gt;=$D5),IF($G5="Completed","D",IF($G5="In Progress","N","P")),""))</f>
        <v/>
      </c>
      <c r="AF5" s="112">
        <f>IF(OR($D5="",$E5=""),"",IF(AND(AF$4&lt;=$E5,AF$4+6&gt;=$D5),IF($G5="Completed","D",IF($G5="In Progress","N","P")),""))</f>
        <v/>
      </c>
      <c r="AG5" s="112">
        <f>IF(OR($D5="",$E5=""),"",IF(AND(AG$4&lt;=$E5,AG$4+6&gt;=$D5),IF($G5="Completed","D",IF($G5="In Progress","N","P")),""))</f>
        <v/>
      </c>
      <c r="AH5" s="112">
        <f>IF(OR($D5="",$E5=""),"",IF(AND(AH$4&lt;=$E5,AH$4+6&gt;=$D5),IF($G5="Completed","D",IF($G5="In Progress","N","P")),""))</f>
        <v/>
      </c>
      <c r="AI5" s="112">
        <f>IF(OR($D5="",$E5=""),"",IF(AND(AI$4&lt;=$E5,AI$4+6&gt;=$D5),IF($G5="Completed","D",IF($G5="In Progress","N","P")),""))</f>
        <v/>
      </c>
      <c r="AJ5" s="112">
        <f>IF(OR($D5="",$E5=""),"",IF(AND(AJ$4&lt;=$E5,AJ$4+6&gt;=$D5),IF($G5="Completed","D",IF($G5="In Progress","N","P")),""))</f>
        <v/>
      </c>
      <c r="AK5" s="112">
        <f>IF(OR($D5="",$E5=""),"",IF(AND(AK$4&lt;=$E5,AK$4+6&gt;=$D5),IF($G5="Completed","D",IF($G5="In Progress","N","P")),""))</f>
        <v/>
      </c>
      <c r="AL5" s="112">
        <f>IF(OR($D5="",$E5=""),"",IF(AND(AL$4&lt;=$E5,AL$4+6&gt;=$D5),IF($G5="Completed","D",IF($G5="In Progress","N","P")),""))</f>
        <v/>
      </c>
      <c r="AM5" s="112">
        <f>IF(OR($D5="",$E5=""),"",IF(AND(AM$4&lt;=$E5,AM$4+6&gt;=$D5),IF($G5="Completed","D",IF($G5="In Progress","N","P")),""))</f>
        <v/>
      </c>
      <c r="AN5" s="112">
        <f>IF(OR($D5="",$E5=""),"",IF(AND(AN$4&lt;=$E5,AN$4+6&gt;=$D5),IF($G5="Completed","D",IF($G5="In Progress","N","P")),""))</f>
        <v/>
      </c>
      <c r="AO5" s="112">
        <f>IF(OR($D5="",$E5=""),"",IF(AND(AO$4&lt;=$E5,AO$4+6&gt;=$D5),IF($G5="Completed","D",IF($G5="In Progress","N","P")),""))</f>
        <v/>
      </c>
      <c r="AP5" s="112">
        <f>IF(OR($D5="",$E5=""),"",IF(AND(AP$4&lt;=$E5,AP$4+6&gt;=$D5),IF($G5="Completed","D",IF($G5="In Progress","N","P")),""))</f>
        <v/>
      </c>
      <c r="AQ5" s="112">
        <f>IF(OR($D5="",$E5=""),"",IF(AND(AQ$4&lt;=$E5,AQ$4+6&gt;=$D5),IF($G5="Completed","D",IF($G5="In Progress","N","P")),""))</f>
        <v/>
      </c>
      <c r="AR5" s="112">
        <f>IF(OR($D5="",$E5=""),"",IF(AND(AR$4&lt;=$E5,AR$4+6&gt;=$D5),IF($G5="Completed","D",IF($G5="In Progress","N","P")),""))</f>
        <v/>
      </c>
      <c r="AS5" s="112">
        <f>IF(OR($D5="",$E5=""),"",IF(AND(AS$4&lt;=$E5,AS$4+6&gt;=$D5),IF($G5="Completed","D",IF($G5="In Progress","N","P")),""))</f>
        <v/>
      </c>
      <c r="AT5" s="112">
        <f>IF(OR($D5="",$E5=""),"",IF(AND(AT$4&lt;=$E5,AT$4+6&gt;=$D5),IF($G5="Completed","D",IF($G5="In Progress","N","P")),""))</f>
        <v/>
      </c>
      <c r="AU5" s="112">
        <f>IF(OR($D5="",$E5=""),"",IF(AND(AU$4&lt;=$E5,AU$4+6&gt;=$D5),IF($G5="Completed","D",IF($G5="In Progress","N","P")),""))</f>
        <v/>
      </c>
      <c r="AV5" s="112">
        <f>IF(OR($D5="",$E5=""),"",IF(AND(AV$4&lt;=$E5,AV$4+6&gt;=$D5),IF($G5="Completed","D",IF($G5="In Progress","N","P")),""))</f>
        <v/>
      </c>
      <c r="AW5" s="112">
        <f>IF(OR($D5="",$E5=""),"",IF(AND(AW$4&lt;=$E5,AW$4+6&gt;=$D5),IF($G5="Completed","D",IF($G5="In Progress","N","P")),""))</f>
        <v/>
      </c>
      <c r="AX5" s="112">
        <f>IF(OR($D5="",$E5=""),"",IF(AND(AX$4&lt;=$E5,AX$4+6&gt;=$D5),IF($G5="Completed","D",IF($G5="In Progress","N","P")),""))</f>
        <v/>
      </c>
    </row>
    <row r="6" ht="18" customHeight="1">
      <c r="A6" s="75" t="inlineStr">
        <is>
          <t>PH-02</t>
        </is>
      </c>
      <c r="B6" s="75" t="inlineStr">
        <is>
          <t>PRJ-001</t>
        </is>
      </c>
      <c r="C6" s="75" t="inlineStr">
        <is>
          <t>Design</t>
        </is>
      </c>
      <c r="D6" s="78" t="n">
        <v>46096</v>
      </c>
      <c r="E6" s="77" t="n">
        <v>46157</v>
      </c>
      <c r="F6" s="111">
        <f>IF($A6="","",$E6-$D6+1)</f>
        <v/>
      </c>
      <c r="G6" s="76" t="inlineStr">
        <is>
          <t>Completed</t>
        </is>
      </c>
      <c r="H6" s="75" t="inlineStr">
        <is>
          <t>PH-01</t>
        </is>
      </c>
      <c r="I6" s="108">
        <f>IF($A6="","",MAX(0,MIN(1,(AsOfDate-$D6+1)/MAX(1,$E6-$D6+1))))</f>
        <v/>
      </c>
      <c r="J6" s="82" t="n"/>
      <c r="K6" s="112">
        <f>IF(OR($D6="",$E6=""),"",IF(AND(K$4&lt;=$E6,K$4+6&gt;=$D6),IF($G6="Completed","D",IF($G6="In Progress","N","P")),""))</f>
        <v/>
      </c>
      <c r="L6" s="112">
        <f>IF(OR($D6="",$E6=""),"",IF(AND(L$4&lt;=$E6,L$4+6&gt;=$D6),IF($G6="Completed","D",IF($G6="In Progress","N","P")),""))</f>
        <v/>
      </c>
      <c r="M6" s="112">
        <f>IF(OR($D6="",$E6=""),"",IF(AND(M$4&lt;=$E6,M$4+6&gt;=$D6),IF($G6="Completed","D",IF($G6="In Progress","N","P")),""))</f>
        <v/>
      </c>
      <c r="N6" s="112">
        <f>IF(OR($D6="",$E6=""),"",IF(AND(N$4&lt;=$E6,N$4+6&gt;=$D6),IF($G6="Completed","D",IF($G6="In Progress","N","P")),""))</f>
        <v/>
      </c>
      <c r="O6" s="112">
        <f>IF(OR($D6="",$E6=""),"",IF(AND(O$4&lt;=$E6,O$4+6&gt;=$D6),IF($G6="Completed","D",IF($G6="In Progress","N","P")),""))</f>
        <v/>
      </c>
      <c r="P6" s="112">
        <f>IF(OR($D6="",$E6=""),"",IF(AND(P$4&lt;=$E6,P$4+6&gt;=$D6),IF($G6="Completed","D",IF($G6="In Progress","N","P")),""))</f>
        <v/>
      </c>
      <c r="Q6" s="112">
        <f>IF(OR($D6="",$E6=""),"",IF(AND(Q$4&lt;=$E6,Q$4+6&gt;=$D6),IF($G6="Completed","D",IF($G6="In Progress","N","P")),""))</f>
        <v/>
      </c>
      <c r="R6" s="112">
        <f>IF(OR($D6="",$E6=""),"",IF(AND(R$4&lt;=$E6,R$4+6&gt;=$D6),IF($G6="Completed","D",IF($G6="In Progress","N","P")),""))</f>
        <v/>
      </c>
      <c r="S6" s="112">
        <f>IF(OR($D6="",$E6=""),"",IF(AND(S$4&lt;=$E6,S$4+6&gt;=$D6),IF($G6="Completed","D",IF($G6="In Progress","N","P")),""))</f>
        <v/>
      </c>
      <c r="T6" s="112">
        <f>IF(OR($D6="",$E6=""),"",IF(AND(T$4&lt;=$E6,T$4+6&gt;=$D6),IF($G6="Completed","D",IF($G6="In Progress","N","P")),""))</f>
        <v/>
      </c>
      <c r="U6" s="112">
        <f>IF(OR($D6="",$E6=""),"",IF(AND(U$4&lt;=$E6,U$4+6&gt;=$D6),IF($G6="Completed","D",IF($G6="In Progress","N","P")),""))</f>
        <v/>
      </c>
      <c r="V6" s="112">
        <f>IF(OR($D6="",$E6=""),"",IF(AND(V$4&lt;=$E6,V$4+6&gt;=$D6),IF($G6="Completed","D",IF($G6="In Progress","N","P")),""))</f>
        <v/>
      </c>
      <c r="W6" s="112">
        <f>IF(OR($D6="",$E6=""),"",IF(AND(W$4&lt;=$E6,W$4+6&gt;=$D6),IF($G6="Completed","D",IF($G6="In Progress","N","P")),""))</f>
        <v/>
      </c>
      <c r="X6" s="112">
        <f>IF(OR($D6="",$E6=""),"",IF(AND(X$4&lt;=$E6,X$4+6&gt;=$D6),IF($G6="Completed","D",IF($G6="In Progress","N","P")),""))</f>
        <v/>
      </c>
      <c r="Y6" s="112">
        <f>IF(OR($D6="",$E6=""),"",IF(AND(Y$4&lt;=$E6,Y$4+6&gt;=$D6),IF($G6="Completed","D",IF($G6="In Progress","N","P")),""))</f>
        <v/>
      </c>
      <c r="Z6" s="112">
        <f>IF(OR($D6="",$E6=""),"",IF(AND(Z$4&lt;=$E6,Z$4+6&gt;=$D6),IF($G6="Completed","D",IF($G6="In Progress","N","P")),""))</f>
        <v/>
      </c>
      <c r="AA6" s="112">
        <f>IF(OR($D6="",$E6=""),"",IF(AND(AA$4&lt;=$E6,AA$4+6&gt;=$D6),IF($G6="Completed","D",IF($G6="In Progress","N","P")),""))</f>
        <v/>
      </c>
      <c r="AB6" s="112">
        <f>IF(OR($D6="",$E6=""),"",IF(AND(AB$4&lt;=$E6,AB$4+6&gt;=$D6),IF($G6="Completed","D",IF($G6="In Progress","N","P")),""))</f>
        <v/>
      </c>
      <c r="AC6" s="112">
        <f>IF(OR($D6="",$E6=""),"",IF(AND(AC$4&lt;=$E6,AC$4+6&gt;=$D6),IF($G6="Completed","D",IF($G6="In Progress","N","P")),""))</f>
        <v/>
      </c>
      <c r="AD6" s="112">
        <f>IF(OR($D6="",$E6=""),"",IF(AND(AD$4&lt;=$E6,AD$4+6&gt;=$D6),IF($G6="Completed","D",IF($G6="In Progress","N","P")),""))</f>
        <v/>
      </c>
      <c r="AE6" s="112">
        <f>IF(OR($D6="",$E6=""),"",IF(AND(AE$4&lt;=$E6,AE$4+6&gt;=$D6),IF($G6="Completed","D",IF($G6="In Progress","N","P")),""))</f>
        <v/>
      </c>
      <c r="AF6" s="112">
        <f>IF(OR($D6="",$E6=""),"",IF(AND(AF$4&lt;=$E6,AF$4+6&gt;=$D6),IF($G6="Completed","D",IF($G6="In Progress","N","P")),""))</f>
        <v/>
      </c>
      <c r="AG6" s="112">
        <f>IF(OR($D6="",$E6=""),"",IF(AND(AG$4&lt;=$E6,AG$4+6&gt;=$D6),IF($G6="Completed","D",IF($G6="In Progress","N","P")),""))</f>
        <v/>
      </c>
      <c r="AH6" s="112">
        <f>IF(OR($D6="",$E6=""),"",IF(AND(AH$4&lt;=$E6,AH$4+6&gt;=$D6),IF($G6="Completed","D",IF($G6="In Progress","N","P")),""))</f>
        <v/>
      </c>
      <c r="AI6" s="112">
        <f>IF(OR($D6="",$E6=""),"",IF(AND(AI$4&lt;=$E6,AI$4+6&gt;=$D6),IF($G6="Completed","D",IF($G6="In Progress","N","P")),""))</f>
        <v/>
      </c>
      <c r="AJ6" s="112">
        <f>IF(OR($D6="",$E6=""),"",IF(AND(AJ$4&lt;=$E6,AJ$4+6&gt;=$D6),IF($G6="Completed","D",IF($G6="In Progress","N","P")),""))</f>
        <v/>
      </c>
      <c r="AK6" s="112">
        <f>IF(OR($D6="",$E6=""),"",IF(AND(AK$4&lt;=$E6,AK$4+6&gt;=$D6),IF($G6="Completed","D",IF($G6="In Progress","N","P")),""))</f>
        <v/>
      </c>
      <c r="AL6" s="112">
        <f>IF(OR($D6="",$E6=""),"",IF(AND(AL$4&lt;=$E6,AL$4+6&gt;=$D6),IF($G6="Completed","D",IF($G6="In Progress","N","P")),""))</f>
        <v/>
      </c>
      <c r="AM6" s="112">
        <f>IF(OR($D6="",$E6=""),"",IF(AND(AM$4&lt;=$E6,AM$4+6&gt;=$D6),IF($G6="Completed","D",IF($G6="In Progress","N","P")),""))</f>
        <v/>
      </c>
      <c r="AN6" s="112">
        <f>IF(OR($D6="",$E6=""),"",IF(AND(AN$4&lt;=$E6,AN$4+6&gt;=$D6),IF($G6="Completed","D",IF($G6="In Progress","N","P")),""))</f>
        <v/>
      </c>
      <c r="AO6" s="112">
        <f>IF(OR($D6="",$E6=""),"",IF(AND(AO$4&lt;=$E6,AO$4+6&gt;=$D6),IF($G6="Completed","D",IF($G6="In Progress","N","P")),""))</f>
        <v/>
      </c>
      <c r="AP6" s="112">
        <f>IF(OR($D6="",$E6=""),"",IF(AND(AP$4&lt;=$E6,AP$4+6&gt;=$D6),IF($G6="Completed","D",IF($G6="In Progress","N","P")),""))</f>
        <v/>
      </c>
      <c r="AQ6" s="112">
        <f>IF(OR($D6="",$E6=""),"",IF(AND(AQ$4&lt;=$E6,AQ$4+6&gt;=$D6),IF($G6="Completed","D",IF($G6="In Progress","N","P")),""))</f>
        <v/>
      </c>
      <c r="AR6" s="112">
        <f>IF(OR($D6="",$E6=""),"",IF(AND(AR$4&lt;=$E6,AR$4+6&gt;=$D6),IF($G6="Completed","D",IF($G6="In Progress","N","P")),""))</f>
        <v/>
      </c>
      <c r="AS6" s="112">
        <f>IF(OR($D6="",$E6=""),"",IF(AND(AS$4&lt;=$E6,AS$4+6&gt;=$D6),IF($G6="Completed","D",IF($G6="In Progress","N","P")),""))</f>
        <v/>
      </c>
      <c r="AT6" s="112">
        <f>IF(OR($D6="",$E6=""),"",IF(AND(AT$4&lt;=$E6,AT$4+6&gt;=$D6),IF($G6="Completed","D",IF($G6="In Progress","N","P")),""))</f>
        <v/>
      </c>
      <c r="AU6" s="112">
        <f>IF(OR($D6="",$E6=""),"",IF(AND(AU$4&lt;=$E6,AU$4+6&gt;=$D6),IF($G6="Completed","D",IF($G6="In Progress","N","P")),""))</f>
        <v/>
      </c>
      <c r="AV6" s="112">
        <f>IF(OR($D6="",$E6=""),"",IF(AND(AV$4&lt;=$E6,AV$4+6&gt;=$D6),IF($G6="Completed","D",IF($G6="In Progress","N","P")),""))</f>
        <v/>
      </c>
      <c r="AW6" s="112">
        <f>IF(OR($D6="",$E6=""),"",IF(AND(AW$4&lt;=$E6,AW$4+6&gt;=$D6),IF($G6="Completed","D",IF($G6="In Progress","N","P")),""))</f>
        <v/>
      </c>
      <c r="AX6" s="112">
        <f>IF(OR($D6="",$E6=""),"",IF(AND(AX$4&lt;=$E6,AX$4+6&gt;=$D6),IF($G6="Completed","D",IF($G6="In Progress","N","P")),""))</f>
        <v/>
      </c>
    </row>
    <row r="7" ht="18" customHeight="1">
      <c r="A7" s="67" t="inlineStr">
        <is>
          <t>PH-03</t>
        </is>
      </c>
      <c r="B7" s="67" t="inlineStr">
        <is>
          <t>PRJ-001</t>
        </is>
      </c>
      <c r="C7" s="67" t="inlineStr">
        <is>
          <t>Permits</t>
        </is>
      </c>
      <c r="D7" s="70" t="n">
        <v>46113</v>
      </c>
      <c r="E7" s="69" t="n">
        <v>46162</v>
      </c>
      <c r="F7" s="111">
        <f>IF($A7="","",$E7-$D7+1)</f>
        <v/>
      </c>
      <c r="G7" s="68" t="inlineStr">
        <is>
          <t>Completed</t>
        </is>
      </c>
      <c r="H7" s="67" t="inlineStr">
        <is>
          <t>PH-01</t>
        </is>
      </c>
      <c r="I7" s="108">
        <f>IF($A7="","",MAX(0,MIN(1,(AsOfDate-$D7+1)/MAX(1,$E7-$D7+1))))</f>
        <v/>
      </c>
      <c r="J7" s="82" t="n"/>
      <c r="K7" s="112">
        <f>IF(OR($D7="",$E7=""),"",IF(AND(K$4&lt;=$E7,K$4+6&gt;=$D7),IF($G7="Completed","D",IF($G7="In Progress","N","P")),""))</f>
        <v/>
      </c>
      <c r="L7" s="112">
        <f>IF(OR($D7="",$E7=""),"",IF(AND(L$4&lt;=$E7,L$4+6&gt;=$D7),IF($G7="Completed","D",IF($G7="In Progress","N","P")),""))</f>
        <v/>
      </c>
      <c r="M7" s="112">
        <f>IF(OR($D7="",$E7=""),"",IF(AND(M$4&lt;=$E7,M$4+6&gt;=$D7),IF($G7="Completed","D",IF($G7="In Progress","N","P")),""))</f>
        <v/>
      </c>
      <c r="N7" s="112">
        <f>IF(OR($D7="",$E7=""),"",IF(AND(N$4&lt;=$E7,N$4+6&gt;=$D7),IF($G7="Completed","D",IF($G7="In Progress","N","P")),""))</f>
        <v/>
      </c>
      <c r="O7" s="112">
        <f>IF(OR($D7="",$E7=""),"",IF(AND(O$4&lt;=$E7,O$4+6&gt;=$D7),IF($G7="Completed","D",IF($G7="In Progress","N","P")),""))</f>
        <v/>
      </c>
      <c r="P7" s="112">
        <f>IF(OR($D7="",$E7=""),"",IF(AND(P$4&lt;=$E7,P$4+6&gt;=$D7),IF($G7="Completed","D",IF($G7="In Progress","N","P")),""))</f>
        <v/>
      </c>
      <c r="Q7" s="112">
        <f>IF(OR($D7="",$E7=""),"",IF(AND(Q$4&lt;=$E7,Q$4+6&gt;=$D7),IF($G7="Completed","D",IF($G7="In Progress","N","P")),""))</f>
        <v/>
      </c>
      <c r="R7" s="112">
        <f>IF(OR($D7="",$E7=""),"",IF(AND(R$4&lt;=$E7,R$4+6&gt;=$D7),IF($G7="Completed","D",IF($G7="In Progress","N","P")),""))</f>
        <v/>
      </c>
      <c r="S7" s="112">
        <f>IF(OR($D7="",$E7=""),"",IF(AND(S$4&lt;=$E7,S$4+6&gt;=$D7),IF($G7="Completed","D",IF($G7="In Progress","N","P")),""))</f>
        <v/>
      </c>
      <c r="T7" s="112">
        <f>IF(OR($D7="",$E7=""),"",IF(AND(T$4&lt;=$E7,T$4+6&gt;=$D7),IF($G7="Completed","D",IF($G7="In Progress","N","P")),""))</f>
        <v/>
      </c>
      <c r="U7" s="112">
        <f>IF(OR($D7="",$E7=""),"",IF(AND(U$4&lt;=$E7,U$4+6&gt;=$D7),IF($G7="Completed","D",IF($G7="In Progress","N","P")),""))</f>
        <v/>
      </c>
      <c r="V7" s="112">
        <f>IF(OR($D7="",$E7=""),"",IF(AND(V$4&lt;=$E7,V$4+6&gt;=$D7),IF($G7="Completed","D",IF($G7="In Progress","N","P")),""))</f>
        <v/>
      </c>
      <c r="W7" s="112">
        <f>IF(OR($D7="",$E7=""),"",IF(AND(W$4&lt;=$E7,W$4+6&gt;=$D7),IF($G7="Completed","D",IF($G7="In Progress","N","P")),""))</f>
        <v/>
      </c>
      <c r="X7" s="112">
        <f>IF(OR($D7="",$E7=""),"",IF(AND(X$4&lt;=$E7,X$4+6&gt;=$D7),IF($G7="Completed","D",IF($G7="In Progress","N","P")),""))</f>
        <v/>
      </c>
      <c r="Y7" s="112">
        <f>IF(OR($D7="",$E7=""),"",IF(AND(Y$4&lt;=$E7,Y$4+6&gt;=$D7),IF($G7="Completed","D",IF($G7="In Progress","N","P")),""))</f>
        <v/>
      </c>
      <c r="Z7" s="112">
        <f>IF(OR($D7="",$E7=""),"",IF(AND(Z$4&lt;=$E7,Z$4+6&gt;=$D7),IF($G7="Completed","D",IF($G7="In Progress","N","P")),""))</f>
        <v/>
      </c>
      <c r="AA7" s="112">
        <f>IF(OR($D7="",$E7=""),"",IF(AND(AA$4&lt;=$E7,AA$4+6&gt;=$D7),IF($G7="Completed","D",IF($G7="In Progress","N","P")),""))</f>
        <v/>
      </c>
      <c r="AB7" s="112">
        <f>IF(OR($D7="",$E7=""),"",IF(AND(AB$4&lt;=$E7,AB$4+6&gt;=$D7),IF($G7="Completed","D",IF($G7="In Progress","N","P")),""))</f>
        <v/>
      </c>
      <c r="AC7" s="112">
        <f>IF(OR($D7="",$E7=""),"",IF(AND(AC$4&lt;=$E7,AC$4+6&gt;=$D7),IF($G7="Completed","D",IF($G7="In Progress","N","P")),""))</f>
        <v/>
      </c>
      <c r="AD7" s="112">
        <f>IF(OR($D7="",$E7=""),"",IF(AND(AD$4&lt;=$E7,AD$4+6&gt;=$D7),IF($G7="Completed","D",IF($G7="In Progress","N","P")),""))</f>
        <v/>
      </c>
      <c r="AE7" s="112">
        <f>IF(OR($D7="",$E7=""),"",IF(AND(AE$4&lt;=$E7,AE$4+6&gt;=$D7),IF($G7="Completed","D",IF($G7="In Progress","N","P")),""))</f>
        <v/>
      </c>
      <c r="AF7" s="112">
        <f>IF(OR($D7="",$E7=""),"",IF(AND(AF$4&lt;=$E7,AF$4+6&gt;=$D7),IF($G7="Completed","D",IF($G7="In Progress","N","P")),""))</f>
        <v/>
      </c>
      <c r="AG7" s="112">
        <f>IF(OR($D7="",$E7=""),"",IF(AND(AG$4&lt;=$E7,AG$4+6&gt;=$D7),IF($G7="Completed","D",IF($G7="In Progress","N","P")),""))</f>
        <v/>
      </c>
      <c r="AH7" s="112">
        <f>IF(OR($D7="",$E7=""),"",IF(AND(AH$4&lt;=$E7,AH$4+6&gt;=$D7),IF($G7="Completed","D",IF($G7="In Progress","N","P")),""))</f>
        <v/>
      </c>
      <c r="AI7" s="112">
        <f>IF(OR($D7="",$E7=""),"",IF(AND(AI$4&lt;=$E7,AI$4+6&gt;=$D7),IF($G7="Completed","D",IF($G7="In Progress","N","P")),""))</f>
        <v/>
      </c>
      <c r="AJ7" s="112">
        <f>IF(OR($D7="",$E7=""),"",IF(AND(AJ$4&lt;=$E7,AJ$4+6&gt;=$D7),IF($G7="Completed","D",IF($G7="In Progress","N","P")),""))</f>
        <v/>
      </c>
      <c r="AK7" s="112">
        <f>IF(OR($D7="",$E7=""),"",IF(AND(AK$4&lt;=$E7,AK$4+6&gt;=$D7),IF($G7="Completed","D",IF($G7="In Progress","N","P")),""))</f>
        <v/>
      </c>
      <c r="AL7" s="112">
        <f>IF(OR($D7="",$E7=""),"",IF(AND(AL$4&lt;=$E7,AL$4+6&gt;=$D7),IF($G7="Completed","D",IF($G7="In Progress","N","P")),""))</f>
        <v/>
      </c>
      <c r="AM7" s="112">
        <f>IF(OR($D7="",$E7=""),"",IF(AND(AM$4&lt;=$E7,AM$4+6&gt;=$D7),IF($G7="Completed","D",IF($G7="In Progress","N","P")),""))</f>
        <v/>
      </c>
      <c r="AN7" s="112">
        <f>IF(OR($D7="",$E7=""),"",IF(AND(AN$4&lt;=$E7,AN$4+6&gt;=$D7),IF($G7="Completed","D",IF($G7="In Progress","N","P")),""))</f>
        <v/>
      </c>
      <c r="AO7" s="112">
        <f>IF(OR($D7="",$E7=""),"",IF(AND(AO$4&lt;=$E7,AO$4+6&gt;=$D7),IF($G7="Completed","D",IF($G7="In Progress","N","P")),""))</f>
        <v/>
      </c>
      <c r="AP7" s="112">
        <f>IF(OR($D7="",$E7=""),"",IF(AND(AP$4&lt;=$E7,AP$4+6&gt;=$D7),IF($G7="Completed","D",IF($G7="In Progress","N","P")),""))</f>
        <v/>
      </c>
      <c r="AQ7" s="112">
        <f>IF(OR($D7="",$E7=""),"",IF(AND(AQ$4&lt;=$E7,AQ$4+6&gt;=$D7),IF($G7="Completed","D",IF($G7="In Progress","N","P")),""))</f>
        <v/>
      </c>
      <c r="AR7" s="112">
        <f>IF(OR($D7="",$E7=""),"",IF(AND(AR$4&lt;=$E7,AR$4+6&gt;=$D7),IF($G7="Completed","D",IF($G7="In Progress","N","P")),""))</f>
        <v/>
      </c>
      <c r="AS7" s="112">
        <f>IF(OR($D7="",$E7=""),"",IF(AND(AS$4&lt;=$E7,AS$4+6&gt;=$D7),IF($G7="Completed","D",IF($G7="In Progress","N","P")),""))</f>
        <v/>
      </c>
      <c r="AT7" s="112">
        <f>IF(OR($D7="",$E7=""),"",IF(AND(AT$4&lt;=$E7,AT$4+6&gt;=$D7),IF($G7="Completed","D",IF($G7="In Progress","N","P")),""))</f>
        <v/>
      </c>
      <c r="AU7" s="112">
        <f>IF(OR($D7="",$E7=""),"",IF(AND(AU$4&lt;=$E7,AU$4+6&gt;=$D7),IF($G7="Completed","D",IF($G7="In Progress","N","P")),""))</f>
        <v/>
      </c>
      <c r="AV7" s="112">
        <f>IF(OR($D7="",$E7=""),"",IF(AND(AV$4&lt;=$E7,AV$4+6&gt;=$D7),IF($G7="Completed","D",IF($G7="In Progress","N","P")),""))</f>
        <v/>
      </c>
      <c r="AW7" s="112">
        <f>IF(OR($D7="",$E7=""),"",IF(AND(AW$4&lt;=$E7,AW$4+6&gt;=$D7),IF($G7="Completed","D",IF($G7="In Progress","N","P")),""))</f>
        <v/>
      </c>
      <c r="AX7" s="112">
        <f>IF(OR($D7="",$E7=""),"",IF(AND(AX$4&lt;=$E7,AX$4+6&gt;=$D7),IF($G7="Completed","D",IF($G7="In Progress","N","P")),""))</f>
        <v/>
      </c>
    </row>
    <row r="8" ht="18" customHeight="1">
      <c r="A8" s="75" t="inlineStr">
        <is>
          <t>PH-04</t>
        </is>
      </c>
      <c r="B8" s="75" t="inlineStr">
        <is>
          <t>PRJ-001</t>
        </is>
      </c>
      <c r="C8" s="75" t="inlineStr">
        <is>
          <t>Demolition</t>
        </is>
      </c>
      <c r="D8" s="78" t="n">
        <v>46163</v>
      </c>
      <c r="E8" s="77" t="n">
        <v>46178</v>
      </c>
      <c r="F8" s="111">
        <f>IF($A8="","",$E8-$D8+1)</f>
        <v/>
      </c>
      <c r="G8" s="76" t="inlineStr">
        <is>
          <t>Completed</t>
        </is>
      </c>
      <c r="H8" s="75" t="inlineStr">
        <is>
          <t>PH-03</t>
        </is>
      </c>
      <c r="I8" s="108">
        <f>IF($A8="","",MAX(0,MIN(1,(AsOfDate-$D8+1)/MAX(1,$E8-$D8+1))))</f>
        <v/>
      </c>
      <c r="J8" s="82" t="n"/>
      <c r="K8" s="112">
        <f>IF(OR($D8="",$E8=""),"",IF(AND(K$4&lt;=$E8,K$4+6&gt;=$D8),IF($G8="Completed","D",IF($G8="In Progress","N","P")),""))</f>
        <v/>
      </c>
      <c r="L8" s="112">
        <f>IF(OR($D8="",$E8=""),"",IF(AND(L$4&lt;=$E8,L$4+6&gt;=$D8),IF($G8="Completed","D",IF($G8="In Progress","N","P")),""))</f>
        <v/>
      </c>
      <c r="M8" s="112">
        <f>IF(OR($D8="",$E8=""),"",IF(AND(M$4&lt;=$E8,M$4+6&gt;=$D8),IF($G8="Completed","D",IF($G8="In Progress","N","P")),""))</f>
        <v/>
      </c>
      <c r="N8" s="112">
        <f>IF(OR($D8="",$E8=""),"",IF(AND(N$4&lt;=$E8,N$4+6&gt;=$D8),IF($G8="Completed","D",IF($G8="In Progress","N","P")),""))</f>
        <v/>
      </c>
      <c r="O8" s="112">
        <f>IF(OR($D8="",$E8=""),"",IF(AND(O$4&lt;=$E8,O$4+6&gt;=$D8),IF($G8="Completed","D",IF($G8="In Progress","N","P")),""))</f>
        <v/>
      </c>
      <c r="P8" s="112">
        <f>IF(OR($D8="",$E8=""),"",IF(AND(P$4&lt;=$E8,P$4+6&gt;=$D8),IF($G8="Completed","D",IF($G8="In Progress","N","P")),""))</f>
        <v/>
      </c>
      <c r="Q8" s="112">
        <f>IF(OR($D8="",$E8=""),"",IF(AND(Q$4&lt;=$E8,Q$4+6&gt;=$D8),IF($G8="Completed","D",IF($G8="In Progress","N","P")),""))</f>
        <v/>
      </c>
      <c r="R8" s="112">
        <f>IF(OR($D8="",$E8=""),"",IF(AND(R$4&lt;=$E8,R$4+6&gt;=$D8),IF($G8="Completed","D",IF($G8="In Progress","N","P")),""))</f>
        <v/>
      </c>
      <c r="S8" s="112">
        <f>IF(OR($D8="",$E8=""),"",IF(AND(S$4&lt;=$E8,S$4+6&gt;=$D8),IF($G8="Completed","D",IF($G8="In Progress","N","P")),""))</f>
        <v/>
      </c>
      <c r="T8" s="112">
        <f>IF(OR($D8="",$E8=""),"",IF(AND(T$4&lt;=$E8,T$4+6&gt;=$D8),IF($G8="Completed","D",IF($G8="In Progress","N","P")),""))</f>
        <v/>
      </c>
      <c r="U8" s="112">
        <f>IF(OR($D8="",$E8=""),"",IF(AND(U$4&lt;=$E8,U$4+6&gt;=$D8),IF($G8="Completed","D",IF($G8="In Progress","N","P")),""))</f>
        <v/>
      </c>
      <c r="V8" s="112">
        <f>IF(OR($D8="",$E8=""),"",IF(AND(V$4&lt;=$E8,V$4+6&gt;=$D8),IF($G8="Completed","D",IF($G8="In Progress","N","P")),""))</f>
        <v/>
      </c>
      <c r="W8" s="112">
        <f>IF(OR($D8="",$E8=""),"",IF(AND(W$4&lt;=$E8,W$4+6&gt;=$D8),IF($G8="Completed","D",IF($G8="In Progress","N","P")),""))</f>
        <v/>
      </c>
      <c r="X8" s="112">
        <f>IF(OR($D8="",$E8=""),"",IF(AND(X$4&lt;=$E8,X$4+6&gt;=$D8),IF($G8="Completed","D",IF($G8="In Progress","N","P")),""))</f>
        <v/>
      </c>
      <c r="Y8" s="112">
        <f>IF(OR($D8="",$E8=""),"",IF(AND(Y$4&lt;=$E8,Y$4+6&gt;=$D8),IF($G8="Completed","D",IF($G8="In Progress","N","P")),""))</f>
        <v/>
      </c>
      <c r="Z8" s="112">
        <f>IF(OR($D8="",$E8=""),"",IF(AND(Z$4&lt;=$E8,Z$4+6&gt;=$D8),IF($G8="Completed","D",IF($G8="In Progress","N","P")),""))</f>
        <v/>
      </c>
      <c r="AA8" s="112">
        <f>IF(OR($D8="",$E8=""),"",IF(AND(AA$4&lt;=$E8,AA$4+6&gt;=$D8),IF($G8="Completed","D",IF($G8="In Progress","N","P")),""))</f>
        <v/>
      </c>
      <c r="AB8" s="112">
        <f>IF(OR($D8="",$E8=""),"",IF(AND(AB$4&lt;=$E8,AB$4+6&gt;=$D8),IF($G8="Completed","D",IF($G8="In Progress","N","P")),""))</f>
        <v/>
      </c>
      <c r="AC8" s="112">
        <f>IF(OR($D8="",$E8=""),"",IF(AND(AC$4&lt;=$E8,AC$4+6&gt;=$D8),IF($G8="Completed","D",IF($G8="In Progress","N","P")),""))</f>
        <v/>
      </c>
      <c r="AD8" s="112">
        <f>IF(OR($D8="",$E8=""),"",IF(AND(AD$4&lt;=$E8,AD$4+6&gt;=$D8),IF($G8="Completed","D",IF($G8="In Progress","N","P")),""))</f>
        <v/>
      </c>
      <c r="AE8" s="112">
        <f>IF(OR($D8="",$E8=""),"",IF(AND(AE$4&lt;=$E8,AE$4+6&gt;=$D8),IF($G8="Completed","D",IF($G8="In Progress","N","P")),""))</f>
        <v/>
      </c>
      <c r="AF8" s="112">
        <f>IF(OR($D8="",$E8=""),"",IF(AND(AF$4&lt;=$E8,AF$4+6&gt;=$D8),IF($G8="Completed","D",IF($G8="In Progress","N","P")),""))</f>
        <v/>
      </c>
      <c r="AG8" s="112">
        <f>IF(OR($D8="",$E8=""),"",IF(AND(AG$4&lt;=$E8,AG$4+6&gt;=$D8),IF($G8="Completed","D",IF($G8="In Progress","N","P")),""))</f>
        <v/>
      </c>
      <c r="AH8" s="112">
        <f>IF(OR($D8="",$E8=""),"",IF(AND(AH$4&lt;=$E8,AH$4+6&gt;=$D8),IF($G8="Completed","D",IF($G8="In Progress","N","P")),""))</f>
        <v/>
      </c>
      <c r="AI8" s="112">
        <f>IF(OR($D8="",$E8=""),"",IF(AND(AI$4&lt;=$E8,AI$4+6&gt;=$D8),IF($G8="Completed","D",IF($G8="In Progress","N","P")),""))</f>
        <v/>
      </c>
      <c r="AJ8" s="112">
        <f>IF(OR($D8="",$E8=""),"",IF(AND(AJ$4&lt;=$E8,AJ$4+6&gt;=$D8),IF($G8="Completed","D",IF($G8="In Progress","N","P")),""))</f>
        <v/>
      </c>
      <c r="AK8" s="112">
        <f>IF(OR($D8="",$E8=""),"",IF(AND(AK$4&lt;=$E8,AK$4+6&gt;=$D8),IF($G8="Completed","D",IF($G8="In Progress","N","P")),""))</f>
        <v/>
      </c>
      <c r="AL8" s="112">
        <f>IF(OR($D8="",$E8=""),"",IF(AND(AL$4&lt;=$E8,AL$4+6&gt;=$D8),IF($G8="Completed","D",IF($G8="In Progress","N","P")),""))</f>
        <v/>
      </c>
      <c r="AM8" s="112">
        <f>IF(OR($D8="",$E8=""),"",IF(AND(AM$4&lt;=$E8,AM$4+6&gt;=$D8),IF($G8="Completed","D",IF($G8="In Progress","N","P")),""))</f>
        <v/>
      </c>
      <c r="AN8" s="112">
        <f>IF(OR($D8="",$E8=""),"",IF(AND(AN$4&lt;=$E8,AN$4+6&gt;=$D8),IF($G8="Completed","D",IF($G8="In Progress","N","P")),""))</f>
        <v/>
      </c>
      <c r="AO8" s="112">
        <f>IF(OR($D8="",$E8=""),"",IF(AND(AO$4&lt;=$E8,AO$4+6&gt;=$D8),IF($G8="Completed","D",IF($G8="In Progress","N","P")),""))</f>
        <v/>
      </c>
      <c r="AP8" s="112">
        <f>IF(OR($D8="",$E8=""),"",IF(AND(AP$4&lt;=$E8,AP$4+6&gt;=$D8),IF($G8="Completed","D",IF($G8="In Progress","N","P")),""))</f>
        <v/>
      </c>
      <c r="AQ8" s="112">
        <f>IF(OR($D8="",$E8=""),"",IF(AND(AQ$4&lt;=$E8,AQ$4+6&gt;=$D8),IF($G8="Completed","D",IF($G8="In Progress","N","P")),""))</f>
        <v/>
      </c>
      <c r="AR8" s="112">
        <f>IF(OR($D8="",$E8=""),"",IF(AND(AR$4&lt;=$E8,AR$4+6&gt;=$D8),IF($G8="Completed","D",IF($G8="In Progress","N","P")),""))</f>
        <v/>
      </c>
      <c r="AS8" s="112">
        <f>IF(OR($D8="",$E8=""),"",IF(AND(AS$4&lt;=$E8,AS$4+6&gt;=$D8),IF($G8="Completed","D",IF($G8="In Progress","N","P")),""))</f>
        <v/>
      </c>
      <c r="AT8" s="112">
        <f>IF(OR($D8="",$E8=""),"",IF(AND(AT$4&lt;=$E8,AT$4+6&gt;=$D8),IF($G8="Completed","D",IF($G8="In Progress","N","P")),""))</f>
        <v/>
      </c>
      <c r="AU8" s="112">
        <f>IF(OR($D8="",$E8=""),"",IF(AND(AU$4&lt;=$E8,AU$4+6&gt;=$D8),IF($G8="Completed","D",IF($G8="In Progress","N","P")),""))</f>
        <v/>
      </c>
      <c r="AV8" s="112">
        <f>IF(OR($D8="",$E8=""),"",IF(AND(AV$4&lt;=$E8,AV$4+6&gt;=$D8),IF($G8="Completed","D",IF($G8="In Progress","N","P")),""))</f>
        <v/>
      </c>
      <c r="AW8" s="112">
        <f>IF(OR($D8="",$E8=""),"",IF(AND(AW$4&lt;=$E8,AW$4+6&gt;=$D8),IF($G8="Completed","D",IF($G8="In Progress","N","P")),""))</f>
        <v/>
      </c>
      <c r="AX8" s="112">
        <f>IF(OR($D8="",$E8=""),"",IF(AND(AX$4&lt;=$E8,AX$4+6&gt;=$D8),IF($G8="Completed","D",IF($G8="In Progress","N","P")),""))</f>
        <v/>
      </c>
    </row>
    <row r="9" ht="18" customHeight="1">
      <c r="A9" s="67" t="inlineStr">
        <is>
          <t>PH-05</t>
        </is>
      </c>
      <c r="B9" s="67" t="inlineStr">
        <is>
          <t>PRJ-001</t>
        </is>
      </c>
      <c r="C9" s="67" t="inlineStr">
        <is>
          <t>Electrical</t>
        </is>
      </c>
      <c r="D9" s="70" t="n">
        <v>46174</v>
      </c>
      <c r="E9" s="69" t="n">
        <v>46213</v>
      </c>
      <c r="F9" s="111">
        <f>IF($A9="","",$E9-$D9+1)</f>
        <v/>
      </c>
      <c r="G9" s="68" t="inlineStr">
        <is>
          <t>Completed</t>
        </is>
      </c>
      <c r="H9" s="67" t="inlineStr">
        <is>
          <t>PH-04</t>
        </is>
      </c>
      <c r="I9" s="108">
        <f>IF($A9="","",MAX(0,MIN(1,(AsOfDate-$D9+1)/MAX(1,$E9-$D9+1))))</f>
        <v/>
      </c>
      <c r="J9" s="82" t="n"/>
      <c r="K9" s="112">
        <f>IF(OR($D9="",$E9=""),"",IF(AND(K$4&lt;=$E9,K$4+6&gt;=$D9),IF($G9="Completed","D",IF($G9="In Progress","N","P")),""))</f>
        <v/>
      </c>
      <c r="L9" s="112">
        <f>IF(OR($D9="",$E9=""),"",IF(AND(L$4&lt;=$E9,L$4+6&gt;=$D9),IF($G9="Completed","D",IF($G9="In Progress","N","P")),""))</f>
        <v/>
      </c>
      <c r="M9" s="112">
        <f>IF(OR($D9="",$E9=""),"",IF(AND(M$4&lt;=$E9,M$4+6&gt;=$D9),IF($G9="Completed","D",IF($G9="In Progress","N","P")),""))</f>
        <v/>
      </c>
      <c r="N9" s="112">
        <f>IF(OR($D9="",$E9=""),"",IF(AND(N$4&lt;=$E9,N$4+6&gt;=$D9),IF($G9="Completed","D",IF($G9="In Progress","N","P")),""))</f>
        <v/>
      </c>
      <c r="O9" s="112">
        <f>IF(OR($D9="",$E9=""),"",IF(AND(O$4&lt;=$E9,O$4+6&gt;=$D9),IF($G9="Completed","D",IF($G9="In Progress","N","P")),""))</f>
        <v/>
      </c>
      <c r="P9" s="112">
        <f>IF(OR($D9="",$E9=""),"",IF(AND(P$4&lt;=$E9,P$4+6&gt;=$D9),IF($G9="Completed","D",IF($G9="In Progress","N","P")),""))</f>
        <v/>
      </c>
      <c r="Q9" s="112">
        <f>IF(OR($D9="",$E9=""),"",IF(AND(Q$4&lt;=$E9,Q$4+6&gt;=$D9),IF($G9="Completed","D",IF($G9="In Progress","N","P")),""))</f>
        <v/>
      </c>
      <c r="R9" s="112">
        <f>IF(OR($D9="",$E9=""),"",IF(AND(R$4&lt;=$E9,R$4+6&gt;=$D9),IF($G9="Completed","D",IF($G9="In Progress","N","P")),""))</f>
        <v/>
      </c>
      <c r="S9" s="112">
        <f>IF(OR($D9="",$E9=""),"",IF(AND(S$4&lt;=$E9,S$4+6&gt;=$D9),IF($G9="Completed","D",IF($G9="In Progress","N","P")),""))</f>
        <v/>
      </c>
      <c r="T9" s="112">
        <f>IF(OR($D9="",$E9=""),"",IF(AND(T$4&lt;=$E9,T$4+6&gt;=$D9),IF($G9="Completed","D",IF($G9="In Progress","N","P")),""))</f>
        <v/>
      </c>
      <c r="U9" s="112">
        <f>IF(OR($D9="",$E9=""),"",IF(AND(U$4&lt;=$E9,U$4+6&gt;=$D9),IF($G9="Completed","D",IF($G9="In Progress","N","P")),""))</f>
        <v/>
      </c>
      <c r="V9" s="112">
        <f>IF(OR($D9="",$E9=""),"",IF(AND(V$4&lt;=$E9,V$4+6&gt;=$D9),IF($G9="Completed","D",IF($G9="In Progress","N","P")),""))</f>
        <v/>
      </c>
      <c r="W9" s="112">
        <f>IF(OR($D9="",$E9=""),"",IF(AND(W$4&lt;=$E9,W$4+6&gt;=$D9),IF($G9="Completed","D",IF($G9="In Progress","N","P")),""))</f>
        <v/>
      </c>
      <c r="X9" s="112">
        <f>IF(OR($D9="",$E9=""),"",IF(AND(X$4&lt;=$E9,X$4+6&gt;=$D9),IF($G9="Completed","D",IF($G9="In Progress","N","P")),""))</f>
        <v/>
      </c>
      <c r="Y9" s="112">
        <f>IF(OR($D9="",$E9=""),"",IF(AND(Y$4&lt;=$E9,Y$4+6&gt;=$D9),IF($G9="Completed","D",IF($G9="In Progress","N","P")),""))</f>
        <v/>
      </c>
      <c r="Z9" s="112">
        <f>IF(OR($D9="",$E9=""),"",IF(AND(Z$4&lt;=$E9,Z$4+6&gt;=$D9),IF($G9="Completed","D",IF($G9="In Progress","N","P")),""))</f>
        <v/>
      </c>
      <c r="AA9" s="112">
        <f>IF(OR($D9="",$E9=""),"",IF(AND(AA$4&lt;=$E9,AA$4+6&gt;=$D9),IF($G9="Completed","D",IF($G9="In Progress","N","P")),""))</f>
        <v/>
      </c>
      <c r="AB9" s="112">
        <f>IF(OR($D9="",$E9=""),"",IF(AND(AB$4&lt;=$E9,AB$4+6&gt;=$D9),IF($G9="Completed","D",IF($G9="In Progress","N","P")),""))</f>
        <v/>
      </c>
      <c r="AC9" s="112">
        <f>IF(OR($D9="",$E9=""),"",IF(AND(AC$4&lt;=$E9,AC$4+6&gt;=$D9),IF($G9="Completed","D",IF($G9="In Progress","N","P")),""))</f>
        <v/>
      </c>
      <c r="AD9" s="112">
        <f>IF(OR($D9="",$E9=""),"",IF(AND(AD$4&lt;=$E9,AD$4+6&gt;=$D9),IF($G9="Completed","D",IF($G9="In Progress","N","P")),""))</f>
        <v/>
      </c>
      <c r="AE9" s="112">
        <f>IF(OR($D9="",$E9=""),"",IF(AND(AE$4&lt;=$E9,AE$4+6&gt;=$D9),IF($G9="Completed","D",IF($G9="In Progress","N","P")),""))</f>
        <v/>
      </c>
      <c r="AF9" s="112">
        <f>IF(OR($D9="",$E9=""),"",IF(AND(AF$4&lt;=$E9,AF$4+6&gt;=$D9),IF($G9="Completed","D",IF($G9="In Progress","N","P")),""))</f>
        <v/>
      </c>
      <c r="AG9" s="112">
        <f>IF(OR($D9="",$E9=""),"",IF(AND(AG$4&lt;=$E9,AG$4+6&gt;=$D9),IF($G9="Completed","D",IF($G9="In Progress","N","P")),""))</f>
        <v/>
      </c>
      <c r="AH9" s="112">
        <f>IF(OR($D9="",$E9=""),"",IF(AND(AH$4&lt;=$E9,AH$4+6&gt;=$D9),IF($G9="Completed","D",IF($G9="In Progress","N","P")),""))</f>
        <v/>
      </c>
      <c r="AI9" s="112">
        <f>IF(OR($D9="",$E9=""),"",IF(AND(AI$4&lt;=$E9,AI$4+6&gt;=$D9),IF($G9="Completed","D",IF($G9="In Progress","N","P")),""))</f>
        <v/>
      </c>
      <c r="AJ9" s="112">
        <f>IF(OR($D9="",$E9=""),"",IF(AND(AJ$4&lt;=$E9,AJ$4+6&gt;=$D9),IF($G9="Completed","D",IF($G9="In Progress","N","P")),""))</f>
        <v/>
      </c>
      <c r="AK9" s="112">
        <f>IF(OR($D9="",$E9=""),"",IF(AND(AK$4&lt;=$E9,AK$4+6&gt;=$D9),IF($G9="Completed","D",IF($G9="In Progress","N","P")),""))</f>
        <v/>
      </c>
      <c r="AL9" s="112">
        <f>IF(OR($D9="",$E9=""),"",IF(AND(AL$4&lt;=$E9,AL$4+6&gt;=$D9),IF($G9="Completed","D",IF($G9="In Progress","N","P")),""))</f>
        <v/>
      </c>
      <c r="AM9" s="112">
        <f>IF(OR($D9="",$E9=""),"",IF(AND(AM$4&lt;=$E9,AM$4+6&gt;=$D9),IF($G9="Completed","D",IF($G9="In Progress","N","P")),""))</f>
        <v/>
      </c>
      <c r="AN9" s="112">
        <f>IF(OR($D9="",$E9=""),"",IF(AND(AN$4&lt;=$E9,AN$4+6&gt;=$D9),IF($G9="Completed","D",IF($G9="In Progress","N","P")),""))</f>
        <v/>
      </c>
      <c r="AO9" s="112">
        <f>IF(OR($D9="",$E9=""),"",IF(AND(AO$4&lt;=$E9,AO$4+6&gt;=$D9),IF($G9="Completed","D",IF($G9="In Progress","N","P")),""))</f>
        <v/>
      </c>
      <c r="AP9" s="112">
        <f>IF(OR($D9="",$E9=""),"",IF(AND(AP$4&lt;=$E9,AP$4+6&gt;=$D9),IF($G9="Completed","D",IF($G9="In Progress","N","P")),""))</f>
        <v/>
      </c>
      <c r="AQ9" s="112">
        <f>IF(OR($D9="",$E9=""),"",IF(AND(AQ$4&lt;=$E9,AQ$4+6&gt;=$D9),IF($G9="Completed","D",IF($G9="In Progress","N","P")),""))</f>
        <v/>
      </c>
      <c r="AR9" s="112">
        <f>IF(OR($D9="",$E9=""),"",IF(AND(AR$4&lt;=$E9,AR$4+6&gt;=$D9),IF($G9="Completed","D",IF($G9="In Progress","N","P")),""))</f>
        <v/>
      </c>
      <c r="AS9" s="112">
        <f>IF(OR($D9="",$E9=""),"",IF(AND(AS$4&lt;=$E9,AS$4+6&gt;=$D9),IF($G9="Completed","D",IF($G9="In Progress","N","P")),""))</f>
        <v/>
      </c>
      <c r="AT9" s="112">
        <f>IF(OR($D9="",$E9=""),"",IF(AND(AT$4&lt;=$E9,AT$4+6&gt;=$D9),IF($G9="Completed","D",IF($G9="In Progress","N","P")),""))</f>
        <v/>
      </c>
      <c r="AU9" s="112">
        <f>IF(OR($D9="",$E9=""),"",IF(AND(AU$4&lt;=$E9,AU$4+6&gt;=$D9),IF($G9="Completed","D",IF($G9="In Progress","N","P")),""))</f>
        <v/>
      </c>
      <c r="AV9" s="112">
        <f>IF(OR($D9="",$E9=""),"",IF(AND(AV$4&lt;=$E9,AV$4+6&gt;=$D9),IF($G9="Completed","D",IF($G9="In Progress","N","P")),""))</f>
        <v/>
      </c>
      <c r="AW9" s="112">
        <f>IF(OR($D9="",$E9=""),"",IF(AND(AW$4&lt;=$E9,AW$4+6&gt;=$D9),IF($G9="Completed","D",IF($G9="In Progress","N","P")),""))</f>
        <v/>
      </c>
      <c r="AX9" s="112">
        <f>IF(OR($D9="",$E9=""),"",IF(AND(AX$4&lt;=$E9,AX$4+6&gt;=$D9),IF($G9="Completed","D",IF($G9="In Progress","N","P")),""))</f>
        <v/>
      </c>
    </row>
    <row r="10" ht="18" customHeight="1">
      <c r="A10" s="75" t="inlineStr">
        <is>
          <t>PH-06</t>
        </is>
      </c>
      <c r="B10" s="75" t="inlineStr">
        <is>
          <t>PRJ-001</t>
        </is>
      </c>
      <c r="C10" s="75" t="inlineStr">
        <is>
          <t>Plumbing</t>
        </is>
      </c>
      <c r="D10" s="78" t="n">
        <v>46181</v>
      </c>
      <c r="E10" s="77" t="n">
        <v>46223</v>
      </c>
      <c r="F10" s="111">
        <f>IF($A10="","",$E10-$D10+1)</f>
        <v/>
      </c>
      <c r="G10" s="76" t="inlineStr">
        <is>
          <t>Completed</t>
        </is>
      </c>
      <c r="H10" s="75" t="inlineStr">
        <is>
          <t>PH-04</t>
        </is>
      </c>
      <c r="I10" s="108">
        <f>IF($A10="","",MAX(0,MIN(1,(AsOfDate-$D10+1)/MAX(1,$E10-$D10+1))))</f>
        <v/>
      </c>
      <c r="J10" s="82" t="n"/>
      <c r="K10" s="112">
        <f>IF(OR($D10="",$E10=""),"",IF(AND(K$4&lt;=$E10,K$4+6&gt;=$D10),IF($G10="Completed","D",IF($G10="In Progress","N","P")),""))</f>
        <v/>
      </c>
      <c r="L10" s="112">
        <f>IF(OR($D10="",$E10=""),"",IF(AND(L$4&lt;=$E10,L$4+6&gt;=$D10),IF($G10="Completed","D",IF($G10="In Progress","N","P")),""))</f>
        <v/>
      </c>
      <c r="M10" s="112">
        <f>IF(OR($D10="",$E10=""),"",IF(AND(M$4&lt;=$E10,M$4+6&gt;=$D10),IF($G10="Completed","D",IF($G10="In Progress","N","P")),""))</f>
        <v/>
      </c>
      <c r="N10" s="112">
        <f>IF(OR($D10="",$E10=""),"",IF(AND(N$4&lt;=$E10,N$4+6&gt;=$D10),IF($G10="Completed","D",IF($G10="In Progress","N","P")),""))</f>
        <v/>
      </c>
      <c r="O10" s="112">
        <f>IF(OR($D10="",$E10=""),"",IF(AND(O$4&lt;=$E10,O$4+6&gt;=$D10),IF($G10="Completed","D",IF($G10="In Progress","N","P")),""))</f>
        <v/>
      </c>
      <c r="P10" s="112">
        <f>IF(OR($D10="",$E10=""),"",IF(AND(P$4&lt;=$E10,P$4+6&gt;=$D10),IF($G10="Completed","D",IF($G10="In Progress","N","P")),""))</f>
        <v/>
      </c>
      <c r="Q10" s="112">
        <f>IF(OR($D10="",$E10=""),"",IF(AND(Q$4&lt;=$E10,Q$4+6&gt;=$D10),IF($G10="Completed","D",IF($G10="In Progress","N","P")),""))</f>
        <v/>
      </c>
      <c r="R10" s="112">
        <f>IF(OR($D10="",$E10=""),"",IF(AND(R$4&lt;=$E10,R$4+6&gt;=$D10),IF($G10="Completed","D",IF($G10="In Progress","N","P")),""))</f>
        <v/>
      </c>
      <c r="S10" s="112">
        <f>IF(OR($D10="",$E10=""),"",IF(AND(S$4&lt;=$E10,S$4+6&gt;=$D10),IF($G10="Completed","D",IF($G10="In Progress","N","P")),""))</f>
        <v/>
      </c>
      <c r="T10" s="112">
        <f>IF(OR($D10="",$E10=""),"",IF(AND(T$4&lt;=$E10,T$4+6&gt;=$D10),IF($G10="Completed","D",IF($G10="In Progress","N","P")),""))</f>
        <v/>
      </c>
      <c r="U10" s="112">
        <f>IF(OR($D10="",$E10=""),"",IF(AND(U$4&lt;=$E10,U$4+6&gt;=$D10),IF($G10="Completed","D",IF($G10="In Progress","N","P")),""))</f>
        <v/>
      </c>
      <c r="V10" s="112">
        <f>IF(OR($D10="",$E10=""),"",IF(AND(V$4&lt;=$E10,V$4+6&gt;=$D10),IF($G10="Completed","D",IF($G10="In Progress","N","P")),""))</f>
        <v/>
      </c>
      <c r="W10" s="112">
        <f>IF(OR($D10="",$E10=""),"",IF(AND(W$4&lt;=$E10,W$4+6&gt;=$D10),IF($G10="Completed","D",IF($G10="In Progress","N","P")),""))</f>
        <v/>
      </c>
      <c r="X10" s="112">
        <f>IF(OR($D10="",$E10=""),"",IF(AND(X$4&lt;=$E10,X$4+6&gt;=$D10),IF($G10="Completed","D",IF($G10="In Progress","N","P")),""))</f>
        <v/>
      </c>
      <c r="Y10" s="112">
        <f>IF(OR($D10="",$E10=""),"",IF(AND(Y$4&lt;=$E10,Y$4+6&gt;=$D10),IF($G10="Completed","D",IF($G10="In Progress","N","P")),""))</f>
        <v/>
      </c>
      <c r="Z10" s="112">
        <f>IF(OR($D10="",$E10=""),"",IF(AND(Z$4&lt;=$E10,Z$4+6&gt;=$D10),IF($G10="Completed","D",IF($G10="In Progress","N","P")),""))</f>
        <v/>
      </c>
      <c r="AA10" s="112">
        <f>IF(OR($D10="",$E10=""),"",IF(AND(AA$4&lt;=$E10,AA$4+6&gt;=$D10),IF($G10="Completed","D",IF($G10="In Progress","N","P")),""))</f>
        <v/>
      </c>
      <c r="AB10" s="112">
        <f>IF(OR($D10="",$E10=""),"",IF(AND(AB$4&lt;=$E10,AB$4+6&gt;=$D10),IF($G10="Completed","D",IF($G10="In Progress","N","P")),""))</f>
        <v/>
      </c>
      <c r="AC10" s="112">
        <f>IF(OR($D10="",$E10=""),"",IF(AND(AC$4&lt;=$E10,AC$4+6&gt;=$D10),IF($G10="Completed","D",IF($G10="In Progress","N","P")),""))</f>
        <v/>
      </c>
      <c r="AD10" s="112">
        <f>IF(OR($D10="",$E10=""),"",IF(AND(AD$4&lt;=$E10,AD$4+6&gt;=$D10),IF($G10="Completed","D",IF($G10="In Progress","N","P")),""))</f>
        <v/>
      </c>
      <c r="AE10" s="112">
        <f>IF(OR($D10="",$E10=""),"",IF(AND(AE$4&lt;=$E10,AE$4+6&gt;=$D10),IF($G10="Completed","D",IF($G10="In Progress","N","P")),""))</f>
        <v/>
      </c>
      <c r="AF10" s="112">
        <f>IF(OR($D10="",$E10=""),"",IF(AND(AF$4&lt;=$E10,AF$4+6&gt;=$D10),IF($G10="Completed","D",IF($G10="In Progress","N","P")),""))</f>
        <v/>
      </c>
      <c r="AG10" s="112">
        <f>IF(OR($D10="",$E10=""),"",IF(AND(AG$4&lt;=$E10,AG$4+6&gt;=$D10),IF($G10="Completed","D",IF($G10="In Progress","N","P")),""))</f>
        <v/>
      </c>
      <c r="AH10" s="112">
        <f>IF(OR($D10="",$E10=""),"",IF(AND(AH$4&lt;=$E10,AH$4+6&gt;=$D10),IF($G10="Completed","D",IF($G10="In Progress","N","P")),""))</f>
        <v/>
      </c>
      <c r="AI10" s="112">
        <f>IF(OR($D10="",$E10=""),"",IF(AND(AI$4&lt;=$E10,AI$4+6&gt;=$D10),IF($G10="Completed","D",IF($G10="In Progress","N","P")),""))</f>
        <v/>
      </c>
      <c r="AJ10" s="112">
        <f>IF(OR($D10="",$E10=""),"",IF(AND(AJ$4&lt;=$E10,AJ$4+6&gt;=$D10),IF($G10="Completed","D",IF($G10="In Progress","N","P")),""))</f>
        <v/>
      </c>
      <c r="AK10" s="112">
        <f>IF(OR($D10="",$E10=""),"",IF(AND(AK$4&lt;=$E10,AK$4+6&gt;=$D10),IF($G10="Completed","D",IF($G10="In Progress","N","P")),""))</f>
        <v/>
      </c>
      <c r="AL10" s="112">
        <f>IF(OR($D10="",$E10=""),"",IF(AND(AL$4&lt;=$E10,AL$4+6&gt;=$D10),IF($G10="Completed","D",IF($G10="In Progress","N","P")),""))</f>
        <v/>
      </c>
      <c r="AM10" s="112">
        <f>IF(OR($D10="",$E10=""),"",IF(AND(AM$4&lt;=$E10,AM$4+6&gt;=$D10),IF($G10="Completed","D",IF($G10="In Progress","N","P")),""))</f>
        <v/>
      </c>
      <c r="AN10" s="112">
        <f>IF(OR($D10="",$E10=""),"",IF(AND(AN$4&lt;=$E10,AN$4+6&gt;=$D10),IF($G10="Completed","D",IF($G10="In Progress","N","P")),""))</f>
        <v/>
      </c>
      <c r="AO10" s="112">
        <f>IF(OR($D10="",$E10=""),"",IF(AND(AO$4&lt;=$E10,AO$4+6&gt;=$D10),IF($G10="Completed","D",IF($G10="In Progress","N","P")),""))</f>
        <v/>
      </c>
      <c r="AP10" s="112">
        <f>IF(OR($D10="",$E10=""),"",IF(AND(AP$4&lt;=$E10,AP$4+6&gt;=$D10),IF($G10="Completed","D",IF($G10="In Progress","N","P")),""))</f>
        <v/>
      </c>
      <c r="AQ10" s="112">
        <f>IF(OR($D10="",$E10=""),"",IF(AND(AQ$4&lt;=$E10,AQ$4+6&gt;=$D10),IF($G10="Completed","D",IF($G10="In Progress","N","P")),""))</f>
        <v/>
      </c>
      <c r="AR10" s="112">
        <f>IF(OR($D10="",$E10=""),"",IF(AND(AR$4&lt;=$E10,AR$4+6&gt;=$D10),IF($G10="Completed","D",IF($G10="In Progress","N","P")),""))</f>
        <v/>
      </c>
      <c r="AS10" s="112">
        <f>IF(OR($D10="",$E10=""),"",IF(AND(AS$4&lt;=$E10,AS$4+6&gt;=$D10),IF($G10="Completed","D",IF($G10="In Progress","N","P")),""))</f>
        <v/>
      </c>
      <c r="AT10" s="112">
        <f>IF(OR($D10="",$E10=""),"",IF(AND(AT$4&lt;=$E10,AT$4+6&gt;=$D10),IF($G10="Completed","D",IF($G10="In Progress","N","P")),""))</f>
        <v/>
      </c>
      <c r="AU10" s="112">
        <f>IF(OR($D10="",$E10=""),"",IF(AND(AU$4&lt;=$E10,AU$4+6&gt;=$D10),IF($G10="Completed","D",IF($G10="In Progress","N","P")),""))</f>
        <v/>
      </c>
      <c r="AV10" s="112">
        <f>IF(OR($D10="",$E10=""),"",IF(AND(AV$4&lt;=$E10,AV$4+6&gt;=$D10),IF($G10="Completed","D",IF($G10="In Progress","N","P")),""))</f>
        <v/>
      </c>
      <c r="AW10" s="112">
        <f>IF(OR($D10="",$E10=""),"",IF(AND(AW$4&lt;=$E10,AW$4+6&gt;=$D10),IF($G10="Completed","D",IF($G10="In Progress","N","P")),""))</f>
        <v/>
      </c>
      <c r="AX10" s="112">
        <f>IF(OR($D10="",$E10=""),"",IF(AND(AX$4&lt;=$E10,AX$4+6&gt;=$D10),IF($G10="Completed","D",IF($G10="In Progress","N","P")),""))</f>
        <v/>
      </c>
    </row>
    <row r="11" ht="18" customHeight="1">
      <c r="A11" s="67" t="inlineStr">
        <is>
          <t>PH-07</t>
        </is>
      </c>
      <c r="B11" s="67" t="inlineStr">
        <is>
          <t>PRJ-001</t>
        </is>
      </c>
      <c r="C11" s="67" t="inlineStr">
        <is>
          <t>Walls / plaster</t>
        </is>
      </c>
      <c r="D11" s="70" t="n">
        <v>46218</v>
      </c>
      <c r="E11" s="69" t="n">
        <v>46244</v>
      </c>
      <c r="F11" s="111">
        <f>IF($A11="","",$E11-$D11+1)</f>
        <v/>
      </c>
      <c r="G11" s="68" t="inlineStr">
        <is>
          <t>Completed</t>
        </is>
      </c>
      <c r="H11" s="67" t="inlineStr">
        <is>
          <t>PH-05</t>
        </is>
      </c>
      <c r="I11" s="108">
        <f>IF($A11="","",MAX(0,MIN(1,(AsOfDate-$D11+1)/MAX(1,$E11-$D11+1))))</f>
        <v/>
      </c>
      <c r="J11" s="82" t="n"/>
      <c r="K11" s="112">
        <f>IF(OR($D11="",$E11=""),"",IF(AND(K$4&lt;=$E11,K$4+6&gt;=$D11),IF($G11="Completed","D",IF($G11="In Progress","N","P")),""))</f>
        <v/>
      </c>
      <c r="L11" s="112">
        <f>IF(OR($D11="",$E11=""),"",IF(AND(L$4&lt;=$E11,L$4+6&gt;=$D11),IF($G11="Completed","D",IF($G11="In Progress","N","P")),""))</f>
        <v/>
      </c>
      <c r="M11" s="112">
        <f>IF(OR($D11="",$E11=""),"",IF(AND(M$4&lt;=$E11,M$4+6&gt;=$D11),IF($G11="Completed","D",IF($G11="In Progress","N","P")),""))</f>
        <v/>
      </c>
      <c r="N11" s="112">
        <f>IF(OR($D11="",$E11=""),"",IF(AND(N$4&lt;=$E11,N$4+6&gt;=$D11),IF($G11="Completed","D",IF($G11="In Progress","N","P")),""))</f>
        <v/>
      </c>
      <c r="O11" s="112">
        <f>IF(OR($D11="",$E11=""),"",IF(AND(O$4&lt;=$E11,O$4+6&gt;=$D11),IF($G11="Completed","D",IF($G11="In Progress","N","P")),""))</f>
        <v/>
      </c>
      <c r="P11" s="112">
        <f>IF(OR($D11="",$E11=""),"",IF(AND(P$4&lt;=$E11,P$4+6&gt;=$D11),IF($G11="Completed","D",IF($G11="In Progress","N","P")),""))</f>
        <v/>
      </c>
      <c r="Q11" s="112">
        <f>IF(OR($D11="",$E11=""),"",IF(AND(Q$4&lt;=$E11,Q$4+6&gt;=$D11),IF($G11="Completed","D",IF($G11="In Progress","N","P")),""))</f>
        <v/>
      </c>
      <c r="R11" s="112">
        <f>IF(OR($D11="",$E11=""),"",IF(AND(R$4&lt;=$E11,R$4+6&gt;=$D11),IF($G11="Completed","D",IF($G11="In Progress","N","P")),""))</f>
        <v/>
      </c>
      <c r="S11" s="112">
        <f>IF(OR($D11="",$E11=""),"",IF(AND(S$4&lt;=$E11,S$4+6&gt;=$D11),IF($G11="Completed","D",IF($G11="In Progress","N","P")),""))</f>
        <v/>
      </c>
      <c r="T11" s="112">
        <f>IF(OR($D11="",$E11=""),"",IF(AND(T$4&lt;=$E11,T$4+6&gt;=$D11),IF($G11="Completed","D",IF($G11="In Progress","N","P")),""))</f>
        <v/>
      </c>
      <c r="U11" s="112">
        <f>IF(OR($D11="",$E11=""),"",IF(AND(U$4&lt;=$E11,U$4+6&gt;=$D11),IF($G11="Completed","D",IF($G11="In Progress","N","P")),""))</f>
        <v/>
      </c>
      <c r="V11" s="112">
        <f>IF(OR($D11="",$E11=""),"",IF(AND(V$4&lt;=$E11,V$4+6&gt;=$D11),IF($G11="Completed","D",IF($G11="In Progress","N","P")),""))</f>
        <v/>
      </c>
      <c r="W11" s="112">
        <f>IF(OR($D11="",$E11=""),"",IF(AND(W$4&lt;=$E11,W$4+6&gt;=$D11),IF($G11="Completed","D",IF($G11="In Progress","N","P")),""))</f>
        <v/>
      </c>
      <c r="X11" s="112">
        <f>IF(OR($D11="",$E11=""),"",IF(AND(X$4&lt;=$E11,X$4+6&gt;=$D11),IF($G11="Completed","D",IF($G11="In Progress","N","P")),""))</f>
        <v/>
      </c>
      <c r="Y11" s="112">
        <f>IF(OR($D11="",$E11=""),"",IF(AND(Y$4&lt;=$E11,Y$4+6&gt;=$D11),IF($G11="Completed","D",IF($G11="In Progress","N","P")),""))</f>
        <v/>
      </c>
      <c r="Z11" s="112">
        <f>IF(OR($D11="",$E11=""),"",IF(AND(Z$4&lt;=$E11,Z$4+6&gt;=$D11),IF($G11="Completed","D",IF($G11="In Progress","N","P")),""))</f>
        <v/>
      </c>
      <c r="AA11" s="112">
        <f>IF(OR($D11="",$E11=""),"",IF(AND(AA$4&lt;=$E11,AA$4+6&gt;=$D11),IF($G11="Completed","D",IF($G11="In Progress","N","P")),""))</f>
        <v/>
      </c>
      <c r="AB11" s="112">
        <f>IF(OR($D11="",$E11=""),"",IF(AND(AB$4&lt;=$E11,AB$4+6&gt;=$D11),IF($G11="Completed","D",IF($G11="In Progress","N","P")),""))</f>
        <v/>
      </c>
      <c r="AC11" s="112">
        <f>IF(OR($D11="",$E11=""),"",IF(AND(AC$4&lt;=$E11,AC$4+6&gt;=$D11),IF($G11="Completed","D",IF($G11="In Progress","N","P")),""))</f>
        <v/>
      </c>
      <c r="AD11" s="112">
        <f>IF(OR($D11="",$E11=""),"",IF(AND(AD$4&lt;=$E11,AD$4+6&gt;=$D11),IF($G11="Completed","D",IF($G11="In Progress","N","P")),""))</f>
        <v/>
      </c>
      <c r="AE11" s="112">
        <f>IF(OR($D11="",$E11=""),"",IF(AND(AE$4&lt;=$E11,AE$4+6&gt;=$D11),IF($G11="Completed","D",IF($G11="In Progress","N","P")),""))</f>
        <v/>
      </c>
      <c r="AF11" s="112">
        <f>IF(OR($D11="",$E11=""),"",IF(AND(AF$4&lt;=$E11,AF$4+6&gt;=$D11),IF($G11="Completed","D",IF($G11="In Progress","N","P")),""))</f>
        <v/>
      </c>
      <c r="AG11" s="112">
        <f>IF(OR($D11="",$E11=""),"",IF(AND(AG$4&lt;=$E11,AG$4+6&gt;=$D11),IF($G11="Completed","D",IF($G11="In Progress","N","P")),""))</f>
        <v/>
      </c>
      <c r="AH11" s="112">
        <f>IF(OR($D11="",$E11=""),"",IF(AND(AH$4&lt;=$E11,AH$4+6&gt;=$D11),IF($G11="Completed","D",IF($G11="In Progress","N","P")),""))</f>
        <v/>
      </c>
      <c r="AI11" s="112">
        <f>IF(OR($D11="",$E11=""),"",IF(AND(AI$4&lt;=$E11,AI$4+6&gt;=$D11),IF($G11="Completed","D",IF($G11="In Progress","N","P")),""))</f>
        <v/>
      </c>
      <c r="AJ11" s="112">
        <f>IF(OR($D11="",$E11=""),"",IF(AND(AJ$4&lt;=$E11,AJ$4+6&gt;=$D11),IF($G11="Completed","D",IF($G11="In Progress","N","P")),""))</f>
        <v/>
      </c>
      <c r="AK11" s="112">
        <f>IF(OR($D11="",$E11=""),"",IF(AND(AK$4&lt;=$E11,AK$4+6&gt;=$D11),IF($G11="Completed","D",IF($G11="In Progress","N","P")),""))</f>
        <v/>
      </c>
      <c r="AL11" s="112">
        <f>IF(OR($D11="",$E11=""),"",IF(AND(AL$4&lt;=$E11,AL$4+6&gt;=$D11),IF($G11="Completed","D",IF($G11="In Progress","N","P")),""))</f>
        <v/>
      </c>
      <c r="AM11" s="112">
        <f>IF(OR($D11="",$E11=""),"",IF(AND(AM$4&lt;=$E11,AM$4+6&gt;=$D11),IF($G11="Completed","D",IF($G11="In Progress","N","P")),""))</f>
        <v/>
      </c>
      <c r="AN11" s="112">
        <f>IF(OR($D11="",$E11=""),"",IF(AND(AN$4&lt;=$E11,AN$4+6&gt;=$D11),IF($G11="Completed","D",IF($G11="In Progress","N","P")),""))</f>
        <v/>
      </c>
      <c r="AO11" s="112">
        <f>IF(OR($D11="",$E11=""),"",IF(AND(AO$4&lt;=$E11,AO$4+6&gt;=$D11),IF($G11="Completed","D",IF($G11="In Progress","N","P")),""))</f>
        <v/>
      </c>
      <c r="AP11" s="112">
        <f>IF(OR($D11="",$E11=""),"",IF(AND(AP$4&lt;=$E11,AP$4+6&gt;=$D11),IF($G11="Completed","D",IF($G11="In Progress","N","P")),""))</f>
        <v/>
      </c>
      <c r="AQ11" s="112">
        <f>IF(OR($D11="",$E11=""),"",IF(AND(AQ$4&lt;=$E11,AQ$4+6&gt;=$D11),IF($G11="Completed","D",IF($G11="In Progress","N","P")),""))</f>
        <v/>
      </c>
      <c r="AR11" s="112">
        <f>IF(OR($D11="",$E11=""),"",IF(AND(AR$4&lt;=$E11,AR$4+6&gt;=$D11),IF($G11="Completed","D",IF($G11="In Progress","N","P")),""))</f>
        <v/>
      </c>
      <c r="AS11" s="112">
        <f>IF(OR($D11="",$E11=""),"",IF(AND(AS$4&lt;=$E11,AS$4+6&gt;=$D11),IF($G11="Completed","D",IF($G11="In Progress","N","P")),""))</f>
        <v/>
      </c>
      <c r="AT11" s="112">
        <f>IF(OR($D11="",$E11=""),"",IF(AND(AT$4&lt;=$E11,AT$4+6&gt;=$D11),IF($G11="Completed","D",IF($G11="In Progress","N","P")),""))</f>
        <v/>
      </c>
      <c r="AU11" s="112">
        <f>IF(OR($D11="",$E11=""),"",IF(AND(AU$4&lt;=$E11,AU$4+6&gt;=$D11),IF($G11="Completed","D",IF($G11="In Progress","N","P")),""))</f>
        <v/>
      </c>
      <c r="AV11" s="112">
        <f>IF(OR($D11="",$E11=""),"",IF(AND(AV$4&lt;=$E11,AV$4+6&gt;=$D11),IF($G11="Completed","D",IF($G11="In Progress","N","P")),""))</f>
        <v/>
      </c>
      <c r="AW11" s="112">
        <f>IF(OR($D11="",$E11=""),"",IF(AND(AW$4&lt;=$E11,AW$4+6&gt;=$D11),IF($G11="Completed","D",IF($G11="In Progress","N","P")),""))</f>
        <v/>
      </c>
      <c r="AX11" s="112">
        <f>IF(OR($D11="",$E11=""),"",IF(AND(AX$4&lt;=$E11,AX$4+6&gt;=$D11),IF($G11="Completed","D",IF($G11="In Progress","N","P")),""))</f>
        <v/>
      </c>
    </row>
    <row r="12" ht="18" customHeight="1">
      <c r="A12" s="75" t="inlineStr">
        <is>
          <t>PH-08</t>
        </is>
      </c>
      <c r="B12" s="75" t="inlineStr">
        <is>
          <t>PRJ-001</t>
        </is>
      </c>
      <c r="C12" s="75" t="inlineStr">
        <is>
          <t>Flooring</t>
        </is>
      </c>
      <c r="D12" s="78" t="n">
        <v>46239</v>
      </c>
      <c r="E12" s="77" t="n">
        <v>46262</v>
      </c>
      <c r="F12" s="111">
        <f>IF($A12="","",$E12-$D12+1)</f>
        <v/>
      </c>
      <c r="G12" s="76" t="inlineStr">
        <is>
          <t>In Progress</t>
        </is>
      </c>
      <c r="H12" s="75" t="inlineStr">
        <is>
          <t>PH-07</t>
        </is>
      </c>
      <c r="I12" s="108">
        <f>IF($A12="","",MAX(0,MIN(1,(AsOfDate-$D12+1)/MAX(1,$E12-$D12+1))))</f>
        <v/>
      </c>
      <c r="J12" s="82" t="n"/>
      <c r="K12" s="112">
        <f>IF(OR($D12="",$E12=""),"",IF(AND(K$4&lt;=$E12,K$4+6&gt;=$D12),IF($G12="Completed","D",IF($G12="In Progress","N","P")),""))</f>
        <v/>
      </c>
      <c r="L12" s="112">
        <f>IF(OR($D12="",$E12=""),"",IF(AND(L$4&lt;=$E12,L$4+6&gt;=$D12),IF($G12="Completed","D",IF($G12="In Progress","N","P")),""))</f>
        <v/>
      </c>
      <c r="M12" s="112">
        <f>IF(OR($D12="",$E12=""),"",IF(AND(M$4&lt;=$E12,M$4+6&gt;=$D12),IF($G12="Completed","D",IF($G12="In Progress","N","P")),""))</f>
        <v/>
      </c>
      <c r="N12" s="112">
        <f>IF(OR($D12="",$E12=""),"",IF(AND(N$4&lt;=$E12,N$4+6&gt;=$D12),IF($G12="Completed","D",IF($G12="In Progress","N","P")),""))</f>
        <v/>
      </c>
      <c r="O12" s="112">
        <f>IF(OR($D12="",$E12=""),"",IF(AND(O$4&lt;=$E12,O$4+6&gt;=$D12),IF($G12="Completed","D",IF($G12="In Progress","N","P")),""))</f>
        <v/>
      </c>
      <c r="P12" s="112">
        <f>IF(OR($D12="",$E12=""),"",IF(AND(P$4&lt;=$E12,P$4+6&gt;=$D12),IF($G12="Completed","D",IF($G12="In Progress","N","P")),""))</f>
        <v/>
      </c>
      <c r="Q12" s="112">
        <f>IF(OR($D12="",$E12=""),"",IF(AND(Q$4&lt;=$E12,Q$4+6&gt;=$D12),IF($G12="Completed","D",IF($G12="In Progress","N","P")),""))</f>
        <v/>
      </c>
      <c r="R12" s="112">
        <f>IF(OR($D12="",$E12=""),"",IF(AND(R$4&lt;=$E12,R$4+6&gt;=$D12),IF($G12="Completed","D",IF($G12="In Progress","N","P")),""))</f>
        <v/>
      </c>
      <c r="S12" s="112">
        <f>IF(OR($D12="",$E12=""),"",IF(AND(S$4&lt;=$E12,S$4+6&gt;=$D12),IF($G12="Completed","D",IF($G12="In Progress","N","P")),""))</f>
        <v/>
      </c>
      <c r="T12" s="112">
        <f>IF(OR($D12="",$E12=""),"",IF(AND(T$4&lt;=$E12,T$4+6&gt;=$D12),IF($G12="Completed","D",IF($G12="In Progress","N","P")),""))</f>
        <v/>
      </c>
      <c r="U12" s="112">
        <f>IF(OR($D12="",$E12=""),"",IF(AND(U$4&lt;=$E12,U$4+6&gt;=$D12),IF($G12="Completed","D",IF($G12="In Progress","N","P")),""))</f>
        <v/>
      </c>
      <c r="V12" s="112">
        <f>IF(OR($D12="",$E12=""),"",IF(AND(V$4&lt;=$E12,V$4+6&gt;=$D12),IF($G12="Completed","D",IF($G12="In Progress","N","P")),""))</f>
        <v/>
      </c>
      <c r="W12" s="112">
        <f>IF(OR($D12="",$E12=""),"",IF(AND(W$4&lt;=$E12,W$4+6&gt;=$D12),IF($G12="Completed","D",IF($G12="In Progress","N","P")),""))</f>
        <v/>
      </c>
      <c r="X12" s="112">
        <f>IF(OR($D12="",$E12=""),"",IF(AND(X$4&lt;=$E12,X$4+6&gt;=$D12),IF($G12="Completed","D",IF($G12="In Progress","N","P")),""))</f>
        <v/>
      </c>
      <c r="Y12" s="112">
        <f>IF(OR($D12="",$E12=""),"",IF(AND(Y$4&lt;=$E12,Y$4+6&gt;=$D12),IF($G12="Completed","D",IF($G12="In Progress","N","P")),""))</f>
        <v/>
      </c>
      <c r="Z12" s="112">
        <f>IF(OR($D12="",$E12=""),"",IF(AND(Z$4&lt;=$E12,Z$4+6&gt;=$D12),IF($G12="Completed","D",IF($G12="In Progress","N","P")),""))</f>
        <v/>
      </c>
      <c r="AA12" s="112">
        <f>IF(OR($D12="",$E12=""),"",IF(AND(AA$4&lt;=$E12,AA$4+6&gt;=$D12),IF($G12="Completed","D",IF($G12="In Progress","N","P")),""))</f>
        <v/>
      </c>
      <c r="AB12" s="112">
        <f>IF(OR($D12="",$E12=""),"",IF(AND(AB$4&lt;=$E12,AB$4+6&gt;=$D12),IF($G12="Completed","D",IF($G12="In Progress","N","P")),""))</f>
        <v/>
      </c>
      <c r="AC12" s="112">
        <f>IF(OR($D12="",$E12=""),"",IF(AND(AC$4&lt;=$E12,AC$4+6&gt;=$D12),IF($G12="Completed","D",IF($G12="In Progress","N","P")),""))</f>
        <v/>
      </c>
      <c r="AD12" s="112">
        <f>IF(OR($D12="",$E12=""),"",IF(AND(AD$4&lt;=$E12,AD$4+6&gt;=$D12),IF($G12="Completed","D",IF($G12="In Progress","N","P")),""))</f>
        <v/>
      </c>
      <c r="AE12" s="112">
        <f>IF(OR($D12="",$E12=""),"",IF(AND(AE$4&lt;=$E12,AE$4+6&gt;=$D12),IF($G12="Completed","D",IF($G12="In Progress","N","P")),""))</f>
        <v/>
      </c>
      <c r="AF12" s="112">
        <f>IF(OR($D12="",$E12=""),"",IF(AND(AF$4&lt;=$E12,AF$4+6&gt;=$D12),IF($G12="Completed","D",IF($G12="In Progress","N","P")),""))</f>
        <v/>
      </c>
      <c r="AG12" s="112">
        <f>IF(OR($D12="",$E12=""),"",IF(AND(AG$4&lt;=$E12,AG$4+6&gt;=$D12),IF($G12="Completed","D",IF($G12="In Progress","N","P")),""))</f>
        <v/>
      </c>
      <c r="AH12" s="112">
        <f>IF(OR($D12="",$E12=""),"",IF(AND(AH$4&lt;=$E12,AH$4+6&gt;=$D12),IF($G12="Completed","D",IF($G12="In Progress","N","P")),""))</f>
        <v/>
      </c>
      <c r="AI12" s="112">
        <f>IF(OR($D12="",$E12=""),"",IF(AND(AI$4&lt;=$E12,AI$4+6&gt;=$D12),IF($G12="Completed","D",IF($G12="In Progress","N","P")),""))</f>
        <v/>
      </c>
      <c r="AJ12" s="112">
        <f>IF(OR($D12="",$E12=""),"",IF(AND(AJ$4&lt;=$E12,AJ$4+6&gt;=$D12),IF($G12="Completed","D",IF($G12="In Progress","N","P")),""))</f>
        <v/>
      </c>
      <c r="AK12" s="112">
        <f>IF(OR($D12="",$E12=""),"",IF(AND(AK$4&lt;=$E12,AK$4+6&gt;=$D12),IF($G12="Completed","D",IF($G12="In Progress","N","P")),""))</f>
        <v/>
      </c>
      <c r="AL12" s="112">
        <f>IF(OR($D12="",$E12=""),"",IF(AND(AL$4&lt;=$E12,AL$4+6&gt;=$D12),IF($G12="Completed","D",IF($G12="In Progress","N","P")),""))</f>
        <v/>
      </c>
      <c r="AM12" s="112">
        <f>IF(OR($D12="",$E12=""),"",IF(AND(AM$4&lt;=$E12,AM$4+6&gt;=$D12),IF($G12="Completed","D",IF($G12="In Progress","N","P")),""))</f>
        <v/>
      </c>
      <c r="AN12" s="112">
        <f>IF(OR($D12="",$E12=""),"",IF(AND(AN$4&lt;=$E12,AN$4+6&gt;=$D12),IF($G12="Completed","D",IF($G12="In Progress","N","P")),""))</f>
        <v/>
      </c>
      <c r="AO12" s="112">
        <f>IF(OR($D12="",$E12=""),"",IF(AND(AO$4&lt;=$E12,AO$4+6&gt;=$D12),IF($G12="Completed","D",IF($G12="In Progress","N","P")),""))</f>
        <v/>
      </c>
      <c r="AP12" s="112">
        <f>IF(OR($D12="",$E12=""),"",IF(AND(AP$4&lt;=$E12,AP$4+6&gt;=$D12),IF($G12="Completed","D",IF($G12="In Progress","N","P")),""))</f>
        <v/>
      </c>
      <c r="AQ12" s="112">
        <f>IF(OR($D12="",$E12=""),"",IF(AND(AQ$4&lt;=$E12,AQ$4+6&gt;=$D12),IF($G12="Completed","D",IF($G12="In Progress","N","P")),""))</f>
        <v/>
      </c>
      <c r="AR12" s="112">
        <f>IF(OR($D12="",$E12=""),"",IF(AND(AR$4&lt;=$E12,AR$4+6&gt;=$D12),IF($G12="Completed","D",IF($G12="In Progress","N","P")),""))</f>
        <v/>
      </c>
      <c r="AS12" s="112">
        <f>IF(OR($D12="",$E12=""),"",IF(AND(AS$4&lt;=$E12,AS$4+6&gt;=$D12),IF($G12="Completed","D",IF($G12="In Progress","N","P")),""))</f>
        <v/>
      </c>
      <c r="AT12" s="112">
        <f>IF(OR($D12="",$E12=""),"",IF(AND(AT$4&lt;=$E12,AT$4+6&gt;=$D12),IF($G12="Completed","D",IF($G12="In Progress","N","P")),""))</f>
        <v/>
      </c>
      <c r="AU12" s="112">
        <f>IF(OR($D12="",$E12=""),"",IF(AND(AU$4&lt;=$E12,AU$4+6&gt;=$D12),IF($G12="Completed","D",IF($G12="In Progress","N","P")),""))</f>
        <v/>
      </c>
      <c r="AV12" s="112">
        <f>IF(OR($D12="",$E12=""),"",IF(AND(AV$4&lt;=$E12,AV$4+6&gt;=$D12),IF($G12="Completed","D",IF($G12="In Progress","N","P")),""))</f>
        <v/>
      </c>
      <c r="AW12" s="112">
        <f>IF(OR($D12="",$E12=""),"",IF(AND(AW$4&lt;=$E12,AW$4+6&gt;=$D12),IF($G12="Completed","D",IF($G12="In Progress","N","P")),""))</f>
        <v/>
      </c>
      <c r="AX12" s="112">
        <f>IF(OR($D12="",$E12=""),"",IF(AND(AX$4&lt;=$E12,AX$4+6&gt;=$D12),IF($G12="Completed","D",IF($G12="In Progress","N","P")),""))</f>
        <v/>
      </c>
    </row>
    <row r="13" ht="18" customHeight="1">
      <c r="A13" s="67" t="inlineStr">
        <is>
          <t>PH-09</t>
        </is>
      </c>
      <c r="B13" s="67" t="inlineStr">
        <is>
          <t>PRJ-001</t>
        </is>
      </c>
      <c r="C13" s="67" t="inlineStr">
        <is>
          <t>Cabinetry</t>
        </is>
      </c>
      <c r="D13" s="70" t="n">
        <v>46254</v>
      </c>
      <c r="E13" s="69" t="n">
        <v>46280</v>
      </c>
      <c r="F13" s="111">
        <f>IF($A13="","",$E13-$D13+1)</f>
        <v/>
      </c>
      <c r="G13" s="68" t="inlineStr">
        <is>
          <t>In Progress</t>
        </is>
      </c>
      <c r="H13" s="67" t="inlineStr">
        <is>
          <t>PH-08</t>
        </is>
      </c>
      <c r="I13" s="108">
        <f>IF($A13="","",MAX(0,MIN(1,(AsOfDate-$D13+1)/MAX(1,$E13-$D13+1))))</f>
        <v/>
      </c>
      <c r="J13" s="82" t="n"/>
      <c r="K13" s="112">
        <f>IF(OR($D13="",$E13=""),"",IF(AND(K$4&lt;=$E13,K$4+6&gt;=$D13),IF($G13="Completed","D",IF($G13="In Progress","N","P")),""))</f>
        <v/>
      </c>
      <c r="L13" s="112">
        <f>IF(OR($D13="",$E13=""),"",IF(AND(L$4&lt;=$E13,L$4+6&gt;=$D13),IF($G13="Completed","D",IF($G13="In Progress","N","P")),""))</f>
        <v/>
      </c>
      <c r="M13" s="112">
        <f>IF(OR($D13="",$E13=""),"",IF(AND(M$4&lt;=$E13,M$4+6&gt;=$D13),IF($G13="Completed","D",IF($G13="In Progress","N","P")),""))</f>
        <v/>
      </c>
      <c r="N13" s="112">
        <f>IF(OR($D13="",$E13=""),"",IF(AND(N$4&lt;=$E13,N$4+6&gt;=$D13),IF($G13="Completed","D",IF($G13="In Progress","N","P")),""))</f>
        <v/>
      </c>
      <c r="O13" s="112">
        <f>IF(OR($D13="",$E13=""),"",IF(AND(O$4&lt;=$E13,O$4+6&gt;=$D13),IF($G13="Completed","D",IF($G13="In Progress","N","P")),""))</f>
        <v/>
      </c>
      <c r="P13" s="112">
        <f>IF(OR($D13="",$E13=""),"",IF(AND(P$4&lt;=$E13,P$4+6&gt;=$D13),IF($G13="Completed","D",IF($G13="In Progress","N","P")),""))</f>
        <v/>
      </c>
      <c r="Q13" s="112">
        <f>IF(OR($D13="",$E13=""),"",IF(AND(Q$4&lt;=$E13,Q$4+6&gt;=$D13),IF($G13="Completed","D",IF($G13="In Progress","N","P")),""))</f>
        <v/>
      </c>
      <c r="R13" s="112">
        <f>IF(OR($D13="",$E13=""),"",IF(AND(R$4&lt;=$E13,R$4+6&gt;=$D13),IF($G13="Completed","D",IF($G13="In Progress","N","P")),""))</f>
        <v/>
      </c>
      <c r="S13" s="112">
        <f>IF(OR($D13="",$E13=""),"",IF(AND(S$4&lt;=$E13,S$4+6&gt;=$D13),IF($G13="Completed","D",IF($G13="In Progress","N","P")),""))</f>
        <v/>
      </c>
      <c r="T13" s="112">
        <f>IF(OR($D13="",$E13=""),"",IF(AND(T$4&lt;=$E13,T$4+6&gt;=$D13),IF($G13="Completed","D",IF($G13="In Progress","N","P")),""))</f>
        <v/>
      </c>
      <c r="U13" s="112">
        <f>IF(OR($D13="",$E13=""),"",IF(AND(U$4&lt;=$E13,U$4+6&gt;=$D13),IF($G13="Completed","D",IF($G13="In Progress","N","P")),""))</f>
        <v/>
      </c>
      <c r="V13" s="112">
        <f>IF(OR($D13="",$E13=""),"",IF(AND(V$4&lt;=$E13,V$4+6&gt;=$D13),IF($G13="Completed","D",IF($G13="In Progress","N","P")),""))</f>
        <v/>
      </c>
      <c r="W13" s="112">
        <f>IF(OR($D13="",$E13=""),"",IF(AND(W$4&lt;=$E13,W$4+6&gt;=$D13),IF($G13="Completed","D",IF($G13="In Progress","N","P")),""))</f>
        <v/>
      </c>
      <c r="X13" s="112">
        <f>IF(OR($D13="",$E13=""),"",IF(AND(X$4&lt;=$E13,X$4+6&gt;=$D13),IF($G13="Completed","D",IF($G13="In Progress","N","P")),""))</f>
        <v/>
      </c>
      <c r="Y13" s="112">
        <f>IF(OR($D13="",$E13=""),"",IF(AND(Y$4&lt;=$E13,Y$4+6&gt;=$D13),IF($G13="Completed","D",IF($G13="In Progress","N","P")),""))</f>
        <v/>
      </c>
      <c r="Z13" s="112">
        <f>IF(OR($D13="",$E13=""),"",IF(AND(Z$4&lt;=$E13,Z$4+6&gt;=$D13),IF($G13="Completed","D",IF($G13="In Progress","N","P")),""))</f>
        <v/>
      </c>
      <c r="AA13" s="112">
        <f>IF(OR($D13="",$E13=""),"",IF(AND(AA$4&lt;=$E13,AA$4+6&gt;=$D13),IF($G13="Completed","D",IF($G13="In Progress","N","P")),""))</f>
        <v/>
      </c>
      <c r="AB13" s="112">
        <f>IF(OR($D13="",$E13=""),"",IF(AND(AB$4&lt;=$E13,AB$4+6&gt;=$D13),IF($G13="Completed","D",IF($G13="In Progress","N","P")),""))</f>
        <v/>
      </c>
      <c r="AC13" s="112">
        <f>IF(OR($D13="",$E13=""),"",IF(AND(AC$4&lt;=$E13,AC$4+6&gt;=$D13),IF($G13="Completed","D",IF($G13="In Progress","N","P")),""))</f>
        <v/>
      </c>
      <c r="AD13" s="112">
        <f>IF(OR($D13="",$E13=""),"",IF(AND(AD$4&lt;=$E13,AD$4+6&gt;=$D13),IF($G13="Completed","D",IF($G13="In Progress","N","P")),""))</f>
        <v/>
      </c>
      <c r="AE13" s="112">
        <f>IF(OR($D13="",$E13=""),"",IF(AND(AE$4&lt;=$E13,AE$4+6&gt;=$D13),IF($G13="Completed","D",IF($G13="In Progress","N","P")),""))</f>
        <v/>
      </c>
      <c r="AF13" s="112">
        <f>IF(OR($D13="",$E13=""),"",IF(AND(AF$4&lt;=$E13,AF$4+6&gt;=$D13),IF($G13="Completed","D",IF($G13="In Progress","N","P")),""))</f>
        <v/>
      </c>
      <c r="AG13" s="112">
        <f>IF(OR($D13="",$E13=""),"",IF(AND(AG$4&lt;=$E13,AG$4+6&gt;=$D13),IF($G13="Completed","D",IF($G13="In Progress","N","P")),""))</f>
        <v/>
      </c>
      <c r="AH13" s="112">
        <f>IF(OR($D13="",$E13=""),"",IF(AND(AH$4&lt;=$E13,AH$4+6&gt;=$D13),IF($G13="Completed","D",IF($G13="In Progress","N","P")),""))</f>
        <v/>
      </c>
      <c r="AI13" s="112">
        <f>IF(OR($D13="",$E13=""),"",IF(AND(AI$4&lt;=$E13,AI$4+6&gt;=$D13),IF($G13="Completed","D",IF($G13="In Progress","N","P")),""))</f>
        <v/>
      </c>
      <c r="AJ13" s="112">
        <f>IF(OR($D13="",$E13=""),"",IF(AND(AJ$4&lt;=$E13,AJ$4+6&gt;=$D13),IF($G13="Completed","D",IF($G13="In Progress","N","P")),""))</f>
        <v/>
      </c>
      <c r="AK13" s="112">
        <f>IF(OR($D13="",$E13=""),"",IF(AND(AK$4&lt;=$E13,AK$4+6&gt;=$D13),IF($G13="Completed","D",IF($G13="In Progress","N","P")),""))</f>
        <v/>
      </c>
      <c r="AL13" s="112">
        <f>IF(OR($D13="",$E13=""),"",IF(AND(AL$4&lt;=$E13,AL$4+6&gt;=$D13),IF($G13="Completed","D",IF($G13="In Progress","N","P")),""))</f>
        <v/>
      </c>
      <c r="AM13" s="112">
        <f>IF(OR($D13="",$E13=""),"",IF(AND(AM$4&lt;=$E13,AM$4+6&gt;=$D13),IF($G13="Completed","D",IF($G13="In Progress","N","P")),""))</f>
        <v/>
      </c>
      <c r="AN13" s="112">
        <f>IF(OR($D13="",$E13=""),"",IF(AND(AN$4&lt;=$E13,AN$4+6&gt;=$D13),IF($G13="Completed","D",IF($G13="In Progress","N","P")),""))</f>
        <v/>
      </c>
      <c r="AO13" s="112">
        <f>IF(OR($D13="",$E13=""),"",IF(AND(AO$4&lt;=$E13,AO$4+6&gt;=$D13),IF($G13="Completed","D",IF($G13="In Progress","N","P")),""))</f>
        <v/>
      </c>
      <c r="AP13" s="112">
        <f>IF(OR($D13="",$E13=""),"",IF(AND(AP$4&lt;=$E13,AP$4+6&gt;=$D13),IF($G13="Completed","D",IF($G13="In Progress","N","P")),""))</f>
        <v/>
      </c>
      <c r="AQ13" s="112">
        <f>IF(OR($D13="",$E13=""),"",IF(AND(AQ$4&lt;=$E13,AQ$4+6&gt;=$D13),IF($G13="Completed","D",IF($G13="In Progress","N","P")),""))</f>
        <v/>
      </c>
      <c r="AR13" s="112">
        <f>IF(OR($D13="",$E13=""),"",IF(AND(AR$4&lt;=$E13,AR$4+6&gt;=$D13),IF($G13="Completed","D",IF($G13="In Progress","N","P")),""))</f>
        <v/>
      </c>
      <c r="AS13" s="112">
        <f>IF(OR($D13="",$E13=""),"",IF(AND(AS$4&lt;=$E13,AS$4+6&gt;=$D13),IF($G13="Completed","D",IF($G13="In Progress","N","P")),""))</f>
        <v/>
      </c>
      <c r="AT13" s="112">
        <f>IF(OR($D13="",$E13=""),"",IF(AND(AT$4&lt;=$E13,AT$4+6&gt;=$D13),IF($G13="Completed","D",IF($G13="In Progress","N","P")),""))</f>
        <v/>
      </c>
      <c r="AU13" s="112">
        <f>IF(OR($D13="",$E13=""),"",IF(AND(AU$4&lt;=$E13,AU$4+6&gt;=$D13),IF($G13="Completed","D",IF($G13="In Progress","N","P")),""))</f>
        <v/>
      </c>
      <c r="AV13" s="112">
        <f>IF(OR($D13="",$E13=""),"",IF(AND(AV$4&lt;=$E13,AV$4+6&gt;=$D13),IF($G13="Completed","D",IF($G13="In Progress","N","P")),""))</f>
        <v/>
      </c>
      <c r="AW13" s="112">
        <f>IF(OR($D13="",$E13=""),"",IF(AND(AW$4&lt;=$E13,AW$4+6&gt;=$D13),IF($G13="Completed","D",IF($G13="In Progress","N","P")),""))</f>
        <v/>
      </c>
      <c r="AX13" s="112">
        <f>IF(OR($D13="",$E13=""),"",IF(AND(AX$4&lt;=$E13,AX$4+6&gt;=$D13),IF($G13="Completed","D",IF($G13="In Progress","N","P")),""))</f>
        <v/>
      </c>
    </row>
    <row r="14" ht="18" customHeight="1">
      <c r="A14" s="75" t="inlineStr">
        <is>
          <t>PH-10</t>
        </is>
      </c>
      <c r="B14" s="75" t="inlineStr">
        <is>
          <t>PRJ-001</t>
        </is>
      </c>
      <c r="C14" s="75" t="inlineStr">
        <is>
          <t>Counters / appliances</t>
        </is>
      </c>
      <c r="D14" s="78" t="n">
        <v>46275</v>
      </c>
      <c r="E14" s="77" t="n">
        <v>46283</v>
      </c>
      <c r="F14" s="111">
        <f>IF($A14="","",$E14-$D14+1)</f>
        <v/>
      </c>
      <c r="G14" s="76" t="inlineStr">
        <is>
          <t>Scheduled</t>
        </is>
      </c>
      <c r="H14" s="75" t="inlineStr">
        <is>
          <t>PH-09</t>
        </is>
      </c>
      <c r="I14" s="108">
        <f>IF($A14="","",MAX(0,MIN(1,(AsOfDate-$D14+1)/MAX(1,$E14-$D14+1))))</f>
        <v/>
      </c>
      <c r="J14" s="82" t="n"/>
      <c r="K14" s="112">
        <f>IF(OR($D14="",$E14=""),"",IF(AND(K$4&lt;=$E14,K$4+6&gt;=$D14),IF($G14="Completed","D",IF($G14="In Progress","N","P")),""))</f>
        <v/>
      </c>
      <c r="L14" s="112">
        <f>IF(OR($D14="",$E14=""),"",IF(AND(L$4&lt;=$E14,L$4+6&gt;=$D14),IF($G14="Completed","D",IF($G14="In Progress","N","P")),""))</f>
        <v/>
      </c>
      <c r="M14" s="112">
        <f>IF(OR($D14="",$E14=""),"",IF(AND(M$4&lt;=$E14,M$4+6&gt;=$D14),IF($G14="Completed","D",IF($G14="In Progress","N","P")),""))</f>
        <v/>
      </c>
      <c r="N14" s="112">
        <f>IF(OR($D14="",$E14=""),"",IF(AND(N$4&lt;=$E14,N$4+6&gt;=$D14),IF($G14="Completed","D",IF($G14="In Progress","N","P")),""))</f>
        <v/>
      </c>
      <c r="O14" s="112">
        <f>IF(OR($D14="",$E14=""),"",IF(AND(O$4&lt;=$E14,O$4+6&gt;=$D14),IF($G14="Completed","D",IF($G14="In Progress","N","P")),""))</f>
        <v/>
      </c>
      <c r="P14" s="112">
        <f>IF(OR($D14="",$E14=""),"",IF(AND(P$4&lt;=$E14,P$4+6&gt;=$D14),IF($G14="Completed","D",IF($G14="In Progress","N","P")),""))</f>
        <v/>
      </c>
      <c r="Q14" s="112">
        <f>IF(OR($D14="",$E14=""),"",IF(AND(Q$4&lt;=$E14,Q$4+6&gt;=$D14),IF($G14="Completed","D",IF($G14="In Progress","N","P")),""))</f>
        <v/>
      </c>
      <c r="R14" s="112">
        <f>IF(OR($D14="",$E14=""),"",IF(AND(R$4&lt;=$E14,R$4+6&gt;=$D14),IF($G14="Completed","D",IF($G14="In Progress","N","P")),""))</f>
        <v/>
      </c>
      <c r="S14" s="112">
        <f>IF(OR($D14="",$E14=""),"",IF(AND(S$4&lt;=$E14,S$4+6&gt;=$D14),IF($G14="Completed","D",IF($G14="In Progress","N","P")),""))</f>
        <v/>
      </c>
      <c r="T14" s="112">
        <f>IF(OR($D14="",$E14=""),"",IF(AND(T$4&lt;=$E14,T$4+6&gt;=$D14),IF($G14="Completed","D",IF($G14="In Progress","N","P")),""))</f>
        <v/>
      </c>
      <c r="U14" s="112">
        <f>IF(OR($D14="",$E14=""),"",IF(AND(U$4&lt;=$E14,U$4+6&gt;=$D14),IF($G14="Completed","D",IF($G14="In Progress","N","P")),""))</f>
        <v/>
      </c>
      <c r="V14" s="112">
        <f>IF(OR($D14="",$E14=""),"",IF(AND(V$4&lt;=$E14,V$4+6&gt;=$D14),IF($G14="Completed","D",IF($G14="In Progress","N","P")),""))</f>
        <v/>
      </c>
      <c r="W14" s="112">
        <f>IF(OR($D14="",$E14=""),"",IF(AND(W$4&lt;=$E14,W$4+6&gt;=$D14),IF($G14="Completed","D",IF($G14="In Progress","N","P")),""))</f>
        <v/>
      </c>
      <c r="X14" s="112">
        <f>IF(OR($D14="",$E14=""),"",IF(AND(X$4&lt;=$E14,X$4+6&gt;=$D14),IF($G14="Completed","D",IF($G14="In Progress","N","P")),""))</f>
        <v/>
      </c>
      <c r="Y14" s="112">
        <f>IF(OR($D14="",$E14=""),"",IF(AND(Y$4&lt;=$E14,Y$4+6&gt;=$D14),IF($G14="Completed","D",IF($G14="In Progress","N","P")),""))</f>
        <v/>
      </c>
      <c r="Z14" s="112">
        <f>IF(OR($D14="",$E14=""),"",IF(AND(Z$4&lt;=$E14,Z$4+6&gt;=$D14),IF($G14="Completed","D",IF($G14="In Progress","N","P")),""))</f>
        <v/>
      </c>
      <c r="AA14" s="112">
        <f>IF(OR($D14="",$E14=""),"",IF(AND(AA$4&lt;=$E14,AA$4+6&gt;=$D14),IF($G14="Completed","D",IF($G14="In Progress","N","P")),""))</f>
        <v/>
      </c>
      <c r="AB14" s="112">
        <f>IF(OR($D14="",$E14=""),"",IF(AND(AB$4&lt;=$E14,AB$4+6&gt;=$D14),IF($G14="Completed","D",IF($G14="In Progress","N","P")),""))</f>
        <v/>
      </c>
      <c r="AC14" s="112">
        <f>IF(OR($D14="",$E14=""),"",IF(AND(AC$4&lt;=$E14,AC$4+6&gt;=$D14),IF($G14="Completed","D",IF($G14="In Progress","N","P")),""))</f>
        <v/>
      </c>
      <c r="AD14" s="112">
        <f>IF(OR($D14="",$E14=""),"",IF(AND(AD$4&lt;=$E14,AD$4+6&gt;=$D14),IF($G14="Completed","D",IF($G14="In Progress","N","P")),""))</f>
        <v/>
      </c>
      <c r="AE14" s="112">
        <f>IF(OR($D14="",$E14=""),"",IF(AND(AE$4&lt;=$E14,AE$4+6&gt;=$D14),IF($G14="Completed","D",IF($G14="In Progress","N","P")),""))</f>
        <v/>
      </c>
      <c r="AF14" s="112">
        <f>IF(OR($D14="",$E14=""),"",IF(AND(AF$4&lt;=$E14,AF$4+6&gt;=$D14),IF($G14="Completed","D",IF($G14="In Progress","N","P")),""))</f>
        <v/>
      </c>
      <c r="AG14" s="112">
        <f>IF(OR($D14="",$E14=""),"",IF(AND(AG$4&lt;=$E14,AG$4+6&gt;=$D14),IF($G14="Completed","D",IF($G14="In Progress","N","P")),""))</f>
        <v/>
      </c>
      <c r="AH14" s="112">
        <f>IF(OR($D14="",$E14=""),"",IF(AND(AH$4&lt;=$E14,AH$4+6&gt;=$D14),IF($G14="Completed","D",IF($G14="In Progress","N","P")),""))</f>
        <v/>
      </c>
      <c r="AI14" s="112">
        <f>IF(OR($D14="",$E14=""),"",IF(AND(AI$4&lt;=$E14,AI$4+6&gt;=$D14),IF($G14="Completed","D",IF($G14="In Progress","N","P")),""))</f>
        <v/>
      </c>
      <c r="AJ14" s="112">
        <f>IF(OR($D14="",$E14=""),"",IF(AND(AJ$4&lt;=$E14,AJ$4+6&gt;=$D14),IF($G14="Completed","D",IF($G14="In Progress","N","P")),""))</f>
        <v/>
      </c>
      <c r="AK14" s="112">
        <f>IF(OR($D14="",$E14=""),"",IF(AND(AK$4&lt;=$E14,AK$4+6&gt;=$D14),IF($G14="Completed","D",IF($G14="In Progress","N","P")),""))</f>
        <v/>
      </c>
      <c r="AL14" s="112">
        <f>IF(OR($D14="",$E14=""),"",IF(AND(AL$4&lt;=$E14,AL$4+6&gt;=$D14),IF($G14="Completed","D",IF($G14="In Progress","N","P")),""))</f>
        <v/>
      </c>
      <c r="AM14" s="112">
        <f>IF(OR($D14="",$E14=""),"",IF(AND(AM$4&lt;=$E14,AM$4+6&gt;=$D14),IF($G14="Completed","D",IF($G14="In Progress","N","P")),""))</f>
        <v/>
      </c>
      <c r="AN14" s="112">
        <f>IF(OR($D14="",$E14=""),"",IF(AND(AN$4&lt;=$E14,AN$4+6&gt;=$D14),IF($G14="Completed","D",IF($G14="In Progress","N","P")),""))</f>
        <v/>
      </c>
      <c r="AO14" s="112">
        <f>IF(OR($D14="",$E14=""),"",IF(AND(AO$4&lt;=$E14,AO$4+6&gt;=$D14),IF($G14="Completed","D",IF($G14="In Progress","N","P")),""))</f>
        <v/>
      </c>
      <c r="AP14" s="112">
        <f>IF(OR($D14="",$E14=""),"",IF(AND(AP$4&lt;=$E14,AP$4+6&gt;=$D14),IF($G14="Completed","D",IF($G14="In Progress","N","P")),""))</f>
        <v/>
      </c>
      <c r="AQ14" s="112">
        <f>IF(OR($D14="",$E14=""),"",IF(AND(AQ$4&lt;=$E14,AQ$4+6&gt;=$D14),IF($G14="Completed","D",IF($G14="In Progress","N","P")),""))</f>
        <v/>
      </c>
      <c r="AR14" s="112">
        <f>IF(OR($D14="",$E14=""),"",IF(AND(AR$4&lt;=$E14,AR$4+6&gt;=$D14),IF($G14="Completed","D",IF($G14="In Progress","N","P")),""))</f>
        <v/>
      </c>
      <c r="AS14" s="112">
        <f>IF(OR($D14="",$E14=""),"",IF(AND(AS$4&lt;=$E14,AS$4+6&gt;=$D14),IF($G14="Completed","D",IF($G14="In Progress","N","P")),""))</f>
        <v/>
      </c>
      <c r="AT14" s="112">
        <f>IF(OR($D14="",$E14=""),"",IF(AND(AT$4&lt;=$E14,AT$4+6&gt;=$D14),IF($G14="Completed","D",IF($G14="In Progress","N","P")),""))</f>
        <v/>
      </c>
      <c r="AU14" s="112">
        <f>IF(OR($D14="",$E14=""),"",IF(AND(AU$4&lt;=$E14,AU$4+6&gt;=$D14),IF($G14="Completed","D",IF($G14="In Progress","N","P")),""))</f>
        <v/>
      </c>
      <c r="AV14" s="112">
        <f>IF(OR($D14="",$E14=""),"",IF(AND(AV$4&lt;=$E14,AV$4+6&gt;=$D14),IF($G14="Completed","D",IF($G14="In Progress","N","P")),""))</f>
        <v/>
      </c>
      <c r="AW14" s="112">
        <f>IF(OR($D14="",$E14=""),"",IF(AND(AW$4&lt;=$E14,AW$4+6&gt;=$D14),IF($G14="Completed","D",IF($G14="In Progress","N","P")),""))</f>
        <v/>
      </c>
      <c r="AX14" s="112">
        <f>IF(OR($D14="",$E14=""),"",IF(AND(AX$4&lt;=$E14,AX$4+6&gt;=$D14),IF($G14="Completed","D",IF($G14="In Progress","N","P")),""))</f>
        <v/>
      </c>
    </row>
    <row r="15" ht="18" customHeight="1">
      <c r="A15" s="67" t="inlineStr">
        <is>
          <t>PH-11</t>
        </is>
      </c>
      <c r="B15" s="67" t="inlineStr">
        <is>
          <t>PRJ-001</t>
        </is>
      </c>
      <c r="C15" s="67" t="inlineStr">
        <is>
          <t>Painting</t>
        </is>
      </c>
      <c r="D15" s="70" t="n">
        <v>46275</v>
      </c>
      <c r="E15" s="69" t="n">
        <v>46293</v>
      </c>
      <c r="F15" s="111">
        <f>IF($A15="","",$E15-$D15+1)</f>
        <v/>
      </c>
      <c r="G15" s="68" t="inlineStr">
        <is>
          <t>Scheduled</t>
        </is>
      </c>
      <c r="H15" s="67" t="inlineStr">
        <is>
          <t>PH-07</t>
        </is>
      </c>
      <c r="I15" s="108">
        <f>IF($A15="","",MAX(0,MIN(1,(AsOfDate-$D15+1)/MAX(1,$E15-$D15+1))))</f>
        <v/>
      </c>
      <c r="J15" s="82" t="n"/>
      <c r="K15" s="112">
        <f>IF(OR($D15="",$E15=""),"",IF(AND(K$4&lt;=$E15,K$4+6&gt;=$D15),IF($G15="Completed","D",IF($G15="In Progress","N","P")),""))</f>
        <v/>
      </c>
      <c r="L15" s="112">
        <f>IF(OR($D15="",$E15=""),"",IF(AND(L$4&lt;=$E15,L$4+6&gt;=$D15),IF($G15="Completed","D",IF($G15="In Progress","N","P")),""))</f>
        <v/>
      </c>
      <c r="M15" s="112">
        <f>IF(OR($D15="",$E15=""),"",IF(AND(M$4&lt;=$E15,M$4+6&gt;=$D15),IF($G15="Completed","D",IF($G15="In Progress","N","P")),""))</f>
        <v/>
      </c>
      <c r="N15" s="112">
        <f>IF(OR($D15="",$E15=""),"",IF(AND(N$4&lt;=$E15,N$4+6&gt;=$D15),IF($G15="Completed","D",IF($G15="In Progress","N","P")),""))</f>
        <v/>
      </c>
      <c r="O15" s="112">
        <f>IF(OR($D15="",$E15=""),"",IF(AND(O$4&lt;=$E15,O$4+6&gt;=$D15),IF($G15="Completed","D",IF($G15="In Progress","N","P")),""))</f>
        <v/>
      </c>
      <c r="P15" s="112">
        <f>IF(OR($D15="",$E15=""),"",IF(AND(P$4&lt;=$E15,P$4+6&gt;=$D15),IF($G15="Completed","D",IF($G15="In Progress","N","P")),""))</f>
        <v/>
      </c>
      <c r="Q15" s="112">
        <f>IF(OR($D15="",$E15=""),"",IF(AND(Q$4&lt;=$E15,Q$4+6&gt;=$D15),IF($G15="Completed","D",IF($G15="In Progress","N","P")),""))</f>
        <v/>
      </c>
      <c r="R15" s="112">
        <f>IF(OR($D15="",$E15=""),"",IF(AND(R$4&lt;=$E15,R$4+6&gt;=$D15),IF($G15="Completed","D",IF($G15="In Progress","N","P")),""))</f>
        <v/>
      </c>
      <c r="S15" s="112">
        <f>IF(OR($D15="",$E15=""),"",IF(AND(S$4&lt;=$E15,S$4+6&gt;=$D15),IF($G15="Completed","D",IF($G15="In Progress","N","P")),""))</f>
        <v/>
      </c>
      <c r="T15" s="112">
        <f>IF(OR($D15="",$E15=""),"",IF(AND(T$4&lt;=$E15,T$4+6&gt;=$D15),IF($G15="Completed","D",IF($G15="In Progress","N","P")),""))</f>
        <v/>
      </c>
      <c r="U15" s="112">
        <f>IF(OR($D15="",$E15=""),"",IF(AND(U$4&lt;=$E15,U$4+6&gt;=$D15),IF($G15="Completed","D",IF($G15="In Progress","N","P")),""))</f>
        <v/>
      </c>
      <c r="V15" s="112">
        <f>IF(OR($D15="",$E15=""),"",IF(AND(V$4&lt;=$E15,V$4+6&gt;=$D15),IF($G15="Completed","D",IF($G15="In Progress","N","P")),""))</f>
        <v/>
      </c>
      <c r="W15" s="112">
        <f>IF(OR($D15="",$E15=""),"",IF(AND(W$4&lt;=$E15,W$4+6&gt;=$D15),IF($G15="Completed","D",IF($G15="In Progress","N","P")),""))</f>
        <v/>
      </c>
      <c r="X15" s="112">
        <f>IF(OR($D15="",$E15=""),"",IF(AND(X$4&lt;=$E15,X$4+6&gt;=$D15),IF($G15="Completed","D",IF($G15="In Progress","N","P")),""))</f>
        <v/>
      </c>
      <c r="Y15" s="112">
        <f>IF(OR($D15="",$E15=""),"",IF(AND(Y$4&lt;=$E15,Y$4+6&gt;=$D15),IF($G15="Completed","D",IF($G15="In Progress","N","P")),""))</f>
        <v/>
      </c>
      <c r="Z15" s="112">
        <f>IF(OR($D15="",$E15=""),"",IF(AND(Z$4&lt;=$E15,Z$4+6&gt;=$D15),IF($G15="Completed","D",IF($G15="In Progress","N","P")),""))</f>
        <v/>
      </c>
      <c r="AA15" s="112">
        <f>IF(OR($D15="",$E15=""),"",IF(AND(AA$4&lt;=$E15,AA$4+6&gt;=$D15),IF($G15="Completed","D",IF($G15="In Progress","N","P")),""))</f>
        <v/>
      </c>
      <c r="AB15" s="112">
        <f>IF(OR($D15="",$E15=""),"",IF(AND(AB$4&lt;=$E15,AB$4+6&gt;=$D15),IF($G15="Completed","D",IF($G15="In Progress","N","P")),""))</f>
        <v/>
      </c>
      <c r="AC15" s="112">
        <f>IF(OR($D15="",$E15=""),"",IF(AND(AC$4&lt;=$E15,AC$4+6&gt;=$D15),IF($G15="Completed","D",IF($G15="In Progress","N","P")),""))</f>
        <v/>
      </c>
      <c r="AD15" s="112">
        <f>IF(OR($D15="",$E15=""),"",IF(AND(AD$4&lt;=$E15,AD$4+6&gt;=$D15),IF($G15="Completed","D",IF($G15="In Progress","N","P")),""))</f>
        <v/>
      </c>
      <c r="AE15" s="112">
        <f>IF(OR($D15="",$E15=""),"",IF(AND(AE$4&lt;=$E15,AE$4+6&gt;=$D15),IF($G15="Completed","D",IF($G15="In Progress","N","P")),""))</f>
        <v/>
      </c>
      <c r="AF15" s="112">
        <f>IF(OR($D15="",$E15=""),"",IF(AND(AF$4&lt;=$E15,AF$4+6&gt;=$D15),IF($G15="Completed","D",IF($G15="In Progress","N","P")),""))</f>
        <v/>
      </c>
      <c r="AG15" s="112">
        <f>IF(OR($D15="",$E15=""),"",IF(AND(AG$4&lt;=$E15,AG$4+6&gt;=$D15),IF($G15="Completed","D",IF($G15="In Progress","N","P")),""))</f>
        <v/>
      </c>
      <c r="AH15" s="112">
        <f>IF(OR($D15="",$E15=""),"",IF(AND(AH$4&lt;=$E15,AH$4+6&gt;=$D15),IF($G15="Completed","D",IF($G15="In Progress","N","P")),""))</f>
        <v/>
      </c>
      <c r="AI15" s="112">
        <f>IF(OR($D15="",$E15=""),"",IF(AND(AI$4&lt;=$E15,AI$4+6&gt;=$D15),IF($G15="Completed","D",IF($G15="In Progress","N","P")),""))</f>
        <v/>
      </c>
      <c r="AJ15" s="112">
        <f>IF(OR($D15="",$E15=""),"",IF(AND(AJ$4&lt;=$E15,AJ$4+6&gt;=$D15),IF($G15="Completed","D",IF($G15="In Progress","N","P")),""))</f>
        <v/>
      </c>
      <c r="AK15" s="112">
        <f>IF(OR($D15="",$E15=""),"",IF(AND(AK$4&lt;=$E15,AK$4+6&gt;=$D15),IF($G15="Completed","D",IF($G15="In Progress","N","P")),""))</f>
        <v/>
      </c>
      <c r="AL15" s="112">
        <f>IF(OR($D15="",$E15=""),"",IF(AND(AL$4&lt;=$E15,AL$4+6&gt;=$D15),IF($G15="Completed","D",IF($G15="In Progress","N","P")),""))</f>
        <v/>
      </c>
      <c r="AM15" s="112">
        <f>IF(OR($D15="",$E15=""),"",IF(AND(AM$4&lt;=$E15,AM$4+6&gt;=$D15),IF($G15="Completed","D",IF($G15="In Progress","N","P")),""))</f>
        <v/>
      </c>
      <c r="AN15" s="112">
        <f>IF(OR($D15="",$E15=""),"",IF(AND(AN$4&lt;=$E15,AN$4+6&gt;=$D15),IF($G15="Completed","D",IF($G15="In Progress","N","P")),""))</f>
        <v/>
      </c>
      <c r="AO15" s="112">
        <f>IF(OR($D15="",$E15=""),"",IF(AND(AO$4&lt;=$E15,AO$4+6&gt;=$D15),IF($G15="Completed","D",IF($G15="In Progress","N","P")),""))</f>
        <v/>
      </c>
      <c r="AP15" s="112">
        <f>IF(OR($D15="",$E15=""),"",IF(AND(AP$4&lt;=$E15,AP$4+6&gt;=$D15),IF($G15="Completed","D",IF($G15="In Progress","N","P")),""))</f>
        <v/>
      </c>
      <c r="AQ15" s="112">
        <f>IF(OR($D15="",$E15=""),"",IF(AND(AQ$4&lt;=$E15,AQ$4+6&gt;=$D15),IF($G15="Completed","D",IF($G15="In Progress","N","P")),""))</f>
        <v/>
      </c>
      <c r="AR15" s="112">
        <f>IF(OR($D15="",$E15=""),"",IF(AND(AR$4&lt;=$E15,AR$4+6&gt;=$D15),IF($G15="Completed","D",IF($G15="In Progress","N","P")),""))</f>
        <v/>
      </c>
      <c r="AS15" s="112">
        <f>IF(OR($D15="",$E15=""),"",IF(AND(AS$4&lt;=$E15,AS$4+6&gt;=$D15),IF($G15="Completed","D",IF($G15="In Progress","N","P")),""))</f>
        <v/>
      </c>
      <c r="AT15" s="112">
        <f>IF(OR($D15="",$E15=""),"",IF(AND(AT$4&lt;=$E15,AT$4+6&gt;=$D15),IF($G15="Completed","D",IF($G15="In Progress","N","P")),""))</f>
        <v/>
      </c>
      <c r="AU15" s="112">
        <f>IF(OR($D15="",$E15=""),"",IF(AND(AU$4&lt;=$E15,AU$4+6&gt;=$D15),IF($G15="Completed","D",IF($G15="In Progress","N","P")),""))</f>
        <v/>
      </c>
      <c r="AV15" s="112">
        <f>IF(OR($D15="",$E15=""),"",IF(AND(AV$4&lt;=$E15,AV$4+6&gt;=$D15),IF($G15="Completed","D",IF($G15="In Progress","N","P")),""))</f>
        <v/>
      </c>
      <c r="AW15" s="112">
        <f>IF(OR($D15="",$E15=""),"",IF(AND(AW$4&lt;=$E15,AW$4+6&gt;=$D15),IF($G15="Completed","D",IF($G15="In Progress","N","P")),""))</f>
        <v/>
      </c>
      <c r="AX15" s="112">
        <f>IF(OR($D15="",$E15=""),"",IF(AND(AX$4&lt;=$E15,AX$4+6&gt;=$D15),IF($G15="Completed","D",IF($G15="In Progress","N","P")),""))</f>
        <v/>
      </c>
    </row>
    <row r="16" ht="18" customHeight="1">
      <c r="A16" s="75" t="inlineStr">
        <is>
          <t>PH-12</t>
        </is>
      </c>
      <c r="B16" s="75" t="inlineStr">
        <is>
          <t>PRJ-001</t>
        </is>
      </c>
      <c r="C16" s="75" t="inlineStr">
        <is>
          <t>Furniture</t>
        </is>
      </c>
      <c r="D16" s="78" t="n">
        <v>46290</v>
      </c>
      <c r="E16" s="77" t="n">
        <v>46315</v>
      </c>
      <c r="F16" s="111">
        <f>IF($A16="","",$E16-$D16+1)</f>
        <v/>
      </c>
      <c r="G16" s="76" t="inlineStr">
        <is>
          <t>To Do</t>
        </is>
      </c>
      <c r="H16" s="75" t="inlineStr">
        <is>
          <t>PH-11</t>
        </is>
      </c>
      <c r="I16" s="108">
        <f>IF($A16="","",MAX(0,MIN(1,(AsOfDate-$D16+1)/MAX(1,$E16-$D16+1))))</f>
        <v/>
      </c>
      <c r="J16" s="82" t="n"/>
      <c r="K16" s="112">
        <f>IF(OR($D16="",$E16=""),"",IF(AND(K$4&lt;=$E16,K$4+6&gt;=$D16),IF($G16="Completed","D",IF($G16="In Progress","N","P")),""))</f>
        <v/>
      </c>
      <c r="L16" s="112">
        <f>IF(OR($D16="",$E16=""),"",IF(AND(L$4&lt;=$E16,L$4+6&gt;=$D16),IF($G16="Completed","D",IF($G16="In Progress","N","P")),""))</f>
        <v/>
      </c>
      <c r="M16" s="112">
        <f>IF(OR($D16="",$E16=""),"",IF(AND(M$4&lt;=$E16,M$4+6&gt;=$D16),IF($G16="Completed","D",IF($G16="In Progress","N","P")),""))</f>
        <v/>
      </c>
      <c r="N16" s="112">
        <f>IF(OR($D16="",$E16=""),"",IF(AND(N$4&lt;=$E16,N$4+6&gt;=$D16),IF($G16="Completed","D",IF($G16="In Progress","N","P")),""))</f>
        <v/>
      </c>
      <c r="O16" s="112">
        <f>IF(OR($D16="",$E16=""),"",IF(AND(O$4&lt;=$E16,O$4+6&gt;=$D16),IF($G16="Completed","D",IF($G16="In Progress","N","P")),""))</f>
        <v/>
      </c>
      <c r="P16" s="112">
        <f>IF(OR($D16="",$E16=""),"",IF(AND(P$4&lt;=$E16,P$4+6&gt;=$D16),IF($G16="Completed","D",IF($G16="In Progress","N","P")),""))</f>
        <v/>
      </c>
      <c r="Q16" s="112">
        <f>IF(OR($D16="",$E16=""),"",IF(AND(Q$4&lt;=$E16,Q$4+6&gt;=$D16),IF($G16="Completed","D",IF($G16="In Progress","N","P")),""))</f>
        <v/>
      </c>
      <c r="R16" s="112">
        <f>IF(OR($D16="",$E16=""),"",IF(AND(R$4&lt;=$E16,R$4+6&gt;=$D16),IF($G16="Completed","D",IF($G16="In Progress","N","P")),""))</f>
        <v/>
      </c>
      <c r="S16" s="112">
        <f>IF(OR($D16="",$E16=""),"",IF(AND(S$4&lt;=$E16,S$4+6&gt;=$D16),IF($G16="Completed","D",IF($G16="In Progress","N","P")),""))</f>
        <v/>
      </c>
      <c r="T16" s="112">
        <f>IF(OR($D16="",$E16=""),"",IF(AND(T$4&lt;=$E16,T$4+6&gt;=$D16),IF($G16="Completed","D",IF($G16="In Progress","N","P")),""))</f>
        <v/>
      </c>
      <c r="U16" s="112">
        <f>IF(OR($D16="",$E16=""),"",IF(AND(U$4&lt;=$E16,U$4+6&gt;=$D16),IF($G16="Completed","D",IF($G16="In Progress","N","P")),""))</f>
        <v/>
      </c>
      <c r="V16" s="112">
        <f>IF(OR($D16="",$E16=""),"",IF(AND(V$4&lt;=$E16,V$4+6&gt;=$D16),IF($G16="Completed","D",IF($G16="In Progress","N","P")),""))</f>
        <v/>
      </c>
      <c r="W16" s="112">
        <f>IF(OR($D16="",$E16=""),"",IF(AND(W$4&lt;=$E16,W$4+6&gt;=$D16),IF($G16="Completed","D",IF($G16="In Progress","N","P")),""))</f>
        <v/>
      </c>
      <c r="X16" s="112">
        <f>IF(OR($D16="",$E16=""),"",IF(AND(X$4&lt;=$E16,X$4+6&gt;=$D16),IF($G16="Completed","D",IF($G16="In Progress","N","P")),""))</f>
        <v/>
      </c>
      <c r="Y16" s="112">
        <f>IF(OR($D16="",$E16=""),"",IF(AND(Y$4&lt;=$E16,Y$4+6&gt;=$D16),IF($G16="Completed","D",IF($G16="In Progress","N","P")),""))</f>
        <v/>
      </c>
      <c r="Z16" s="112">
        <f>IF(OR($D16="",$E16=""),"",IF(AND(Z$4&lt;=$E16,Z$4+6&gt;=$D16),IF($G16="Completed","D",IF($G16="In Progress","N","P")),""))</f>
        <v/>
      </c>
      <c r="AA16" s="112">
        <f>IF(OR($D16="",$E16=""),"",IF(AND(AA$4&lt;=$E16,AA$4+6&gt;=$D16),IF($G16="Completed","D",IF($G16="In Progress","N","P")),""))</f>
        <v/>
      </c>
      <c r="AB16" s="112">
        <f>IF(OR($D16="",$E16=""),"",IF(AND(AB$4&lt;=$E16,AB$4+6&gt;=$D16),IF($G16="Completed","D",IF($G16="In Progress","N","P")),""))</f>
        <v/>
      </c>
      <c r="AC16" s="112">
        <f>IF(OR($D16="",$E16=""),"",IF(AND(AC$4&lt;=$E16,AC$4+6&gt;=$D16),IF($G16="Completed","D",IF($G16="In Progress","N","P")),""))</f>
        <v/>
      </c>
      <c r="AD16" s="112">
        <f>IF(OR($D16="",$E16=""),"",IF(AND(AD$4&lt;=$E16,AD$4+6&gt;=$D16),IF($G16="Completed","D",IF($G16="In Progress","N","P")),""))</f>
        <v/>
      </c>
      <c r="AE16" s="112">
        <f>IF(OR($D16="",$E16=""),"",IF(AND(AE$4&lt;=$E16,AE$4+6&gt;=$D16),IF($G16="Completed","D",IF($G16="In Progress","N","P")),""))</f>
        <v/>
      </c>
      <c r="AF16" s="112">
        <f>IF(OR($D16="",$E16=""),"",IF(AND(AF$4&lt;=$E16,AF$4+6&gt;=$D16),IF($G16="Completed","D",IF($G16="In Progress","N","P")),""))</f>
        <v/>
      </c>
      <c r="AG16" s="112">
        <f>IF(OR($D16="",$E16=""),"",IF(AND(AG$4&lt;=$E16,AG$4+6&gt;=$D16),IF($G16="Completed","D",IF($G16="In Progress","N","P")),""))</f>
        <v/>
      </c>
      <c r="AH16" s="112">
        <f>IF(OR($D16="",$E16=""),"",IF(AND(AH$4&lt;=$E16,AH$4+6&gt;=$D16),IF($G16="Completed","D",IF($G16="In Progress","N","P")),""))</f>
        <v/>
      </c>
      <c r="AI16" s="112">
        <f>IF(OR($D16="",$E16=""),"",IF(AND(AI$4&lt;=$E16,AI$4+6&gt;=$D16),IF($G16="Completed","D",IF($G16="In Progress","N","P")),""))</f>
        <v/>
      </c>
      <c r="AJ16" s="112">
        <f>IF(OR($D16="",$E16=""),"",IF(AND(AJ$4&lt;=$E16,AJ$4+6&gt;=$D16),IF($G16="Completed","D",IF($G16="In Progress","N","P")),""))</f>
        <v/>
      </c>
      <c r="AK16" s="112">
        <f>IF(OR($D16="",$E16=""),"",IF(AND(AK$4&lt;=$E16,AK$4+6&gt;=$D16),IF($G16="Completed","D",IF($G16="In Progress","N","P")),""))</f>
        <v/>
      </c>
      <c r="AL16" s="112">
        <f>IF(OR($D16="",$E16=""),"",IF(AND(AL$4&lt;=$E16,AL$4+6&gt;=$D16),IF($G16="Completed","D",IF($G16="In Progress","N","P")),""))</f>
        <v/>
      </c>
      <c r="AM16" s="112">
        <f>IF(OR($D16="",$E16=""),"",IF(AND(AM$4&lt;=$E16,AM$4+6&gt;=$D16),IF($G16="Completed","D",IF($G16="In Progress","N","P")),""))</f>
        <v/>
      </c>
      <c r="AN16" s="112">
        <f>IF(OR($D16="",$E16=""),"",IF(AND(AN$4&lt;=$E16,AN$4+6&gt;=$D16),IF($G16="Completed","D",IF($G16="In Progress","N","P")),""))</f>
        <v/>
      </c>
      <c r="AO16" s="112">
        <f>IF(OR($D16="",$E16=""),"",IF(AND(AO$4&lt;=$E16,AO$4+6&gt;=$D16),IF($G16="Completed","D",IF($G16="In Progress","N","P")),""))</f>
        <v/>
      </c>
      <c r="AP16" s="112">
        <f>IF(OR($D16="",$E16=""),"",IF(AND(AP$4&lt;=$E16,AP$4+6&gt;=$D16),IF($G16="Completed","D",IF($G16="In Progress","N","P")),""))</f>
        <v/>
      </c>
      <c r="AQ16" s="112">
        <f>IF(OR($D16="",$E16=""),"",IF(AND(AQ$4&lt;=$E16,AQ$4+6&gt;=$D16),IF($G16="Completed","D",IF($G16="In Progress","N","P")),""))</f>
        <v/>
      </c>
      <c r="AR16" s="112">
        <f>IF(OR($D16="",$E16=""),"",IF(AND(AR$4&lt;=$E16,AR$4+6&gt;=$D16),IF($G16="Completed","D",IF($G16="In Progress","N","P")),""))</f>
        <v/>
      </c>
      <c r="AS16" s="112">
        <f>IF(OR($D16="",$E16=""),"",IF(AND(AS$4&lt;=$E16,AS$4+6&gt;=$D16),IF($G16="Completed","D",IF($G16="In Progress","N","P")),""))</f>
        <v/>
      </c>
      <c r="AT16" s="112">
        <f>IF(OR($D16="",$E16=""),"",IF(AND(AT$4&lt;=$E16,AT$4+6&gt;=$D16),IF($G16="Completed","D",IF($G16="In Progress","N","P")),""))</f>
        <v/>
      </c>
      <c r="AU16" s="112">
        <f>IF(OR($D16="",$E16=""),"",IF(AND(AU$4&lt;=$E16,AU$4+6&gt;=$D16),IF($G16="Completed","D",IF($G16="In Progress","N","P")),""))</f>
        <v/>
      </c>
      <c r="AV16" s="112">
        <f>IF(OR($D16="",$E16=""),"",IF(AND(AV$4&lt;=$E16,AV$4+6&gt;=$D16),IF($G16="Completed","D",IF($G16="In Progress","N","P")),""))</f>
        <v/>
      </c>
      <c r="AW16" s="112">
        <f>IF(OR($D16="",$E16=""),"",IF(AND(AW$4&lt;=$E16,AW$4+6&gt;=$D16),IF($G16="Completed","D",IF($G16="In Progress","N","P")),""))</f>
        <v/>
      </c>
      <c r="AX16" s="112">
        <f>IF(OR($D16="",$E16=""),"",IF(AND(AX$4&lt;=$E16,AX$4+6&gt;=$D16),IF($G16="Completed","D",IF($G16="In Progress","N","P")),""))</f>
        <v/>
      </c>
    </row>
    <row r="17" ht="18" customHeight="1">
      <c r="A17" s="67" t="inlineStr">
        <is>
          <t>PH-13</t>
        </is>
      </c>
      <c r="B17" s="67" t="inlineStr">
        <is>
          <t>PRJ-001</t>
        </is>
      </c>
      <c r="C17" s="67" t="inlineStr">
        <is>
          <t>Exterior / garden</t>
        </is>
      </c>
      <c r="D17" s="70" t="n">
        <v>46301</v>
      </c>
      <c r="E17" s="69" t="n">
        <v>46319</v>
      </c>
      <c r="F17" s="111">
        <f>IF($A17="","",$E17-$D17+1)</f>
        <v/>
      </c>
      <c r="G17" s="68" t="inlineStr">
        <is>
          <t>To Do</t>
        </is>
      </c>
      <c r="H17" s="67" t="inlineStr">
        <is>
          <t>PH-11</t>
        </is>
      </c>
      <c r="I17" s="108">
        <f>IF($A17="","",MAX(0,MIN(1,(AsOfDate-$D17+1)/MAX(1,$E17-$D17+1))))</f>
        <v/>
      </c>
      <c r="J17" s="82" t="n"/>
      <c r="K17" s="112">
        <f>IF(OR($D17="",$E17=""),"",IF(AND(K$4&lt;=$E17,K$4+6&gt;=$D17),IF($G17="Completed","D",IF($G17="In Progress","N","P")),""))</f>
        <v/>
      </c>
      <c r="L17" s="112">
        <f>IF(OR($D17="",$E17=""),"",IF(AND(L$4&lt;=$E17,L$4+6&gt;=$D17),IF($G17="Completed","D",IF($G17="In Progress","N","P")),""))</f>
        <v/>
      </c>
      <c r="M17" s="112">
        <f>IF(OR($D17="",$E17=""),"",IF(AND(M$4&lt;=$E17,M$4+6&gt;=$D17),IF($G17="Completed","D",IF($G17="In Progress","N","P")),""))</f>
        <v/>
      </c>
      <c r="N17" s="112">
        <f>IF(OR($D17="",$E17=""),"",IF(AND(N$4&lt;=$E17,N$4+6&gt;=$D17),IF($G17="Completed","D",IF($G17="In Progress","N","P")),""))</f>
        <v/>
      </c>
      <c r="O17" s="112">
        <f>IF(OR($D17="",$E17=""),"",IF(AND(O$4&lt;=$E17,O$4+6&gt;=$D17),IF($G17="Completed","D",IF($G17="In Progress","N","P")),""))</f>
        <v/>
      </c>
      <c r="P17" s="112">
        <f>IF(OR($D17="",$E17=""),"",IF(AND(P$4&lt;=$E17,P$4+6&gt;=$D17),IF($G17="Completed","D",IF($G17="In Progress","N","P")),""))</f>
        <v/>
      </c>
      <c r="Q17" s="112">
        <f>IF(OR($D17="",$E17=""),"",IF(AND(Q$4&lt;=$E17,Q$4+6&gt;=$D17),IF($G17="Completed","D",IF($G17="In Progress","N","P")),""))</f>
        <v/>
      </c>
      <c r="R17" s="112">
        <f>IF(OR($D17="",$E17=""),"",IF(AND(R$4&lt;=$E17,R$4+6&gt;=$D17),IF($G17="Completed","D",IF($G17="In Progress","N","P")),""))</f>
        <v/>
      </c>
      <c r="S17" s="112">
        <f>IF(OR($D17="",$E17=""),"",IF(AND(S$4&lt;=$E17,S$4+6&gt;=$D17),IF($G17="Completed","D",IF($G17="In Progress","N","P")),""))</f>
        <v/>
      </c>
      <c r="T17" s="112">
        <f>IF(OR($D17="",$E17=""),"",IF(AND(T$4&lt;=$E17,T$4+6&gt;=$D17),IF($G17="Completed","D",IF($G17="In Progress","N","P")),""))</f>
        <v/>
      </c>
      <c r="U17" s="112">
        <f>IF(OR($D17="",$E17=""),"",IF(AND(U$4&lt;=$E17,U$4+6&gt;=$D17),IF($G17="Completed","D",IF($G17="In Progress","N","P")),""))</f>
        <v/>
      </c>
      <c r="V17" s="112">
        <f>IF(OR($D17="",$E17=""),"",IF(AND(V$4&lt;=$E17,V$4+6&gt;=$D17),IF($G17="Completed","D",IF($G17="In Progress","N","P")),""))</f>
        <v/>
      </c>
      <c r="W17" s="112">
        <f>IF(OR($D17="",$E17=""),"",IF(AND(W$4&lt;=$E17,W$4+6&gt;=$D17),IF($G17="Completed","D",IF($G17="In Progress","N","P")),""))</f>
        <v/>
      </c>
      <c r="X17" s="112">
        <f>IF(OR($D17="",$E17=""),"",IF(AND(X$4&lt;=$E17,X$4+6&gt;=$D17),IF($G17="Completed","D",IF($G17="In Progress","N","P")),""))</f>
        <v/>
      </c>
      <c r="Y17" s="112">
        <f>IF(OR($D17="",$E17=""),"",IF(AND(Y$4&lt;=$E17,Y$4+6&gt;=$D17),IF($G17="Completed","D",IF($G17="In Progress","N","P")),""))</f>
        <v/>
      </c>
      <c r="Z17" s="112">
        <f>IF(OR($D17="",$E17=""),"",IF(AND(Z$4&lt;=$E17,Z$4+6&gt;=$D17),IF($G17="Completed","D",IF($G17="In Progress","N","P")),""))</f>
        <v/>
      </c>
      <c r="AA17" s="112">
        <f>IF(OR($D17="",$E17=""),"",IF(AND(AA$4&lt;=$E17,AA$4+6&gt;=$D17),IF($G17="Completed","D",IF($G17="In Progress","N","P")),""))</f>
        <v/>
      </c>
      <c r="AB17" s="112">
        <f>IF(OR($D17="",$E17=""),"",IF(AND(AB$4&lt;=$E17,AB$4+6&gt;=$D17),IF($G17="Completed","D",IF($G17="In Progress","N","P")),""))</f>
        <v/>
      </c>
      <c r="AC17" s="112">
        <f>IF(OR($D17="",$E17=""),"",IF(AND(AC$4&lt;=$E17,AC$4+6&gt;=$D17),IF($G17="Completed","D",IF($G17="In Progress","N","P")),""))</f>
        <v/>
      </c>
      <c r="AD17" s="112">
        <f>IF(OR($D17="",$E17=""),"",IF(AND(AD$4&lt;=$E17,AD$4+6&gt;=$D17),IF($G17="Completed","D",IF($G17="In Progress","N","P")),""))</f>
        <v/>
      </c>
      <c r="AE17" s="112">
        <f>IF(OR($D17="",$E17=""),"",IF(AND(AE$4&lt;=$E17,AE$4+6&gt;=$D17),IF($G17="Completed","D",IF($G17="In Progress","N","P")),""))</f>
        <v/>
      </c>
      <c r="AF17" s="112">
        <f>IF(OR($D17="",$E17=""),"",IF(AND(AF$4&lt;=$E17,AF$4+6&gt;=$D17),IF($G17="Completed","D",IF($G17="In Progress","N","P")),""))</f>
        <v/>
      </c>
      <c r="AG17" s="112">
        <f>IF(OR($D17="",$E17=""),"",IF(AND(AG$4&lt;=$E17,AG$4+6&gt;=$D17),IF($G17="Completed","D",IF($G17="In Progress","N","P")),""))</f>
        <v/>
      </c>
      <c r="AH17" s="112">
        <f>IF(OR($D17="",$E17=""),"",IF(AND(AH$4&lt;=$E17,AH$4+6&gt;=$D17),IF($G17="Completed","D",IF($G17="In Progress","N","P")),""))</f>
        <v/>
      </c>
      <c r="AI17" s="112">
        <f>IF(OR($D17="",$E17=""),"",IF(AND(AI$4&lt;=$E17,AI$4+6&gt;=$D17),IF($G17="Completed","D",IF($G17="In Progress","N","P")),""))</f>
        <v/>
      </c>
      <c r="AJ17" s="112">
        <f>IF(OR($D17="",$E17=""),"",IF(AND(AJ$4&lt;=$E17,AJ$4+6&gt;=$D17),IF($G17="Completed","D",IF($G17="In Progress","N","P")),""))</f>
        <v/>
      </c>
      <c r="AK17" s="112">
        <f>IF(OR($D17="",$E17=""),"",IF(AND(AK$4&lt;=$E17,AK$4+6&gt;=$D17),IF($G17="Completed","D",IF($G17="In Progress","N","P")),""))</f>
        <v/>
      </c>
      <c r="AL17" s="112">
        <f>IF(OR($D17="",$E17=""),"",IF(AND(AL$4&lt;=$E17,AL$4+6&gt;=$D17),IF($G17="Completed","D",IF($G17="In Progress","N","P")),""))</f>
        <v/>
      </c>
      <c r="AM17" s="112">
        <f>IF(OR($D17="",$E17=""),"",IF(AND(AM$4&lt;=$E17,AM$4+6&gt;=$D17),IF($G17="Completed","D",IF($G17="In Progress","N","P")),""))</f>
        <v/>
      </c>
      <c r="AN17" s="112">
        <f>IF(OR($D17="",$E17=""),"",IF(AND(AN$4&lt;=$E17,AN$4+6&gt;=$D17),IF($G17="Completed","D",IF($G17="In Progress","N","P")),""))</f>
        <v/>
      </c>
      <c r="AO17" s="112">
        <f>IF(OR($D17="",$E17=""),"",IF(AND(AO$4&lt;=$E17,AO$4+6&gt;=$D17),IF($G17="Completed","D",IF($G17="In Progress","N","P")),""))</f>
        <v/>
      </c>
      <c r="AP17" s="112">
        <f>IF(OR($D17="",$E17=""),"",IF(AND(AP$4&lt;=$E17,AP$4+6&gt;=$D17),IF($G17="Completed","D",IF($G17="In Progress","N","P")),""))</f>
        <v/>
      </c>
      <c r="AQ17" s="112">
        <f>IF(OR($D17="",$E17=""),"",IF(AND(AQ$4&lt;=$E17,AQ$4+6&gt;=$D17),IF($G17="Completed","D",IF($G17="In Progress","N","P")),""))</f>
        <v/>
      </c>
      <c r="AR17" s="112">
        <f>IF(OR($D17="",$E17=""),"",IF(AND(AR$4&lt;=$E17,AR$4+6&gt;=$D17),IF($G17="Completed","D",IF($G17="In Progress","N","P")),""))</f>
        <v/>
      </c>
      <c r="AS17" s="112">
        <f>IF(OR($D17="",$E17=""),"",IF(AND(AS$4&lt;=$E17,AS$4+6&gt;=$D17),IF($G17="Completed","D",IF($G17="In Progress","N","P")),""))</f>
        <v/>
      </c>
      <c r="AT17" s="112">
        <f>IF(OR($D17="",$E17=""),"",IF(AND(AT$4&lt;=$E17,AT$4+6&gt;=$D17),IF($G17="Completed","D",IF($G17="In Progress","N","P")),""))</f>
        <v/>
      </c>
      <c r="AU17" s="112">
        <f>IF(OR($D17="",$E17=""),"",IF(AND(AU$4&lt;=$E17,AU$4+6&gt;=$D17),IF($G17="Completed","D",IF($G17="In Progress","N","P")),""))</f>
        <v/>
      </c>
      <c r="AV17" s="112">
        <f>IF(OR($D17="",$E17=""),"",IF(AND(AV$4&lt;=$E17,AV$4+6&gt;=$D17),IF($G17="Completed","D",IF($G17="In Progress","N","P")),""))</f>
        <v/>
      </c>
      <c r="AW17" s="112">
        <f>IF(OR($D17="",$E17=""),"",IF(AND(AW$4&lt;=$E17,AW$4+6&gt;=$D17),IF($G17="Completed","D",IF($G17="In Progress","N","P")),""))</f>
        <v/>
      </c>
      <c r="AX17" s="112">
        <f>IF(OR($D17="",$E17=""),"",IF(AND(AX$4&lt;=$E17,AX$4+6&gt;=$D17),IF($G17="Completed","D",IF($G17="In Progress","N","P")),""))</f>
        <v/>
      </c>
    </row>
    <row r="18" ht="18" customHeight="1">
      <c r="A18" s="75" t="inlineStr">
        <is>
          <t>PH-14</t>
        </is>
      </c>
      <c r="B18" s="75" t="inlineStr">
        <is>
          <t>PRJ-001</t>
        </is>
      </c>
      <c r="C18" s="75" t="inlineStr">
        <is>
          <t>Final inspection</t>
        </is>
      </c>
      <c r="D18" s="78" t="n">
        <v>46320</v>
      </c>
      <c r="E18" s="77" t="n">
        <v>46331</v>
      </c>
      <c r="F18" s="111">
        <f>IF($A18="","",$E18-$D18+1)</f>
        <v/>
      </c>
      <c r="G18" s="76" t="inlineStr">
        <is>
          <t>To Do</t>
        </is>
      </c>
      <c r="H18" s="75" t="inlineStr">
        <is>
          <t>PH-12</t>
        </is>
      </c>
      <c r="I18" s="108">
        <f>IF($A18="","",MAX(0,MIN(1,(AsOfDate-$D18+1)/MAX(1,$E18-$D18+1))))</f>
        <v/>
      </c>
      <c r="J18" s="82" t="n"/>
      <c r="K18" s="112">
        <f>IF(OR($D18="",$E18=""),"",IF(AND(K$4&lt;=$E18,K$4+6&gt;=$D18),IF($G18="Completed","D",IF($G18="In Progress","N","P")),""))</f>
        <v/>
      </c>
      <c r="L18" s="112">
        <f>IF(OR($D18="",$E18=""),"",IF(AND(L$4&lt;=$E18,L$4+6&gt;=$D18),IF($G18="Completed","D",IF($G18="In Progress","N","P")),""))</f>
        <v/>
      </c>
      <c r="M18" s="112">
        <f>IF(OR($D18="",$E18=""),"",IF(AND(M$4&lt;=$E18,M$4+6&gt;=$D18),IF($G18="Completed","D",IF($G18="In Progress","N","P")),""))</f>
        <v/>
      </c>
      <c r="N18" s="112">
        <f>IF(OR($D18="",$E18=""),"",IF(AND(N$4&lt;=$E18,N$4+6&gt;=$D18),IF($G18="Completed","D",IF($G18="In Progress","N","P")),""))</f>
        <v/>
      </c>
      <c r="O18" s="112">
        <f>IF(OR($D18="",$E18=""),"",IF(AND(O$4&lt;=$E18,O$4+6&gt;=$D18),IF($G18="Completed","D",IF($G18="In Progress","N","P")),""))</f>
        <v/>
      </c>
      <c r="P18" s="112">
        <f>IF(OR($D18="",$E18=""),"",IF(AND(P$4&lt;=$E18,P$4+6&gt;=$D18),IF($G18="Completed","D",IF($G18="In Progress","N","P")),""))</f>
        <v/>
      </c>
      <c r="Q18" s="112">
        <f>IF(OR($D18="",$E18=""),"",IF(AND(Q$4&lt;=$E18,Q$4+6&gt;=$D18),IF($G18="Completed","D",IF($G18="In Progress","N","P")),""))</f>
        <v/>
      </c>
      <c r="R18" s="112">
        <f>IF(OR($D18="",$E18=""),"",IF(AND(R$4&lt;=$E18,R$4+6&gt;=$D18),IF($G18="Completed","D",IF($G18="In Progress","N","P")),""))</f>
        <v/>
      </c>
      <c r="S18" s="112">
        <f>IF(OR($D18="",$E18=""),"",IF(AND(S$4&lt;=$E18,S$4+6&gt;=$D18),IF($G18="Completed","D",IF($G18="In Progress","N","P")),""))</f>
        <v/>
      </c>
      <c r="T18" s="112">
        <f>IF(OR($D18="",$E18=""),"",IF(AND(T$4&lt;=$E18,T$4+6&gt;=$D18),IF($G18="Completed","D",IF($G18="In Progress","N","P")),""))</f>
        <v/>
      </c>
      <c r="U18" s="112">
        <f>IF(OR($D18="",$E18=""),"",IF(AND(U$4&lt;=$E18,U$4+6&gt;=$D18),IF($G18="Completed","D",IF($G18="In Progress","N","P")),""))</f>
        <v/>
      </c>
      <c r="V18" s="112">
        <f>IF(OR($D18="",$E18=""),"",IF(AND(V$4&lt;=$E18,V$4+6&gt;=$D18),IF($G18="Completed","D",IF($G18="In Progress","N","P")),""))</f>
        <v/>
      </c>
      <c r="W18" s="112">
        <f>IF(OR($D18="",$E18=""),"",IF(AND(W$4&lt;=$E18,W$4+6&gt;=$D18),IF($G18="Completed","D",IF($G18="In Progress","N","P")),""))</f>
        <v/>
      </c>
      <c r="X18" s="112">
        <f>IF(OR($D18="",$E18=""),"",IF(AND(X$4&lt;=$E18,X$4+6&gt;=$D18),IF($G18="Completed","D",IF($G18="In Progress","N","P")),""))</f>
        <v/>
      </c>
      <c r="Y18" s="112">
        <f>IF(OR($D18="",$E18=""),"",IF(AND(Y$4&lt;=$E18,Y$4+6&gt;=$D18),IF($G18="Completed","D",IF($G18="In Progress","N","P")),""))</f>
        <v/>
      </c>
      <c r="Z18" s="112">
        <f>IF(OR($D18="",$E18=""),"",IF(AND(Z$4&lt;=$E18,Z$4+6&gt;=$D18),IF($G18="Completed","D",IF($G18="In Progress","N","P")),""))</f>
        <v/>
      </c>
      <c r="AA18" s="112">
        <f>IF(OR($D18="",$E18=""),"",IF(AND(AA$4&lt;=$E18,AA$4+6&gt;=$D18),IF($G18="Completed","D",IF($G18="In Progress","N","P")),""))</f>
        <v/>
      </c>
      <c r="AB18" s="112">
        <f>IF(OR($D18="",$E18=""),"",IF(AND(AB$4&lt;=$E18,AB$4+6&gt;=$D18),IF($G18="Completed","D",IF($G18="In Progress","N","P")),""))</f>
        <v/>
      </c>
      <c r="AC18" s="112">
        <f>IF(OR($D18="",$E18=""),"",IF(AND(AC$4&lt;=$E18,AC$4+6&gt;=$D18),IF($G18="Completed","D",IF($G18="In Progress","N","P")),""))</f>
        <v/>
      </c>
      <c r="AD18" s="112">
        <f>IF(OR($D18="",$E18=""),"",IF(AND(AD$4&lt;=$E18,AD$4+6&gt;=$D18),IF($G18="Completed","D",IF($G18="In Progress","N","P")),""))</f>
        <v/>
      </c>
      <c r="AE18" s="112">
        <f>IF(OR($D18="",$E18=""),"",IF(AND(AE$4&lt;=$E18,AE$4+6&gt;=$D18),IF($G18="Completed","D",IF($G18="In Progress","N","P")),""))</f>
        <v/>
      </c>
      <c r="AF18" s="112">
        <f>IF(OR($D18="",$E18=""),"",IF(AND(AF$4&lt;=$E18,AF$4+6&gt;=$D18),IF($G18="Completed","D",IF($G18="In Progress","N","P")),""))</f>
        <v/>
      </c>
      <c r="AG18" s="112">
        <f>IF(OR($D18="",$E18=""),"",IF(AND(AG$4&lt;=$E18,AG$4+6&gt;=$D18),IF($G18="Completed","D",IF($G18="In Progress","N","P")),""))</f>
        <v/>
      </c>
      <c r="AH18" s="112">
        <f>IF(OR($D18="",$E18=""),"",IF(AND(AH$4&lt;=$E18,AH$4+6&gt;=$D18),IF($G18="Completed","D",IF($G18="In Progress","N","P")),""))</f>
        <v/>
      </c>
      <c r="AI18" s="112">
        <f>IF(OR($D18="",$E18=""),"",IF(AND(AI$4&lt;=$E18,AI$4+6&gt;=$D18),IF($G18="Completed","D",IF($G18="In Progress","N","P")),""))</f>
        <v/>
      </c>
      <c r="AJ18" s="112">
        <f>IF(OR($D18="",$E18=""),"",IF(AND(AJ$4&lt;=$E18,AJ$4+6&gt;=$D18),IF($G18="Completed","D",IF($G18="In Progress","N","P")),""))</f>
        <v/>
      </c>
      <c r="AK18" s="112">
        <f>IF(OR($D18="",$E18=""),"",IF(AND(AK$4&lt;=$E18,AK$4+6&gt;=$D18),IF($G18="Completed","D",IF($G18="In Progress","N","P")),""))</f>
        <v/>
      </c>
      <c r="AL18" s="112">
        <f>IF(OR($D18="",$E18=""),"",IF(AND(AL$4&lt;=$E18,AL$4+6&gt;=$D18),IF($G18="Completed","D",IF($G18="In Progress","N","P")),""))</f>
        <v/>
      </c>
      <c r="AM18" s="112">
        <f>IF(OR($D18="",$E18=""),"",IF(AND(AM$4&lt;=$E18,AM$4+6&gt;=$D18),IF($G18="Completed","D",IF($G18="In Progress","N","P")),""))</f>
        <v/>
      </c>
      <c r="AN18" s="112">
        <f>IF(OR($D18="",$E18=""),"",IF(AND(AN$4&lt;=$E18,AN$4+6&gt;=$D18),IF($G18="Completed","D",IF($G18="In Progress","N","P")),""))</f>
        <v/>
      </c>
      <c r="AO18" s="112">
        <f>IF(OR($D18="",$E18=""),"",IF(AND(AO$4&lt;=$E18,AO$4+6&gt;=$D18),IF($G18="Completed","D",IF($G18="In Progress","N","P")),""))</f>
        <v/>
      </c>
      <c r="AP18" s="112">
        <f>IF(OR($D18="",$E18=""),"",IF(AND(AP$4&lt;=$E18,AP$4+6&gt;=$D18),IF($G18="Completed","D",IF($G18="In Progress","N","P")),""))</f>
        <v/>
      </c>
      <c r="AQ18" s="112">
        <f>IF(OR($D18="",$E18=""),"",IF(AND(AQ$4&lt;=$E18,AQ$4+6&gt;=$D18),IF($G18="Completed","D",IF($G18="In Progress","N","P")),""))</f>
        <v/>
      </c>
      <c r="AR18" s="112">
        <f>IF(OR($D18="",$E18=""),"",IF(AND(AR$4&lt;=$E18,AR$4+6&gt;=$D18),IF($G18="Completed","D",IF($G18="In Progress","N","P")),""))</f>
        <v/>
      </c>
      <c r="AS18" s="112">
        <f>IF(OR($D18="",$E18=""),"",IF(AND(AS$4&lt;=$E18,AS$4+6&gt;=$D18),IF($G18="Completed","D",IF($G18="In Progress","N","P")),""))</f>
        <v/>
      </c>
      <c r="AT18" s="112">
        <f>IF(OR($D18="",$E18=""),"",IF(AND(AT$4&lt;=$E18,AT$4+6&gt;=$D18),IF($G18="Completed","D",IF($G18="In Progress","N","P")),""))</f>
        <v/>
      </c>
      <c r="AU18" s="112">
        <f>IF(OR($D18="",$E18=""),"",IF(AND(AU$4&lt;=$E18,AU$4+6&gt;=$D18),IF($G18="Completed","D",IF($G18="In Progress","N","P")),""))</f>
        <v/>
      </c>
      <c r="AV18" s="112">
        <f>IF(OR($D18="",$E18=""),"",IF(AND(AV$4&lt;=$E18,AV$4+6&gt;=$D18),IF($G18="Completed","D",IF($G18="In Progress","N","P")),""))</f>
        <v/>
      </c>
      <c r="AW18" s="112">
        <f>IF(OR($D18="",$E18=""),"",IF(AND(AW$4&lt;=$E18,AW$4+6&gt;=$D18),IF($G18="Completed","D",IF($G18="In Progress","N","P")),""))</f>
        <v/>
      </c>
      <c r="AX18" s="112">
        <f>IF(OR($D18="",$E18=""),"",IF(AND(AX$4&lt;=$E18,AX$4+6&gt;=$D18),IF($G18="Completed","D",IF($G18="In Progress","N","P")),""))</f>
        <v/>
      </c>
    </row>
    <row r="19" ht="18" customHeight="1">
      <c r="A19" s="67" t="inlineStr">
        <is>
          <t>PH-15</t>
        </is>
      </c>
      <c r="B19" s="67" t="inlineStr">
        <is>
          <t>PRJ-001</t>
        </is>
      </c>
      <c r="C19" s="67" t="inlineStr">
        <is>
          <t>Handover</t>
        </is>
      </c>
      <c r="D19" s="70" t="n">
        <v>46336</v>
      </c>
      <c r="E19" s="69" t="n">
        <v>46341</v>
      </c>
      <c r="F19" s="111">
        <f>IF($A19="","",$E19-$D19+1)</f>
        <v/>
      </c>
      <c r="G19" s="68" t="inlineStr">
        <is>
          <t>To Do</t>
        </is>
      </c>
      <c r="H19" s="67" t="inlineStr">
        <is>
          <t>PH-14</t>
        </is>
      </c>
      <c r="I19" s="108">
        <f>IF($A19="","",MAX(0,MIN(1,(AsOfDate-$D19+1)/MAX(1,$E19-$D19+1))))</f>
        <v/>
      </c>
      <c r="J19" s="82" t="n"/>
      <c r="K19" s="112">
        <f>IF(OR($D19="",$E19=""),"",IF(AND(K$4&lt;=$E19,K$4+6&gt;=$D19),IF($G19="Completed","D",IF($G19="In Progress","N","P")),""))</f>
        <v/>
      </c>
      <c r="L19" s="112">
        <f>IF(OR($D19="",$E19=""),"",IF(AND(L$4&lt;=$E19,L$4+6&gt;=$D19),IF($G19="Completed","D",IF($G19="In Progress","N","P")),""))</f>
        <v/>
      </c>
      <c r="M19" s="112">
        <f>IF(OR($D19="",$E19=""),"",IF(AND(M$4&lt;=$E19,M$4+6&gt;=$D19),IF($G19="Completed","D",IF($G19="In Progress","N","P")),""))</f>
        <v/>
      </c>
      <c r="N19" s="112">
        <f>IF(OR($D19="",$E19=""),"",IF(AND(N$4&lt;=$E19,N$4+6&gt;=$D19),IF($G19="Completed","D",IF($G19="In Progress","N","P")),""))</f>
        <v/>
      </c>
      <c r="O19" s="112">
        <f>IF(OR($D19="",$E19=""),"",IF(AND(O$4&lt;=$E19,O$4+6&gt;=$D19),IF($G19="Completed","D",IF($G19="In Progress","N","P")),""))</f>
        <v/>
      </c>
      <c r="P19" s="112">
        <f>IF(OR($D19="",$E19=""),"",IF(AND(P$4&lt;=$E19,P$4+6&gt;=$D19),IF($G19="Completed","D",IF($G19="In Progress","N","P")),""))</f>
        <v/>
      </c>
      <c r="Q19" s="112">
        <f>IF(OR($D19="",$E19=""),"",IF(AND(Q$4&lt;=$E19,Q$4+6&gt;=$D19),IF($G19="Completed","D",IF($G19="In Progress","N","P")),""))</f>
        <v/>
      </c>
      <c r="R19" s="112">
        <f>IF(OR($D19="",$E19=""),"",IF(AND(R$4&lt;=$E19,R$4+6&gt;=$D19),IF($G19="Completed","D",IF($G19="In Progress","N","P")),""))</f>
        <v/>
      </c>
      <c r="S19" s="112">
        <f>IF(OR($D19="",$E19=""),"",IF(AND(S$4&lt;=$E19,S$4+6&gt;=$D19),IF($G19="Completed","D",IF($G19="In Progress","N","P")),""))</f>
        <v/>
      </c>
      <c r="T19" s="112">
        <f>IF(OR($D19="",$E19=""),"",IF(AND(T$4&lt;=$E19,T$4+6&gt;=$D19),IF($G19="Completed","D",IF($G19="In Progress","N","P")),""))</f>
        <v/>
      </c>
      <c r="U19" s="112">
        <f>IF(OR($D19="",$E19=""),"",IF(AND(U$4&lt;=$E19,U$4+6&gt;=$D19),IF($G19="Completed","D",IF($G19="In Progress","N","P")),""))</f>
        <v/>
      </c>
      <c r="V19" s="112">
        <f>IF(OR($D19="",$E19=""),"",IF(AND(V$4&lt;=$E19,V$4+6&gt;=$D19),IF($G19="Completed","D",IF($G19="In Progress","N","P")),""))</f>
        <v/>
      </c>
      <c r="W19" s="112">
        <f>IF(OR($D19="",$E19=""),"",IF(AND(W$4&lt;=$E19,W$4+6&gt;=$D19),IF($G19="Completed","D",IF($G19="In Progress","N","P")),""))</f>
        <v/>
      </c>
      <c r="X19" s="112">
        <f>IF(OR($D19="",$E19=""),"",IF(AND(X$4&lt;=$E19,X$4+6&gt;=$D19),IF($G19="Completed","D",IF($G19="In Progress","N","P")),""))</f>
        <v/>
      </c>
      <c r="Y19" s="112">
        <f>IF(OR($D19="",$E19=""),"",IF(AND(Y$4&lt;=$E19,Y$4+6&gt;=$D19),IF($G19="Completed","D",IF($G19="In Progress","N","P")),""))</f>
        <v/>
      </c>
      <c r="Z19" s="112">
        <f>IF(OR($D19="",$E19=""),"",IF(AND(Z$4&lt;=$E19,Z$4+6&gt;=$D19),IF($G19="Completed","D",IF($G19="In Progress","N","P")),""))</f>
        <v/>
      </c>
      <c r="AA19" s="112">
        <f>IF(OR($D19="",$E19=""),"",IF(AND(AA$4&lt;=$E19,AA$4+6&gt;=$D19),IF($G19="Completed","D",IF($G19="In Progress","N","P")),""))</f>
        <v/>
      </c>
      <c r="AB19" s="112">
        <f>IF(OR($D19="",$E19=""),"",IF(AND(AB$4&lt;=$E19,AB$4+6&gt;=$D19),IF($G19="Completed","D",IF($G19="In Progress","N","P")),""))</f>
        <v/>
      </c>
      <c r="AC19" s="112">
        <f>IF(OR($D19="",$E19=""),"",IF(AND(AC$4&lt;=$E19,AC$4+6&gt;=$D19),IF($G19="Completed","D",IF($G19="In Progress","N","P")),""))</f>
        <v/>
      </c>
      <c r="AD19" s="112">
        <f>IF(OR($D19="",$E19=""),"",IF(AND(AD$4&lt;=$E19,AD$4+6&gt;=$D19),IF($G19="Completed","D",IF($G19="In Progress","N","P")),""))</f>
        <v/>
      </c>
      <c r="AE19" s="112">
        <f>IF(OR($D19="",$E19=""),"",IF(AND(AE$4&lt;=$E19,AE$4+6&gt;=$D19),IF($G19="Completed","D",IF($G19="In Progress","N","P")),""))</f>
        <v/>
      </c>
      <c r="AF19" s="112">
        <f>IF(OR($D19="",$E19=""),"",IF(AND(AF$4&lt;=$E19,AF$4+6&gt;=$D19),IF($G19="Completed","D",IF($G19="In Progress","N","P")),""))</f>
        <v/>
      </c>
      <c r="AG19" s="112">
        <f>IF(OR($D19="",$E19=""),"",IF(AND(AG$4&lt;=$E19,AG$4+6&gt;=$D19),IF($G19="Completed","D",IF($G19="In Progress","N","P")),""))</f>
        <v/>
      </c>
      <c r="AH19" s="112">
        <f>IF(OR($D19="",$E19=""),"",IF(AND(AH$4&lt;=$E19,AH$4+6&gt;=$D19),IF($G19="Completed","D",IF($G19="In Progress","N","P")),""))</f>
        <v/>
      </c>
      <c r="AI19" s="112">
        <f>IF(OR($D19="",$E19=""),"",IF(AND(AI$4&lt;=$E19,AI$4+6&gt;=$D19),IF($G19="Completed","D",IF($G19="In Progress","N","P")),""))</f>
        <v/>
      </c>
      <c r="AJ19" s="112">
        <f>IF(OR($D19="",$E19=""),"",IF(AND(AJ$4&lt;=$E19,AJ$4+6&gt;=$D19),IF($G19="Completed","D",IF($G19="In Progress","N","P")),""))</f>
        <v/>
      </c>
      <c r="AK19" s="112">
        <f>IF(OR($D19="",$E19=""),"",IF(AND(AK$4&lt;=$E19,AK$4+6&gt;=$D19),IF($G19="Completed","D",IF($G19="In Progress","N","P")),""))</f>
        <v/>
      </c>
      <c r="AL19" s="112">
        <f>IF(OR($D19="",$E19=""),"",IF(AND(AL$4&lt;=$E19,AL$4+6&gt;=$D19),IF($G19="Completed","D",IF($G19="In Progress","N","P")),""))</f>
        <v/>
      </c>
      <c r="AM19" s="112">
        <f>IF(OR($D19="",$E19=""),"",IF(AND(AM$4&lt;=$E19,AM$4+6&gt;=$D19),IF($G19="Completed","D",IF($G19="In Progress","N","P")),""))</f>
        <v/>
      </c>
      <c r="AN19" s="112">
        <f>IF(OR($D19="",$E19=""),"",IF(AND(AN$4&lt;=$E19,AN$4+6&gt;=$D19),IF($G19="Completed","D",IF($G19="In Progress","N","P")),""))</f>
        <v/>
      </c>
      <c r="AO19" s="112">
        <f>IF(OR($D19="",$E19=""),"",IF(AND(AO$4&lt;=$E19,AO$4+6&gt;=$D19),IF($G19="Completed","D",IF($G19="In Progress","N","P")),""))</f>
        <v/>
      </c>
      <c r="AP19" s="112">
        <f>IF(OR($D19="",$E19=""),"",IF(AND(AP$4&lt;=$E19,AP$4+6&gt;=$D19),IF($G19="Completed","D",IF($G19="In Progress","N","P")),""))</f>
        <v/>
      </c>
      <c r="AQ19" s="112">
        <f>IF(OR($D19="",$E19=""),"",IF(AND(AQ$4&lt;=$E19,AQ$4+6&gt;=$D19),IF($G19="Completed","D",IF($G19="In Progress","N","P")),""))</f>
        <v/>
      </c>
      <c r="AR19" s="112">
        <f>IF(OR($D19="",$E19=""),"",IF(AND(AR$4&lt;=$E19,AR$4+6&gt;=$D19),IF($G19="Completed","D",IF($G19="In Progress","N","P")),""))</f>
        <v/>
      </c>
      <c r="AS19" s="112">
        <f>IF(OR($D19="",$E19=""),"",IF(AND(AS$4&lt;=$E19,AS$4+6&gt;=$D19),IF($G19="Completed","D",IF($G19="In Progress","N","P")),""))</f>
        <v/>
      </c>
      <c r="AT19" s="112">
        <f>IF(OR($D19="",$E19=""),"",IF(AND(AT$4&lt;=$E19,AT$4+6&gt;=$D19),IF($G19="Completed","D",IF($G19="In Progress","N","P")),""))</f>
        <v/>
      </c>
      <c r="AU19" s="112">
        <f>IF(OR($D19="",$E19=""),"",IF(AND(AU$4&lt;=$E19,AU$4+6&gt;=$D19),IF($G19="Completed","D",IF($G19="In Progress","N","P")),""))</f>
        <v/>
      </c>
      <c r="AV19" s="112">
        <f>IF(OR($D19="",$E19=""),"",IF(AND(AV$4&lt;=$E19,AV$4+6&gt;=$D19),IF($G19="Completed","D",IF($G19="In Progress","N","P")),""))</f>
        <v/>
      </c>
      <c r="AW19" s="112">
        <f>IF(OR($D19="",$E19=""),"",IF(AND(AW$4&lt;=$E19,AW$4+6&gt;=$D19),IF($G19="Completed","D",IF($G19="In Progress","N","P")),""))</f>
        <v/>
      </c>
      <c r="AX19" s="112">
        <f>IF(OR($D19="",$E19=""),"",IF(AND(AX$4&lt;=$E19,AX$4+6&gt;=$D19),IF($G19="Completed","D",IF($G19="In Progress","N","P")),""))</f>
        <v/>
      </c>
    </row>
    <row r="20" ht="18" customHeight="1">
      <c r="A20" s="75" t="inlineStr">
        <is>
          <t>PH-16</t>
        </is>
      </c>
      <c r="B20" s="75" t="inlineStr">
        <is>
          <t>PRJ-002</t>
        </is>
      </c>
      <c r="C20" s="75" t="inlineStr">
        <is>
          <t>Cabin design</t>
        </is>
      </c>
      <c r="D20" s="78" t="n">
        <v>46235</v>
      </c>
      <c r="E20" s="77" t="n">
        <v>46295</v>
      </c>
      <c r="F20" s="111">
        <f>IF($A20="","",$E20-$D20+1)</f>
        <v/>
      </c>
      <c r="G20" s="76" t="inlineStr">
        <is>
          <t>In Progress</t>
        </is>
      </c>
      <c r="H20" s="75" t="inlineStr"/>
      <c r="I20" s="108">
        <f>IF($A20="","",MAX(0,MIN(1,(AsOfDate-$D20+1)/MAX(1,$E20-$D20+1))))</f>
        <v/>
      </c>
      <c r="J20" s="82" t="n"/>
      <c r="K20" s="112">
        <f>IF(OR($D20="",$E20=""),"",IF(AND(K$4&lt;=$E20,K$4+6&gt;=$D20),IF($G20="Completed","D",IF($G20="In Progress","N","P")),""))</f>
        <v/>
      </c>
      <c r="L20" s="112">
        <f>IF(OR($D20="",$E20=""),"",IF(AND(L$4&lt;=$E20,L$4+6&gt;=$D20),IF($G20="Completed","D",IF($G20="In Progress","N","P")),""))</f>
        <v/>
      </c>
      <c r="M20" s="112">
        <f>IF(OR($D20="",$E20=""),"",IF(AND(M$4&lt;=$E20,M$4+6&gt;=$D20),IF($G20="Completed","D",IF($G20="In Progress","N","P")),""))</f>
        <v/>
      </c>
      <c r="N20" s="112">
        <f>IF(OR($D20="",$E20=""),"",IF(AND(N$4&lt;=$E20,N$4+6&gt;=$D20),IF($G20="Completed","D",IF($G20="In Progress","N","P")),""))</f>
        <v/>
      </c>
      <c r="O20" s="112">
        <f>IF(OR($D20="",$E20=""),"",IF(AND(O$4&lt;=$E20,O$4+6&gt;=$D20),IF($G20="Completed","D",IF($G20="In Progress","N","P")),""))</f>
        <v/>
      </c>
      <c r="P20" s="112">
        <f>IF(OR($D20="",$E20=""),"",IF(AND(P$4&lt;=$E20,P$4+6&gt;=$D20),IF($G20="Completed","D",IF($G20="In Progress","N","P")),""))</f>
        <v/>
      </c>
      <c r="Q20" s="112">
        <f>IF(OR($D20="",$E20=""),"",IF(AND(Q$4&lt;=$E20,Q$4+6&gt;=$D20),IF($G20="Completed","D",IF($G20="In Progress","N","P")),""))</f>
        <v/>
      </c>
      <c r="R20" s="112">
        <f>IF(OR($D20="",$E20=""),"",IF(AND(R$4&lt;=$E20,R$4+6&gt;=$D20),IF($G20="Completed","D",IF($G20="In Progress","N","P")),""))</f>
        <v/>
      </c>
      <c r="S20" s="112">
        <f>IF(OR($D20="",$E20=""),"",IF(AND(S$4&lt;=$E20,S$4+6&gt;=$D20),IF($G20="Completed","D",IF($G20="In Progress","N","P")),""))</f>
        <v/>
      </c>
      <c r="T20" s="112">
        <f>IF(OR($D20="",$E20=""),"",IF(AND(T$4&lt;=$E20,T$4+6&gt;=$D20),IF($G20="Completed","D",IF($G20="In Progress","N","P")),""))</f>
        <v/>
      </c>
      <c r="U20" s="112">
        <f>IF(OR($D20="",$E20=""),"",IF(AND(U$4&lt;=$E20,U$4+6&gt;=$D20),IF($G20="Completed","D",IF($G20="In Progress","N","P")),""))</f>
        <v/>
      </c>
      <c r="V20" s="112">
        <f>IF(OR($D20="",$E20=""),"",IF(AND(V$4&lt;=$E20,V$4+6&gt;=$D20),IF($G20="Completed","D",IF($G20="In Progress","N","P")),""))</f>
        <v/>
      </c>
      <c r="W20" s="112">
        <f>IF(OR($D20="",$E20=""),"",IF(AND(W$4&lt;=$E20,W$4+6&gt;=$D20),IF($G20="Completed","D",IF($G20="In Progress","N","P")),""))</f>
        <v/>
      </c>
      <c r="X20" s="112">
        <f>IF(OR($D20="",$E20=""),"",IF(AND(X$4&lt;=$E20,X$4+6&gt;=$D20),IF($G20="Completed","D",IF($G20="In Progress","N","P")),""))</f>
        <v/>
      </c>
      <c r="Y20" s="112">
        <f>IF(OR($D20="",$E20=""),"",IF(AND(Y$4&lt;=$E20,Y$4+6&gt;=$D20),IF($G20="Completed","D",IF($G20="In Progress","N","P")),""))</f>
        <v/>
      </c>
      <c r="Z20" s="112">
        <f>IF(OR($D20="",$E20=""),"",IF(AND(Z$4&lt;=$E20,Z$4+6&gt;=$D20),IF($G20="Completed","D",IF($G20="In Progress","N","P")),""))</f>
        <v/>
      </c>
      <c r="AA20" s="112">
        <f>IF(OR($D20="",$E20=""),"",IF(AND(AA$4&lt;=$E20,AA$4+6&gt;=$D20),IF($G20="Completed","D",IF($G20="In Progress","N","P")),""))</f>
        <v/>
      </c>
      <c r="AB20" s="112">
        <f>IF(OR($D20="",$E20=""),"",IF(AND(AB$4&lt;=$E20,AB$4+6&gt;=$D20),IF($G20="Completed","D",IF($G20="In Progress","N","P")),""))</f>
        <v/>
      </c>
      <c r="AC20" s="112">
        <f>IF(OR($D20="",$E20=""),"",IF(AND(AC$4&lt;=$E20,AC$4+6&gt;=$D20),IF($G20="Completed","D",IF($G20="In Progress","N","P")),""))</f>
        <v/>
      </c>
      <c r="AD20" s="112">
        <f>IF(OR($D20="",$E20=""),"",IF(AND(AD$4&lt;=$E20,AD$4+6&gt;=$D20),IF($G20="Completed","D",IF($G20="In Progress","N","P")),""))</f>
        <v/>
      </c>
      <c r="AE20" s="112">
        <f>IF(OR($D20="",$E20=""),"",IF(AND(AE$4&lt;=$E20,AE$4+6&gt;=$D20),IF($G20="Completed","D",IF($G20="In Progress","N","P")),""))</f>
        <v/>
      </c>
      <c r="AF20" s="112">
        <f>IF(OR($D20="",$E20=""),"",IF(AND(AF$4&lt;=$E20,AF$4+6&gt;=$D20),IF($G20="Completed","D",IF($G20="In Progress","N","P")),""))</f>
        <v/>
      </c>
      <c r="AG20" s="112">
        <f>IF(OR($D20="",$E20=""),"",IF(AND(AG$4&lt;=$E20,AG$4+6&gt;=$D20),IF($G20="Completed","D",IF($G20="In Progress","N","P")),""))</f>
        <v/>
      </c>
      <c r="AH20" s="112">
        <f>IF(OR($D20="",$E20=""),"",IF(AND(AH$4&lt;=$E20,AH$4+6&gt;=$D20),IF($G20="Completed","D",IF($G20="In Progress","N","P")),""))</f>
        <v/>
      </c>
      <c r="AI20" s="112">
        <f>IF(OR($D20="",$E20=""),"",IF(AND(AI$4&lt;=$E20,AI$4+6&gt;=$D20),IF($G20="Completed","D",IF($G20="In Progress","N","P")),""))</f>
        <v/>
      </c>
      <c r="AJ20" s="112">
        <f>IF(OR($D20="",$E20=""),"",IF(AND(AJ$4&lt;=$E20,AJ$4+6&gt;=$D20),IF($G20="Completed","D",IF($G20="In Progress","N","P")),""))</f>
        <v/>
      </c>
      <c r="AK20" s="112">
        <f>IF(OR($D20="",$E20=""),"",IF(AND(AK$4&lt;=$E20,AK$4+6&gt;=$D20),IF($G20="Completed","D",IF($G20="In Progress","N","P")),""))</f>
        <v/>
      </c>
      <c r="AL20" s="112">
        <f>IF(OR($D20="",$E20=""),"",IF(AND(AL$4&lt;=$E20,AL$4+6&gt;=$D20),IF($G20="Completed","D",IF($G20="In Progress","N","P")),""))</f>
        <v/>
      </c>
      <c r="AM20" s="112">
        <f>IF(OR($D20="",$E20=""),"",IF(AND(AM$4&lt;=$E20,AM$4+6&gt;=$D20),IF($G20="Completed","D",IF($G20="In Progress","N","P")),""))</f>
        <v/>
      </c>
      <c r="AN20" s="112">
        <f>IF(OR($D20="",$E20=""),"",IF(AND(AN$4&lt;=$E20,AN$4+6&gt;=$D20),IF($G20="Completed","D",IF($G20="In Progress","N","P")),""))</f>
        <v/>
      </c>
      <c r="AO20" s="112">
        <f>IF(OR($D20="",$E20=""),"",IF(AND(AO$4&lt;=$E20,AO$4+6&gt;=$D20),IF($G20="Completed","D",IF($G20="In Progress","N","P")),""))</f>
        <v/>
      </c>
      <c r="AP20" s="112">
        <f>IF(OR($D20="",$E20=""),"",IF(AND(AP$4&lt;=$E20,AP$4+6&gt;=$D20),IF($G20="Completed","D",IF($G20="In Progress","N","P")),""))</f>
        <v/>
      </c>
      <c r="AQ20" s="112">
        <f>IF(OR($D20="",$E20=""),"",IF(AND(AQ$4&lt;=$E20,AQ$4+6&gt;=$D20),IF($G20="Completed","D",IF($G20="In Progress","N","P")),""))</f>
        <v/>
      </c>
      <c r="AR20" s="112">
        <f>IF(OR($D20="",$E20=""),"",IF(AND(AR$4&lt;=$E20,AR$4+6&gt;=$D20),IF($G20="Completed","D",IF($G20="In Progress","N","P")),""))</f>
        <v/>
      </c>
      <c r="AS20" s="112">
        <f>IF(OR($D20="",$E20=""),"",IF(AND(AS$4&lt;=$E20,AS$4+6&gt;=$D20),IF($G20="Completed","D",IF($G20="In Progress","N","P")),""))</f>
        <v/>
      </c>
      <c r="AT20" s="112">
        <f>IF(OR($D20="",$E20=""),"",IF(AND(AT$4&lt;=$E20,AT$4+6&gt;=$D20),IF($G20="Completed","D",IF($G20="In Progress","N","P")),""))</f>
        <v/>
      </c>
      <c r="AU20" s="112">
        <f>IF(OR($D20="",$E20=""),"",IF(AND(AU$4&lt;=$E20,AU$4+6&gt;=$D20),IF($G20="Completed","D",IF($G20="In Progress","N","P")),""))</f>
        <v/>
      </c>
      <c r="AV20" s="112">
        <f>IF(OR($D20="",$E20=""),"",IF(AND(AV$4&lt;=$E20,AV$4+6&gt;=$D20),IF($G20="Completed","D",IF($G20="In Progress","N","P")),""))</f>
        <v/>
      </c>
      <c r="AW20" s="112">
        <f>IF(OR($D20="",$E20=""),"",IF(AND(AW$4&lt;=$E20,AW$4+6&gt;=$D20),IF($G20="Completed","D",IF($G20="In Progress","N","P")),""))</f>
        <v/>
      </c>
      <c r="AX20" s="112">
        <f>IF(OR($D20="",$E20=""),"",IF(AND(AX$4&lt;=$E20,AX$4+6&gt;=$D20),IF($G20="Completed","D",IF($G20="In Progress","N","P")),""))</f>
        <v/>
      </c>
    </row>
    <row r="21" ht="18" customHeight="1">
      <c r="A21" s="67" t="inlineStr">
        <is>
          <t>PH-17</t>
        </is>
      </c>
      <c r="B21" s="67" t="inlineStr">
        <is>
          <t>PRJ-002</t>
        </is>
      </c>
      <c r="C21" s="67" t="inlineStr">
        <is>
          <t>Cabin construction</t>
        </is>
      </c>
      <c r="D21" s="70" t="n">
        <v>46310</v>
      </c>
      <c r="E21" s="69" t="n">
        <v>46366</v>
      </c>
      <c r="F21" s="111">
        <f>IF($A21="","",$E21-$D21+1)</f>
        <v/>
      </c>
      <c r="G21" s="68" t="inlineStr">
        <is>
          <t>To Do</t>
        </is>
      </c>
      <c r="H21" s="67" t="inlineStr">
        <is>
          <t>PH-16</t>
        </is>
      </c>
      <c r="I21" s="108">
        <f>IF($A21="","",MAX(0,MIN(1,(AsOfDate-$D21+1)/MAX(1,$E21-$D21+1))))</f>
        <v/>
      </c>
      <c r="J21" s="82" t="n"/>
      <c r="K21" s="112">
        <f>IF(OR($D21="",$E21=""),"",IF(AND(K$4&lt;=$E21,K$4+6&gt;=$D21),IF($G21="Completed","D",IF($G21="In Progress","N","P")),""))</f>
        <v/>
      </c>
      <c r="L21" s="112">
        <f>IF(OR($D21="",$E21=""),"",IF(AND(L$4&lt;=$E21,L$4+6&gt;=$D21),IF($G21="Completed","D",IF($G21="In Progress","N","P")),""))</f>
        <v/>
      </c>
      <c r="M21" s="112">
        <f>IF(OR($D21="",$E21=""),"",IF(AND(M$4&lt;=$E21,M$4+6&gt;=$D21),IF($G21="Completed","D",IF($G21="In Progress","N","P")),""))</f>
        <v/>
      </c>
      <c r="N21" s="112">
        <f>IF(OR($D21="",$E21=""),"",IF(AND(N$4&lt;=$E21,N$4+6&gt;=$D21),IF($G21="Completed","D",IF($G21="In Progress","N","P")),""))</f>
        <v/>
      </c>
      <c r="O21" s="112">
        <f>IF(OR($D21="",$E21=""),"",IF(AND(O$4&lt;=$E21,O$4+6&gt;=$D21),IF($G21="Completed","D",IF($G21="In Progress","N","P")),""))</f>
        <v/>
      </c>
      <c r="P21" s="112">
        <f>IF(OR($D21="",$E21=""),"",IF(AND(P$4&lt;=$E21,P$4+6&gt;=$D21),IF($G21="Completed","D",IF($G21="In Progress","N","P")),""))</f>
        <v/>
      </c>
      <c r="Q21" s="112">
        <f>IF(OR($D21="",$E21=""),"",IF(AND(Q$4&lt;=$E21,Q$4+6&gt;=$D21),IF($G21="Completed","D",IF($G21="In Progress","N","P")),""))</f>
        <v/>
      </c>
      <c r="R21" s="112">
        <f>IF(OR($D21="",$E21=""),"",IF(AND(R$4&lt;=$E21,R$4+6&gt;=$D21),IF($G21="Completed","D",IF($G21="In Progress","N","P")),""))</f>
        <v/>
      </c>
      <c r="S21" s="112">
        <f>IF(OR($D21="",$E21=""),"",IF(AND(S$4&lt;=$E21,S$4+6&gt;=$D21),IF($G21="Completed","D",IF($G21="In Progress","N","P")),""))</f>
        <v/>
      </c>
      <c r="T21" s="112">
        <f>IF(OR($D21="",$E21=""),"",IF(AND(T$4&lt;=$E21,T$4+6&gt;=$D21),IF($G21="Completed","D",IF($G21="In Progress","N","P")),""))</f>
        <v/>
      </c>
      <c r="U21" s="112">
        <f>IF(OR($D21="",$E21=""),"",IF(AND(U$4&lt;=$E21,U$4+6&gt;=$D21),IF($G21="Completed","D",IF($G21="In Progress","N","P")),""))</f>
        <v/>
      </c>
      <c r="V21" s="112">
        <f>IF(OR($D21="",$E21=""),"",IF(AND(V$4&lt;=$E21,V$4+6&gt;=$D21),IF($G21="Completed","D",IF($G21="In Progress","N","P")),""))</f>
        <v/>
      </c>
      <c r="W21" s="112">
        <f>IF(OR($D21="",$E21=""),"",IF(AND(W$4&lt;=$E21,W$4+6&gt;=$D21),IF($G21="Completed","D",IF($G21="In Progress","N","P")),""))</f>
        <v/>
      </c>
      <c r="X21" s="112">
        <f>IF(OR($D21="",$E21=""),"",IF(AND(X$4&lt;=$E21,X$4+6&gt;=$D21),IF($G21="Completed","D",IF($G21="In Progress","N","P")),""))</f>
        <v/>
      </c>
      <c r="Y21" s="112">
        <f>IF(OR($D21="",$E21=""),"",IF(AND(Y$4&lt;=$E21,Y$4+6&gt;=$D21),IF($G21="Completed","D",IF($G21="In Progress","N","P")),""))</f>
        <v/>
      </c>
      <c r="Z21" s="112">
        <f>IF(OR($D21="",$E21=""),"",IF(AND(Z$4&lt;=$E21,Z$4+6&gt;=$D21),IF($G21="Completed","D",IF($G21="In Progress","N","P")),""))</f>
        <v/>
      </c>
      <c r="AA21" s="112">
        <f>IF(OR($D21="",$E21=""),"",IF(AND(AA$4&lt;=$E21,AA$4+6&gt;=$D21),IF($G21="Completed","D",IF($G21="In Progress","N","P")),""))</f>
        <v/>
      </c>
      <c r="AB21" s="112">
        <f>IF(OR($D21="",$E21=""),"",IF(AND(AB$4&lt;=$E21,AB$4+6&gt;=$D21),IF($G21="Completed","D",IF($G21="In Progress","N","P")),""))</f>
        <v/>
      </c>
      <c r="AC21" s="112">
        <f>IF(OR($D21="",$E21=""),"",IF(AND(AC$4&lt;=$E21,AC$4+6&gt;=$D21),IF($G21="Completed","D",IF($G21="In Progress","N","P")),""))</f>
        <v/>
      </c>
      <c r="AD21" s="112">
        <f>IF(OR($D21="",$E21=""),"",IF(AND(AD$4&lt;=$E21,AD$4+6&gt;=$D21),IF($G21="Completed","D",IF($G21="In Progress","N","P")),""))</f>
        <v/>
      </c>
      <c r="AE21" s="112">
        <f>IF(OR($D21="",$E21=""),"",IF(AND(AE$4&lt;=$E21,AE$4+6&gt;=$D21),IF($G21="Completed","D",IF($G21="In Progress","N","P")),""))</f>
        <v/>
      </c>
      <c r="AF21" s="112">
        <f>IF(OR($D21="",$E21=""),"",IF(AND(AF$4&lt;=$E21,AF$4+6&gt;=$D21),IF($G21="Completed","D",IF($G21="In Progress","N","P")),""))</f>
        <v/>
      </c>
      <c r="AG21" s="112">
        <f>IF(OR($D21="",$E21=""),"",IF(AND(AG$4&lt;=$E21,AG$4+6&gt;=$D21),IF($G21="Completed","D",IF($G21="In Progress","N","P")),""))</f>
        <v/>
      </c>
      <c r="AH21" s="112">
        <f>IF(OR($D21="",$E21=""),"",IF(AND(AH$4&lt;=$E21,AH$4+6&gt;=$D21),IF($G21="Completed","D",IF($G21="In Progress","N","P")),""))</f>
        <v/>
      </c>
      <c r="AI21" s="112">
        <f>IF(OR($D21="",$E21=""),"",IF(AND(AI$4&lt;=$E21,AI$4+6&gt;=$D21),IF($G21="Completed","D",IF($G21="In Progress","N","P")),""))</f>
        <v/>
      </c>
      <c r="AJ21" s="112">
        <f>IF(OR($D21="",$E21=""),"",IF(AND(AJ$4&lt;=$E21,AJ$4+6&gt;=$D21),IF($G21="Completed","D",IF($G21="In Progress","N","P")),""))</f>
        <v/>
      </c>
      <c r="AK21" s="112">
        <f>IF(OR($D21="",$E21=""),"",IF(AND(AK$4&lt;=$E21,AK$4+6&gt;=$D21),IF($G21="Completed","D",IF($G21="In Progress","N","P")),""))</f>
        <v/>
      </c>
      <c r="AL21" s="112">
        <f>IF(OR($D21="",$E21=""),"",IF(AND(AL$4&lt;=$E21,AL$4+6&gt;=$D21),IF($G21="Completed","D",IF($G21="In Progress","N","P")),""))</f>
        <v/>
      </c>
      <c r="AM21" s="112">
        <f>IF(OR($D21="",$E21=""),"",IF(AND(AM$4&lt;=$E21,AM$4+6&gt;=$D21),IF($G21="Completed","D",IF($G21="In Progress","N","P")),""))</f>
        <v/>
      </c>
      <c r="AN21" s="112">
        <f>IF(OR($D21="",$E21=""),"",IF(AND(AN$4&lt;=$E21,AN$4+6&gt;=$D21),IF($G21="Completed","D",IF($G21="In Progress","N","P")),""))</f>
        <v/>
      </c>
      <c r="AO21" s="112">
        <f>IF(OR($D21="",$E21=""),"",IF(AND(AO$4&lt;=$E21,AO$4+6&gt;=$D21),IF($G21="Completed","D",IF($G21="In Progress","N","P")),""))</f>
        <v/>
      </c>
      <c r="AP21" s="112">
        <f>IF(OR($D21="",$E21=""),"",IF(AND(AP$4&lt;=$E21,AP$4+6&gt;=$D21),IF($G21="Completed","D",IF($G21="In Progress","N","P")),""))</f>
        <v/>
      </c>
      <c r="AQ21" s="112">
        <f>IF(OR($D21="",$E21=""),"",IF(AND(AQ$4&lt;=$E21,AQ$4+6&gt;=$D21),IF($G21="Completed","D",IF($G21="In Progress","N","P")),""))</f>
        <v/>
      </c>
      <c r="AR21" s="112">
        <f>IF(OR($D21="",$E21=""),"",IF(AND(AR$4&lt;=$E21,AR$4+6&gt;=$D21),IF($G21="Completed","D",IF($G21="In Progress","N","P")),""))</f>
        <v/>
      </c>
      <c r="AS21" s="112">
        <f>IF(OR($D21="",$E21=""),"",IF(AND(AS$4&lt;=$E21,AS$4+6&gt;=$D21),IF($G21="Completed","D",IF($G21="In Progress","N","P")),""))</f>
        <v/>
      </c>
      <c r="AT21" s="112">
        <f>IF(OR($D21="",$E21=""),"",IF(AND(AT$4&lt;=$E21,AT$4+6&gt;=$D21),IF($G21="Completed","D",IF($G21="In Progress","N","P")),""))</f>
        <v/>
      </c>
      <c r="AU21" s="112">
        <f>IF(OR($D21="",$E21=""),"",IF(AND(AU$4&lt;=$E21,AU$4+6&gt;=$D21),IF($G21="Completed","D",IF($G21="In Progress","N","P")),""))</f>
        <v/>
      </c>
      <c r="AV21" s="112">
        <f>IF(OR($D21="",$E21=""),"",IF(AND(AV$4&lt;=$E21,AV$4+6&gt;=$D21),IF($G21="Completed","D",IF($G21="In Progress","N","P")),""))</f>
        <v/>
      </c>
      <c r="AW21" s="112">
        <f>IF(OR($D21="",$E21=""),"",IF(AND(AW$4&lt;=$E21,AW$4+6&gt;=$D21),IF($G21="Completed","D",IF($G21="In Progress","N","P")),""))</f>
        <v/>
      </c>
      <c r="AX21" s="112">
        <f>IF(OR($D21="",$E21=""),"",IF(AND(AX$4&lt;=$E21,AX$4+6&gt;=$D21),IF($G21="Completed","D",IF($G21="In Progress","N","P")),""))</f>
        <v/>
      </c>
    </row>
    <row r="22">
      <c r="A22" s="82" t="n"/>
      <c r="B22" s="82" t="n"/>
      <c r="C22" s="82" t="n"/>
      <c r="D22" s="82" t="n"/>
      <c r="E22" s="82" t="n"/>
      <c r="G22" s="82" t="n"/>
      <c r="H22" s="82" t="n"/>
      <c r="J22" s="82" t="n"/>
    </row>
    <row r="23">
      <c r="A23" s="82" t="n"/>
      <c r="B23" s="82" t="n"/>
      <c r="C23" s="82" t="n"/>
      <c r="D23" s="82" t="n"/>
      <c r="E23" s="82" t="n"/>
      <c r="G23" s="82" t="n"/>
      <c r="H23" s="82" t="n"/>
      <c r="J23" s="82" t="n"/>
    </row>
    <row r="24">
      <c r="A24" s="82" t="n"/>
      <c r="B24" s="82" t="n"/>
      <c r="C24" s="82" t="n"/>
      <c r="D24" s="82" t="n"/>
      <c r="E24" s="82" t="n"/>
      <c r="G24" s="82" t="n"/>
      <c r="H24" s="82" t="n"/>
      <c r="J24" s="82" t="n"/>
    </row>
    <row r="25">
      <c r="A25" s="82" t="n"/>
      <c r="B25" s="82" t="n"/>
      <c r="C25" s="82" t="n"/>
      <c r="D25" s="82" t="n"/>
      <c r="E25" s="82" t="n"/>
      <c r="G25" s="82" t="n"/>
      <c r="H25" s="82" t="n"/>
      <c r="J25" s="82" t="n"/>
    </row>
    <row r="26">
      <c r="A26" s="82" t="n"/>
      <c r="B26" s="82" t="n"/>
      <c r="C26" s="82" t="n"/>
      <c r="D26" s="82" t="n"/>
      <c r="E26" s="82" t="n"/>
      <c r="G26" s="82" t="n"/>
      <c r="H26" s="82" t="n"/>
      <c r="J26" s="82" t="n"/>
    </row>
    <row r="27">
      <c r="A27" s="82" t="n"/>
      <c r="B27" s="82" t="n"/>
      <c r="C27" s="82" t="n"/>
      <c r="D27" s="82" t="n"/>
      <c r="E27" s="82" t="n"/>
      <c r="G27" s="82" t="n"/>
      <c r="H27" s="82" t="n"/>
      <c r="J27" s="82" t="n"/>
    </row>
    <row r="28">
      <c r="A28" s="82" t="n"/>
      <c r="B28" s="82" t="n"/>
      <c r="C28" s="82" t="n"/>
      <c r="D28" s="82" t="n"/>
      <c r="E28" s="82" t="n"/>
      <c r="G28" s="82" t="n"/>
      <c r="H28" s="82" t="n"/>
      <c r="J28" s="82" t="n"/>
    </row>
    <row r="29">
      <c r="A29" s="82" t="n"/>
      <c r="B29" s="82" t="n"/>
      <c r="C29" s="82" t="n"/>
      <c r="D29" s="82" t="n"/>
      <c r="E29" s="82" t="n"/>
      <c r="G29" s="82" t="n"/>
      <c r="H29" s="82" t="n"/>
      <c r="J29" s="82" t="n"/>
    </row>
    <row r="30">
      <c r="A30" s="82" t="n"/>
      <c r="B30" s="82" t="n"/>
      <c r="C30" s="82" t="n"/>
      <c r="D30" s="82" t="n"/>
      <c r="E30" s="82" t="n"/>
      <c r="G30" s="82" t="n"/>
      <c r="H30" s="82" t="n"/>
      <c r="J30" s="82" t="n"/>
    </row>
    <row r="31">
      <c r="A31" s="82" t="n"/>
      <c r="B31" s="82" t="n"/>
      <c r="C31" s="82" t="n"/>
      <c r="D31" s="82" t="n"/>
      <c r="E31" s="82" t="n"/>
      <c r="G31" s="82" t="n"/>
      <c r="H31" s="82" t="n"/>
      <c r="J31" s="82" t="n"/>
    </row>
    <row r="32">
      <c r="A32" s="82" t="n"/>
      <c r="B32" s="82" t="n"/>
      <c r="C32" s="82" t="n"/>
      <c r="D32" s="82" t="n"/>
      <c r="E32" s="82" t="n"/>
      <c r="G32" s="82" t="n"/>
      <c r="H32" s="82" t="n"/>
      <c r="J32" s="82" t="n"/>
    </row>
    <row r="33">
      <c r="A33" s="82" t="n"/>
      <c r="B33" s="82" t="n"/>
      <c r="C33" s="82" t="n"/>
      <c r="D33" s="82" t="n"/>
      <c r="E33" s="82" t="n"/>
      <c r="G33" s="82" t="n"/>
      <c r="H33" s="82" t="n"/>
      <c r="J33" s="82" t="n"/>
    </row>
    <row r="34">
      <c r="A34" s="82" t="n"/>
      <c r="B34" s="82" t="n"/>
      <c r="C34" s="82" t="n"/>
      <c r="D34" s="82" t="n"/>
      <c r="E34" s="82" t="n"/>
      <c r="G34" s="82" t="n"/>
      <c r="H34" s="82" t="n"/>
      <c r="J34" s="82" t="n"/>
    </row>
    <row r="35">
      <c r="A35" s="82" t="n"/>
      <c r="B35" s="82" t="n"/>
      <c r="C35" s="82" t="n"/>
      <c r="D35" s="82" t="n"/>
      <c r="E35" s="82" t="n"/>
      <c r="G35" s="82" t="n"/>
      <c r="H35" s="82" t="n"/>
      <c r="J35" s="82" t="n"/>
    </row>
    <row r="36">
      <c r="A36" s="82" t="n"/>
      <c r="B36" s="82" t="n"/>
      <c r="C36" s="82" t="n"/>
      <c r="D36" s="82" t="n"/>
      <c r="E36" s="82" t="n"/>
      <c r="G36" s="82" t="n"/>
      <c r="H36" s="82" t="n"/>
      <c r="J36" s="82" t="n"/>
    </row>
    <row r="37">
      <c r="A37" s="82" t="n"/>
      <c r="B37" s="82" t="n"/>
      <c r="C37" s="82" t="n"/>
      <c r="D37" s="82" t="n"/>
      <c r="E37" s="82" t="n"/>
      <c r="G37" s="82" t="n"/>
      <c r="H37" s="82" t="n"/>
      <c r="J37" s="82" t="n"/>
    </row>
    <row r="38">
      <c r="A38" s="82" t="n"/>
      <c r="B38" s="82" t="n"/>
      <c r="C38" s="82" t="n"/>
      <c r="D38" s="82" t="n"/>
      <c r="E38" s="82" t="n"/>
      <c r="G38" s="82" t="n"/>
      <c r="H38" s="82" t="n"/>
      <c r="J38" s="82" t="n"/>
    </row>
    <row r="39">
      <c r="A39" s="82" t="n"/>
      <c r="B39" s="82" t="n"/>
      <c r="C39" s="82" t="n"/>
      <c r="D39" s="82" t="n"/>
      <c r="E39" s="82" t="n"/>
      <c r="G39" s="82" t="n"/>
      <c r="H39" s="82" t="n"/>
      <c r="J39" s="82" t="n"/>
    </row>
    <row r="40">
      <c r="A40" s="82" t="n"/>
      <c r="B40" s="82" t="n"/>
      <c r="C40" s="82" t="n"/>
      <c r="D40" s="82" t="n"/>
      <c r="E40" s="82" t="n"/>
      <c r="G40" s="82" t="n"/>
      <c r="H40" s="82" t="n"/>
      <c r="J40" s="82" t="n"/>
    </row>
    <row r="41">
      <c r="A41" s="82" t="n"/>
      <c r="B41" s="82" t="n"/>
      <c r="C41" s="82" t="n"/>
      <c r="D41" s="82" t="n"/>
      <c r="E41" s="82" t="n"/>
      <c r="G41" s="82" t="n"/>
      <c r="H41" s="82" t="n"/>
      <c r="J41" s="82" t="n"/>
    </row>
    <row r="42">
      <c r="A42" s="82" t="n"/>
      <c r="B42" s="82" t="n"/>
      <c r="C42" s="82" t="n"/>
      <c r="D42" s="82" t="n"/>
      <c r="E42" s="82" t="n"/>
      <c r="G42" s="82" t="n"/>
      <c r="H42" s="82" t="n"/>
      <c r="J42" s="82" t="n"/>
    </row>
    <row r="43">
      <c r="A43" s="82" t="n"/>
      <c r="B43" s="82" t="n"/>
      <c r="C43" s="82" t="n"/>
      <c r="D43" s="82" t="n"/>
      <c r="E43" s="82" t="n"/>
      <c r="G43" s="82" t="n"/>
      <c r="H43" s="82" t="n"/>
      <c r="J43" s="82" t="n"/>
    </row>
    <row r="44">
      <c r="A44" s="82" t="n"/>
      <c r="B44" s="82" t="n"/>
      <c r="C44" s="82" t="n"/>
      <c r="D44" s="82" t="n"/>
      <c r="E44" s="82" t="n"/>
      <c r="G44" s="82" t="n"/>
      <c r="H44" s="82" t="n"/>
      <c r="J44" s="82" t="n"/>
    </row>
    <row r="45">
      <c r="A45" s="82" t="n"/>
      <c r="B45" s="82" t="n"/>
      <c r="C45" s="82" t="n"/>
      <c r="D45" s="82" t="n"/>
      <c r="E45" s="82" t="n"/>
      <c r="G45" s="82" t="n"/>
      <c r="H45" s="82" t="n"/>
      <c r="J45" s="82" t="n"/>
    </row>
    <row r="46">
      <c r="A46" s="82" t="n"/>
      <c r="B46" s="82" t="n"/>
      <c r="C46" s="82" t="n"/>
      <c r="D46" s="82" t="n"/>
      <c r="E46" s="82" t="n"/>
      <c r="G46" s="82" t="n"/>
      <c r="H46" s="82" t="n"/>
      <c r="J46" s="82" t="n"/>
    </row>
    <row r="47">
      <c r="A47" s="82" t="n"/>
      <c r="B47" s="82" t="n"/>
      <c r="C47" s="82" t="n"/>
      <c r="D47" s="82" t="n"/>
      <c r="E47" s="82" t="n"/>
      <c r="G47" s="82" t="n"/>
      <c r="H47" s="82" t="n"/>
      <c r="J47" s="82" t="n"/>
    </row>
    <row r="48">
      <c r="A48" s="82" t="n"/>
      <c r="B48" s="82" t="n"/>
      <c r="C48" s="82" t="n"/>
      <c r="D48" s="82" t="n"/>
      <c r="E48" s="82" t="n"/>
      <c r="G48" s="82" t="n"/>
      <c r="H48" s="82" t="n"/>
      <c r="J48" s="82" t="n"/>
    </row>
    <row r="49">
      <c r="A49" s="82" t="n"/>
      <c r="B49" s="82" t="n"/>
      <c r="C49" s="82" t="n"/>
      <c r="D49" s="82" t="n"/>
      <c r="E49" s="82" t="n"/>
      <c r="G49" s="82" t="n"/>
      <c r="H49" s="82" t="n"/>
      <c r="J49" s="82" t="n"/>
    </row>
    <row r="50">
      <c r="A50" s="82" t="n"/>
      <c r="B50" s="82" t="n"/>
      <c r="C50" s="82" t="n"/>
      <c r="D50" s="82" t="n"/>
      <c r="E50" s="82" t="n"/>
      <c r="G50" s="82" t="n"/>
      <c r="H50" s="82" t="n"/>
      <c r="J50" s="82" t="n"/>
    </row>
    <row r="51">
      <c r="A51" s="82" t="n"/>
      <c r="B51" s="82" t="n"/>
      <c r="C51" s="82" t="n"/>
      <c r="D51" s="82" t="n"/>
      <c r="E51" s="82" t="n"/>
      <c r="G51" s="82" t="n"/>
      <c r="H51" s="82" t="n"/>
      <c r="J51" s="82" t="n"/>
    </row>
    <row r="52">
      <c r="A52" s="82" t="n"/>
      <c r="B52" s="82" t="n"/>
      <c r="C52" s="82" t="n"/>
      <c r="D52" s="82" t="n"/>
      <c r="E52" s="82" t="n"/>
      <c r="G52" s="82" t="n"/>
      <c r="H52" s="82" t="n"/>
      <c r="J52" s="82" t="n"/>
    </row>
    <row r="53">
      <c r="A53" s="82" t="n"/>
      <c r="B53" s="82" t="n"/>
      <c r="C53" s="82" t="n"/>
      <c r="D53" s="82" t="n"/>
      <c r="E53" s="82" t="n"/>
      <c r="G53" s="82" t="n"/>
      <c r="H53" s="82" t="n"/>
      <c r="J53" s="82" t="n"/>
    </row>
    <row r="54">
      <c r="A54" s="82" t="n"/>
      <c r="B54" s="82" t="n"/>
      <c r="C54" s="82" t="n"/>
      <c r="D54" s="82" t="n"/>
      <c r="E54" s="82" t="n"/>
      <c r="G54" s="82" t="n"/>
      <c r="H54" s="82" t="n"/>
      <c r="J54" s="82" t="n"/>
    </row>
    <row r="55">
      <c r="A55" s="82" t="n"/>
      <c r="B55" s="82" t="n"/>
      <c r="C55" s="82" t="n"/>
      <c r="D55" s="82" t="n"/>
      <c r="E55" s="82" t="n"/>
      <c r="G55" s="82" t="n"/>
      <c r="H55" s="82" t="n"/>
      <c r="J55" s="82" t="n"/>
    </row>
    <row r="56">
      <c r="A56" s="82" t="n"/>
      <c r="B56" s="82" t="n"/>
      <c r="C56" s="82" t="n"/>
      <c r="D56" s="82" t="n"/>
      <c r="E56" s="82" t="n"/>
      <c r="G56" s="82" t="n"/>
      <c r="H56" s="82" t="n"/>
      <c r="J56" s="82" t="n"/>
    </row>
    <row r="57">
      <c r="A57" s="82" t="n"/>
      <c r="B57" s="82" t="n"/>
      <c r="C57" s="82" t="n"/>
      <c r="D57" s="82" t="n"/>
      <c r="E57" s="82" t="n"/>
      <c r="G57" s="82" t="n"/>
      <c r="H57" s="82" t="n"/>
      <c r="J57" s="82" t="n"/>
    </row>
    <row r="58">
      <c r="A58" s="82" t="n"/>
      <c r="B58" s="82" t="n"/>
      <c r="C58" s="82" t="n"/>
      <c r="D58" s="82" t="n"/>
      <c r="E58" s="82" t="n"/>
      <c r="G58" s="82" t="n"/>
      <c r="H58" s="82" t="n"/>
      <c r="J58" s="82" t="n"/>
    </row>
    <row r="59">
      <c r="A59" s="82" t="n"/>
      <c r="B59" s="82" t="n"/>
      <c r="C59" s="82" t="n"/>
      <c r="D59" s="82" t="n"/>
      <c r="E59" s="82" t="n"/>
      <c r="G59" s="82" t="n"/>
      <c r="H59" s="82" t="n"/>
      <c r="J59" s="82" t="n"/>
    </row>
    <row r="60">
      <c r="A60" s="82" t="n"/>
      <c r="B60" s="82" t="n"/>
      <c r="C60" s="82" t="n"/>
      <c r="D60" s="82" t="n"/>
      <c r="E60" s="82" t="n"/>
      <c r="G60" s="82" t="n"/>
      <c r="H60" s="82" t="n"/>
      <c r="J60" s="82" t="n"/>
    </row>
    <row r="61">
      <c r="A61" s="82" t="n"/>
      <c r="B61" s="82" t="n"/>
      <c r="C61" s="82" t="n"/>
      <c r="D61" s="82" t="n"/>
      <c r="E61" s="82" t="n"/>
      <c r="G61" s="82" t="n"/>
      <c r="H61" s="82" t="n"/>
      <c r="J61" s="82" t="n"/>
    </row>
    <row r="62">
      <c r="A62" s="82" t="n"/>
      <c r="B62" s="82" t="n"/>
      <c r="C62" s="82" t="n"/>
      <c r="D62" s="82" t="n"/>
      <c r="E62" s="82" t="n"/>
      <c r="G62" s="82" t="n"/>
      <c r="H62" s="82" t="n"/>
      <c r="J62" s="82" t="n"/>
    </row>
    <row r="63">
      <c r="A63" s="82" t="n"/>
      <c r="B63" s="82" t="n"/>
      <c r="C63" s="82" t="n"/>
      <c r="D63" s="82" t="n"/>
      <c r="E63" s="82" t="n"/>
      <c r="G63" s="82" t="n"/>
      <c r="H63" s="82" t="n"/>
      <c r="J63" s="82" t="n"/>
    </row>
    <row r="64">
      <c r="A64" s="82" t="n"/>
      <c r="B64" s="82" t="n"/>
      <c r="C64" s="82" t="n"/>
      <c r="D64" s="82" t="n"/>
      <c r="E64" s="82" t="n"/>
      <c r="G64" s="82" t="n"/>
      <c r="H64" s="82" t="n"/>
      <c r="J64" s="82" t="n"/>
    </row>
    <row r="65">
      <c r="A65" s="82" t="n"/>
      <c r="B65" s="82" t="n"/>
      <c r="C65" s="82" t="n"/>
      <c r="D65" s="82" t="n"/>
      <c r="E65" s="82" t="n"/>
      <c r="G65" s="82" t="n"/>
      <c r="H65" s="82" t="n"/>
      <c r="J65" s="82" t="n"/>
    </row>
    <row r="66">
      <c r="A66" s="82" t="n"/>
      <c r="B66" s="82" t="n"/>
      <c r="C66" s="82" t="n"/>
      <c r="D66" s="82" t="n"/>
      <c r="E66" s="82" t="n"/>
      <c r="G66" s="82" t="n"/>
      <c r="H66" s="82" t="n"/>
      <c r="J66" s="82" t="n"/>
    </row>
    <row r="67">
      <c r="A67" s="82" t="n"/>
      <c r="B67" s="82" t="n"/>
      <c r="C67" s="82" t="n"/>
      <c r="D67" s="82" t="n"/>
      <c r="E67" s="82" t="n"/>
      <c r="G67" s="82" t="n"/>
      <c r="H67" s="82" t="n"/>
      <c r="J67" s="82" t="n"/>
    </row>
    <row r="68">
      <c r="A68" s="82" t="n"/>
      <c r="B68" s="82" t="n"/>
      <c r="C68" s="82" t="n"/>
      <c r="D68" s="82" t="n"/>
      <c r="E68" s="82" t="n"/>
      <c r="G68" s="82" t="n"/>
      <c r="H68" s="82" t="n"/>
      <c r="J68" s="82" t="n"/>
    </row>
    <row r="69">
      <c r="A69" s="82" t="n"/>
      <c r="B69" s="82" t="n"/>
      <c r="C69" s="82" t="n"/>
      <c r="D69" s="82" t="n"/>
      <c r="E69" s="82" t="n"/>
      <c r="G69" s="82" t="n"/>
      <c r="H69" s="82" t="n"/>
      <c r="J69" s="82" t="n"/>
    </row>
    <row r="70">
      <c r="A70" s="82" t="n"/>
      <c r="B70" s="82" t="n"/>
      <c r="C70" s="82" t="n"/>
      <c r="D70" s="82" t="n"/>
      <c r="E70" s="82" t="n"/>
      <c r="G70" s="82" t="n"/>
      <c r="H70" s="82" t="n"/>
      <c r="J70" s="82" t="n"/>
    </row>
    <row r="71">
      <c r="A71" s="82" t="n"/>
      <c r="B71" s="82" t="n"/>
      <c r="C71" s="82" t="n"/>
      <c r="D71" s="82" t="n"/>
      <c r="E71" s="82" t="n"/>
      <c r="G71" s="82" t="n"/>
      <c r="H71" s="82" t="n"/>
      <c r="J71" s="82" t="n"/>
    </row>
    <row r="72">
      <c r="A72" s="82" t="n"/>
      <c r="B72" s="82" t="n"/>
      <c r="C72" s="82" t="n"/>
      <c r="D72" s="82" t="n"/>
      <c r="E72" s="82" t="n"/>
      <c r="G72" s="82" t="n"/>
      <c r="H72" s="82" t="n"/>
      <c r="J72" s="82" t="n"/>
    </row>
    <row r="73">
      <c r="A73" s="82" t="n"/>
      <c r="B73" s="82" t="n"/>
      <c r="C73" s="82" t="n"/>
      <c r="D73" s="82" t="n"/>
      <c r="E73" s="82" t="n"/>
      <c r="G73" s="82" t="n"/>
      <c r="H73" s="82" t="n"/>
      <c r="J73" s="82" t="n"/>
    </row>
    <row r="74">
      <c r="A74" s="82" t="n"/>
      <c r="B74" s="82" t="n"/>
      <c r="C74" s="82" t="n"/>
      <c r="D74" s="82" t="n"/>
      <c r="E74" s="82" t="n"/>
      <c r="G74" s="82" t="n"/>
      <c r="H74" s="82" t="n"/>
      <c r="J74" s="82" t="n"/>
    </row>
    <row r="75">
      <c r="A75" s="82" t="n"/>
      <c r="B75" s="82" t="n"/>
      <c r="C75" s="82" t="n"/>
      <c r="D75" s="82" t="n"/>
      <c r="E75" s="82" t="n"/>
      <c r="G75" s="82" t="n"/>
      <c r="H75" s="82" t="n"/>
      <c r="J75" s="82" t="n"/>
    </row>
    <row r="76">
      <c r="A76" s="82" t="n"/>
      <c r="B76" s="82" t="n"/>
      <c r="C76" s="82" t="n"/>
      <c r="D76" s="82" t="n"/>
      <c r="E76" s="82" t="n"/>
      <c r="G76" s="82" t="n"/>
      <c r="H76" s="82" t="n"/>
      <c r="J76" s="82" t="n"/>
    </row>
    <row r="77">
      <c r="A77" s="82" t="n"/>
      <c r="B77" s="82" t="n"/>
      <c r="C77" s="82" t="n"/>
      <c r="D77" s="82" t="n"/>
      <c r="E77" s="82" t="n"/>
      <c r="G77" s="82" t="n"/>
      <c r="H77" s="82" t="n"/>
      <c r="J77" s="82" t="n"/>
    </row>
    <row r="78">
      <c r="A78" s="82" t="n"/>
      <c r="B78" s="82" t="n"/>
      <c r="C78" s="82" t="n"/>
      <c r="D78" s="82" t="n"/>
      <c r="E78" s="82" t="n"/>
      <c r="G78" s="82" t="n"/>
      <c r="H78" s="82" t="n"/>
      <c r="J78" s="82" t="n"/>
    </row>
    <row r="79">
      <c r="A79" s="82" t="n"/>
      <c r="B79" s="82" t="n"/>
      <c r="C79" s="82" t="n"/>
      <c r="D79" s="82" t="n"/>
      <c r="E79" s="82" t="n"/>
      <c r="G79" s="82" t="n"/>
      <c r="H79" s="82" t="n"/>
      <c r="J79" s="82" t="n"/>
    </row>
    <row r="80">
      <c r="A80" s="82" t="n"/>
      <c r="B80" s="82" t="n"/>
      <c r="C80" s="82" t="n"/>
      <c r="D80" s="82" t="n"/>
      <c r="E80" s="82" t="n"/>
      <c r="G80" s="82" t="n"/>
      <c r="H80" s="82" t="n"/>
      <c r="J80" s="82" t="n"/>
    </row>
    <row r="81">
      <c r="A81" s="82" t="n"/>
      <c r="B81" s="82" t="n"/>
      <c r="C81" s="82" t="n"/>
      <c r="D81" s="82" t="n"/>
      <c r="E81" s="82" t="n"/>
      <c r="G81" s="82" t="n"/>
      <c r="H81" s="82" t="n"/>
      <c r="J81" s="82" t="n"/>
    </row>
    <row r="82">
      <c r="A82" s="82" t="n"/>
      <c r="B82" s="82" t="n"/>
      <c r="C82" s="82" t="n"/>
      <c r="D82" s="82" t="n"/>
      <c r="E82" s="82" t="n"/>
      <c r="G82" s="82" t="n"/>
      <c r="H82" s="82" t="n"/>
      <c r="J82" s="82" t="n"/>
    </row>
    <row r="83">
      <c r="A83" s="82" t="n"/>
      <c r="B83" s="82" t="n"/>
      <c r="C83" s="82" t="n"/>
      <c r="D83" s="82" t="n"/>
      <c r="E83" s="82" t="n"/>
      <c r="G83" s="82" t="n"/>
      <c r="H83" s="82" t="n"/>
      <c r="J83" s="82" t="n"/>
    </row>
    <row r="84">
      <c r="A84" s="82" t="n"/>
      <c r="B84" s="82" t="n"/>
      <c r="C84" s="82" t="n"/>
      <c r="D84" s="82" t="n"/>
      <c r="E84" s="82" t="n"/>
      <c r="G84" s="82" t="n"/>
      <c r="H84" s="82" t="n"/>
      <c r="J84" s="82" t="n"/>
    </row>
    <row r="85">
      <c r="A85" s="82" t="n"/>
      <c r="B85" s="82" t="n"/>
      <c r="C85" s="82" t="n"/>
      <c r="D85" s="82" t="n"/>
      <c r="E85" s="82" t="n"/>
      <c r="G85" s="82" t="n"/>
      <c r="H85" s="82" t="n"/>
      <c r="J85" s="82" t="n"/>
    </row>
    <row r="86">
      <c r="A86" s="82" t="n"/>
      <c r="B86" s="82" t="n"/>
      <c r="C86" s="82" t="n"/>
      <c r="D86" s="82" t="n"/>
      <c r="E86" s="82" t="n"/>
      <c r="G86" s="82" t="n"/>
      <c r="H86" s="82" t="n"/>
      <c r="J86" s="82" t="n"/>
    </row>
    <row r="87">
      <c r="A87" s="82" t="n"/>
      <c r="B87" s="82" t="n"/>
      <c r="C87" s="82" t="n"/>
      <c r="D87" s="82" t="n"/>
      <c r="E87" s="82" t="n"/>
      <c r="G87" s="82" t="n"/>
      <c r="H87" s="82" t="n"/>
      <c r="J87" s="82" t="n"/>
    </row>
    <row r="88">
      <c r="A88" s="82" t="n"/>
      <c r="B88" s="82" t="n"/>
      <c r="C88" s="82" t="n"/>
      <c r="D88" s="82" t="n"/>
      <c r="E88" s="82" t="n"/>
      <c r="G88" s="82" t="n"/>
      <c r="H88" s="82" t="n"/>
      <c r="J88" s="82" t="n"/>
    </row>
    <row r="89">
      <c r="A89" s="82" t="n"/>
      <c r="B89" s="82" t="n"/>
      <c r="C89" s="82" t="n"/>
      <c r="D89" s="82" t="n"/>
      <c r="E89" s="82" t="n"/>
      <c r="G89" s="82" t="n"/>
      <c r="H89" s="82" t="n"/>
      <c r="J89" s="82" t="n"/>
    </row>
    <row r="90">
      <c r="A90" s="82" t="n"/>
      <c r="B90" s="82" t="n"/>
      <c r="C90" s="82" t="n"/>
      <c r="D90" s="82" t="n"/>
      <c r="E90" s="82" t="n"/>
      <c r="G90" s="82" t="n"/>
      <c r="H90" s="82" t="n"/>
      <c r="J90" s="82" t="n"/>
    </row>
    <row r="91">
      <c r="A91" s="82" t="n"/>
      <c r="B91" s="82" t="n"/>
      <c r="C91" s="82" t="n"/>
      <c r="D91" s="82" t="n"/>
      <c r="E91" s="82" t="n"/>
      <c r="G91" s="82" t="n"/>
      <c r="H91" s="82" t="n"/>
      <c r="J91" s="82" t="n"/>
    </row>
    <row r="92">
      <c r="A92" s="82" t="n"/>
      <c r="B92" s="82" t="n"/>
      <c r="C92" s="82" t="n"/>
      <c r="D92" s="82" t="n"/>
      <c r="E92" s="82" t="n"/>
      <c r="G92" s="82" t="n"/>
      <c r="H92" s="82" t="n"/>
      <c r="J92" s="82" t="n"/>
    </row>
    <row r="93">
      <c r="A93" s="82" t="n"/>
      <c r="B93" s="82" t="n"/>
      <c r="C93" s="82" t="n"/>
      <c r="D93" s="82" t="n"/>
      <c r="E93" s="82" t="n"/>
      <c r="G93" s="82" t="n"/>
      <c r="H93" s="82" t="n"/>
      <c r="J93" s="82" t="n"/>
    </row>
    <row r="94">
      <c r="A94" s="82" t="n"/>
      <c r="B94" s="82" t="n"/>
      <c r="C94" s="82" t="n"/>
      <c r="D94" s="82" t="n"/>
      <c r="E94" s="82" t="n"/>
      <c r="G94" s="82" t="n"/>
      <c r="H94" s="82" t="n"/>
      <c r="J94" s="82" t="n"/>
    </row>
    <row r="95">
      <c r="A95" s="82" t="n"/>
      <c r="B95" s="82" t="n"/>
      <c r="C95" s="82" t="n"/>
      <c r="D95" s="82" t="n"/>
      <c r="E95" s="82" t="n"/>
      <c r="G95" s="82" t="n"/>
      <c r="H95" s="82" t="n"/>
      <c r="J95" s="82" t="n"/>
    </row>
    <row r="96">
      <c r="A96" s="82" t="n"/>
      <c r="B96" s="82" t="n"/>
      <c r="C96" s="82" t="n"/>
      <c r="D96" s="82" t="n"/>
      <c r="E96" s="82" t="n"/>
      <c r="G96" s="82" t="n"/>
      <c r="H96" s="82" t="n"/>
      <c r="J96" s="82" t="n"/>
    </row>
    <row r="97">
      <c r="A97" s="82" t="n"/>
      <c r="B97" s="82" t="n"/>
      <c r="C97" s="82" t="n"/>
      <c r="D97" s="82" t="n"/>
      <c r="E97" s="82" t="n"/>
      <c r="G97" s="82" t="n"/>
      <c r="H97" s="82" t="n"/>
      <c r="J97" s="82" t="n"/>
    </row>
    <row r="98">
      <c r="A98" s="82" t="n"/>
      <c r="B98" s="82" t="n"/>
      <c r="C98" s="82" t="n"/>
      <c r="D98" s="82" t="n"/>
      <c r="E98" s="82" t="n"/>
      <c r="G98" s="82" t="n"/>
      <c r="H98" s="82" t="n"/>
      <c r="J98" s="82" t="n"/>
    </row>
    <row r="99">
      <c r="A99" s="82" t="n"/>
      <c r="B99" s="82" t="n"/>
      <c r="C99" s="82" t="n"/>
      <c r="D99" s="82" t="n"/>
      <c r="E99" s="82" t="n"/>
      <c r="G99" s="82" t="n"/>
      <c r="H99" s="82" t="n"/>
      <c r="J99" s="82" t="n"/>
    </row>
    <row r="100">
      <c r="A100" s="82" t="n"/>
      <c r="B100" s="82" t="n"/>
      <c r="C100" s="82" t="n"/>
      <c r="D100" s="82" t="n"/>
      <c r="E100" s="82" t="n"/>
      <c r="G100" s="82" t="n"/>
      <c r="H100" s="82" t="n"/>
      <c r="J100" s="82" t="n"/>
    </row>
    <row r="101">
      <c r="A101" s="82" t="n"/>
      <c r="B101" s="82" t="n"/>
      <c r="C101" s="82" t="n"/>
      <c r="D101" s="82" t="n"/>
      <c r="E101" s="82" t="n"/>
      <c r="G101" s="82" t="n"/>
      <c r="H101" s="82" t="n"/>
      <c r="J101" s="82" t="n"/>
    </row>
    <row r="102">
      <c r="A102" s="82" t="n"/>
      <c r="B102" s="82" t="n"/>
      <c r="C102" s="82" t="n"/>
      <c r="D102" s="82" t="n"/>
      <c r="E102" s="82" t="n"/>
      <c r="G102" s="82" t="n"/>
      <c r="H102" s="82" t="n"/>
      <c r="J102" s="82" t="n"/>
    </row>
    <row r="103">
      <c r="A103" s="82" t="n"/>
      <c r="B103" s="82" t="n"/>
      <c r="C103" s="82" t="n"/>
      <c r="D103" s="82" t="n"/>
      <c r="E103" s="82" t="n"/>
      <c r="G103" s="82" t="n"/>
      <c r="H103" s="82" t="n"/>
      <c r="J103" s="82" t="n"/>
    </row>
    <row r="104">
      <c r="A104" s="82" t="n"/>
      <c r="B104" s="82" t="n"/>
      <c r="C104" s="82" t="n"/>
      <c r="D104" s="82" t="n"/>
      <c r="E104" s="82" t="n"/>
      <c r="G104" s="82" t="n"/>
      <c r="H104" s="82" t="n"/>
      <c r="J104" s="82" t="n"/>
    </row>
    <row r="105">
      <c r="A105" s="82" t="n"/>
      <c r="B105" s="82" t="n"/>
      <c r="C105" s="82" t="n"/>
      <c r="D105" s="82" t="n"/>
      <c r="E105" s="82" t="n"/>
      <c r="G105" s="82" t="n"/>
      <c r="H105" s="82" t="n"/>
      <c r="J105" s="82" t="n"/>
    </row>
    <row r="106">
      <c r="A106" s="82" t="n"/>
      <c r="B106" s="82" t="n"/>
      <c r="C106" s="82" t="n"/>
      <c r="D106" s="82" t="n"/>
      <c r="E106" s="82" t="n"/>
      <c r="G106" s="82" t="n"/>
      <c r="H106" s="82" t="n"/>
      <c r="J106" s="82" t="n"/>
    </row>
    <row r="107">
      <c r="A107" s="82" t="n"/>
      <c r="B107" s="82" t="n"/>
      <c r="C107" s="82" t="n"/>
      <c r="D107" s="82" t="n"/>
      <c r="E107" s="82" t="n"/>
      <c r="G107" s="82" t="n"/>
      <c r="H107" s="82" t="n"/>
      <c r="J107" s="82" t="n"/>
    </row>
    <row r="108">
      <c r="A108" s="82" t="n"/>
      <c r="B108" s="82" t="n"/>
      <c r="C108" s="82" t="n"/>
      <c r="D108" s="82" t="n"/>
      <c r="E108" s="82" t="n"/>
      <c r="G108" s="82" t="n"/>
      <c r="H108" s="82" t="n"/>
      <c r="J108" s="82" t="n"/>
    </row>
    <row r="109">
      <c r="A109" s="82" t="n"/>
      <c r="B109" s="82" t="n"/>
      <c r="C109" s="82" t="n"/>
      <c r="D109" s="82" t="n"/>
      <c r="E109" s="82" t="n"/>
      <c r="G109" s="82" t="n"/>
      <c r="H109" s="82" t="n"/>
      <c r="J109" s="82" t="n"/>
    </row>
    <row r="110">
      <c r="A110" s="82" t="n"/>
      <c r="B110" s="82" t="n"/>
      <c r="C110" s="82" t="n"/>
      <c r="D110" s="82" t="n"/>
      <c r="E110" s="82" t="n"/>
      <c r="G110" s="82" t="n"/>
      <c r="H110" s="82" t="n"/>
      <c r="J110" s="82" t="n"/>
    </row>
    <row r="111">
      <c r="A111" s="82" t="n"/>
      <c r="B111" s="82" t="n"/>
      <c r="C111" s="82" t="n"/>
      <c r="D111" s="82" t="n"/>
      <c r="E111" s="82" t="n"/>
      <c r="G111" s="82" t="n"/>
      <c r="H111" s="82" t="n"/>
      <c r="J111" s="82" t="n"/>
    </row>
    <row r="112">
      <c r="A112" s="82" t="n"/>
      <c r="B112" s="82" t="n"/>
      <c r="C112" s="82" t="n"/>
      <c r="D112" s="82" t="n"/>
      <c r="E112" s="82" t="n"/>
      <c r="G112" s="82" t="n"/>
      <c r="H112" s="82" t="n"/>
      <c r="J112" s="82" t="n"/>
    </row>
    <row r="113">
      <c r="A113" s="82" t="n"/>
      <c r="B113" s="82" t="n"/>
      <c r="C113" s="82" t="n"/>
      <c r="D113" s="82" t="n"/>
      <c r="E113" s="82" t="n"/>
      <c r="G113" s="82" t="n"/>
      <c r="H113" s="82" t="n"/>
      <c r="J113" s="82" t="n"/>
    </row>
    <row r="114">
      <c r="A114" s="82" t="n"/>
      <c r="B114" s="82" t="n"/>
      <c r="C114" s="82" t="n"/>
      <c r="D114" s="82" t="n"/>
      <c r="E114" s="82" t="n"/>
      <c r="G114" s="82" t="n"/>
      <c r="H114" s="82" t="n"/>
      <c r="J114" s="82" t="n"/>
    </row>
    <row r="115">
      <c r="A115" s="82" t="n"/>
      <c r="B115" s="82" t="n"/>
      <c r="C115" s="82" t="n"/>
      <c r="D115" s="82" t="n"/>
      <c r="E115" s="82" t="n"/>
      <c r="G115" s="82" t="n"/>
      <c r="H115" s="82" t="n"/>
      <c r="J115" s="82" t="n"/>
    </row>
    <row r="116">
      <c r="A116" s="82" t="n"/>
      <c r="B116" s="82" t="n"/>
      <c r="C116" s="82" t="n"/>
      <c r="D116" s="82" t="n"/>
      <c r="E116" s="82" t="n"/>
      <c r="G116" s="82" t="n"/>
      <c r="H116" s="82" t="n"/>
      <c r="J116" s="82" t="n"/>
    </row>
    <row r="117">
      <c r="A117" s="82" t="n"/>
      <c r="B117" s="82" t="n"/>
      <c r="C117" s="82" t="n"/>
      <c r="D117" s="82" t="n"/>
      <c r="E117" s="82" t="n"/>
      <c r="G117" s="82" t="n"/>
      <c r="H117" s="82" t="n"/>
      <c r="J117" s="82" t="n"/>
    </row>
    <row r="118">
      <c r="A118" s="82" t="n"/>
      <c r="B118" s="82" t="n"/>
      <c r="C118" s="82" t="n"/>
      <c r="D118" s="82" t="n"/>
      <c r="E118" s="82" t="n"/>
      <c r="G118" s="82" t="n"/>
      <c r="H118" s="82" t="n"/>
      <c r="J118" s="82" t="n"/>
    </row>
    <row r="119">
      <c r="A119" s="82" t="n"/>
      <c r="B119" s="82" t="n"/>
      <c r="C119" s="82" t="n"/>
      <c r="D119" s="82" t="n"/>
      <c r="E119" s="82" t="n"/>
      <c r="G119" s="82" t="n"/>
      <c r="H119" s="82" t="n"/>
      <c r="J119" s="82" t="n"/>
    </row>
    <row r="120">
      <c r="A120" s="82" t="n"/>
      <c r="B120" s="82" t="n"/>
      <c r="C120" s="82" t="n"/>
      <c r="D120" s="82" t="n"/>
      <c r="E120" s="82" t="n"/>
      <c r="G120" s="82" t="n"/>
      <c r="H120" s="82" t="n"/>
      <c r="J120" s="82" t="n"/>
    </row>
    <row r="121">
      <c r="A121" s="82" t="n"/>
      <c r="B121" s="82" t="n"/>
      <c r="C121" s="82" t="n"/>
      <c r="D121" s="82" t="n"/>
      <c r="E121" s="82" t="n"/>
      <c r="G121" s="82" t="n"/>
      <c r="H121" s="82" t="n"/>
      <c r="J121" s="82" t="n"/>
    </row>
    <row r="122">
      <c r="A122" s="82" t="n"/>
      <c r="B122" s="82" t="n"/>
      <c r="C122" s="82" t="n"/>
      <c r="D122" s="82" t="n"/>
      <c r="E122" s="82" t="n"/>
      <c r="G122" s="82" t="n"/>
      <c r="H122" s="82" t="n"/>
      <c r="J122" s="82" t="n"/>
    </row>
    <row r="123">
      <c r="A123" s="82" t="n"/>
      <c r="B123" s="82" t="n"/>
      <c r="C123" s="82" t="n"/>
      <c r="D123" s="82" t="n"/>
      <c r="E123" s="82" t="n"/>
      <c r="G123" s="82" t="n"/>
      <c r="H123" s="82" t="n"/>
      <c r="J123" s="82" t="n"/>
    </row>
    <row r="124">
      <c r="A124" s="82" t="n"/>
      <c r="B124" s="82" t="n"/>
      <c r="C124" s="82" t="n"/>
      <c r="D124" s="82" t="n"/>
      <c r="E124" s="82" t="n"/>
      <c r="G124" s="82" t="n"/>
      <c r="H124" s="82" t="n"/>
      <c r="J124" s="82" t="n"/>
    </row>
    <row r="125">
      <c r="A125" s="82" t="n"/>
      <c r="B125" s="82" t="n"/>
      <c r="C125" s="82" t="n"/>
      <c r="D125" s="82" t="n"/>
      <c r="E125" s="82" t="n"/>
      <c r="G125" s="82" t="n"/>
      <c r="H125" s="82" t="n"/>
      <c r="J125" s="82" t="n"/>
    </row>
    <row r="126">
      <c r="A126" s="82" t="n"/>
      <c r="B126" s="82" t="n"/>
      <c r="C126" s="82" t="n"/>
      <c r="D126" s="82" t="n"/>
      <c r="E126" s="82" t="n"/>
      <c r="G126" s="82" t="n"/>
      <c r="H126" s="82" t="n"/>
      <c r="J126" s="82" t="n"/>
    </row>
    <row r="127">
      <c r="A127" s="82" t="n"/>
      <c r="B127" s="82" t="n"/>
      <c r="C127" s="82" t="n"/>
      <c r="D127" s="82" t="n"/>
      <c r="E127" s="82" t="n"/>
      <c r="G127" s="82" t="n"/>
      <c r="H127" s="82" t="n"/>
      <c r="J127" s="82" t="n"/>
    </row>
    <row r="128">
      <c r="A128" s="82" t="n"/>
      <c r="B128" s="82" t="n"/>
      <c r="C128" s="82" t="n"/>
      <c r="D128" s="82" t="n"/>
      <c r="E128" s="82" t="n"/>
      <c r="G128" s="82" t="n"/>
      <c r="H128" s="82" t="n"/>
      <c r="J128" s="82" t="n"/>
    </row>
    <row r="129">
      <c r="A129" s="82" t="n"/>
      <c r="B129" s="82" t="n"/>
      <c r="C129" s="82" t="n"/>
      <c r="D129" s="82" t="n"/>
      <c r="E129" s="82" t="n"/>
      <c r="G129" s="82" t="n"/>
      <c r="H129" s="82" t="n"/>
      <c r="J129" s="82" t="n"/>
    </row>
    <row r="130">
      <c r="A130" s="82" t="n"/>
      <c r="B130" s="82" t="n"/>
      <c r="C130" s="82" t="n"/>
      <c r="D130" s="82" t="n"/>
      <c r="E130" s="82" t="n"/>
      <c r="G130" s="82" t="n"/>
      <c r="H130" s="82" t="n"/>
      <c r="J130" s="82" t="n"/>
    </row>
    <row r="131">
      <c r="A131" s="82" t="n"/>
      <c r="B131" s="82" t="n"/>
      <c r="C131" s="82" t="n"/>
      <c r="D131" s="82" t="n"/>
      <c r="E131" s="82" t="n"/>
      <c r="G131" s="82" t="n"/>
      <c r="H131" s="82" t="n"/>
      <c r="J131" s="82" t="n"/>
    </row>
    <row r="132">
      <c r="A132" s="82" t="n"/>
      <c r="B132" s="82" t="n"/>
      <c r="C132" s="82" t="n"/>
      <c r="D132" s="82" t="n"/>
      <c r="E132" s="82" t="n"/>
      <c r="G132" s="82" t="n"/>
      <c r="H132" s="82" t="n"/>
      <c r="J132" s="82" t="n"/>
    </row>
    <row r="133">
      <c r="A133" s="82" t="n"/>
      <c r="B133" s="82" t="n"/>
      <c r="C133" s="82" t="n"/>
      <c r="D133" s="82" t="n"/>
      <c r="E133" s="82" t="n"/>
      <c r="G133" s="82" t="n"/>
      <c r="H133" s="82" t="n"/>
      <c r="J133" s="82" t="n"/>
    </row>
    <row r="134">
      <c r="A134" s="82" t="n"/>
      <c r="B134" s="82" t="n"/>
      <c r="C134" s="82" t="n"/>
      <c r="D134" s="82" t="n"/>
      <c r="E134" s="82" t="n"/>
      <c r="G134" s="82" t="n"/>
      <c r="H134" s="82" t="n"/>
      <c r="J134" s="82" t="n"/>
    </row>
    <row r="135">
      <c r="A135" s="82" t="n"/>
      <c r="B135" s="82" t="n"/>
      <c r="C135" s="82" t="n"/>
      <c r="D135" s="82" t="n"/>
      <c r="E135" s="82" t="n"/>
      <c r="G135" s="82" t="n"/>
      <c r="H135" s="82" t="n"/>
      <c r="J135" s="82" t="n"/>
    </row>
    <row r="136">
      <c r="A136" s="82" t="n"/>
      <c r="B136" s="82" t="n"/>
      <c r="C136" s="82" t="n"/>
      <c r="D136" s="82" t="n"/>
      <c r="E136" s="82" t="n"/>
      <c r="G136" s="82" t="n"/>
      <c r="H136" s="82" t="n"/>
      <c r="J136" s="82" t="n"/>
    </row>
    <row r="137">
      <c r="A137" s="82" t="n"/>
      <c r="B137" s="82" t="n"/>
      <c r="C137" s="82" t="n"/>
      <c r="D137" s="82" t="n"/>
      <c r="E137" s="82" t="n"/>
      <c r="G137" s="82" t="n"/>
      <c r="H137" s="82" t="n"/>
      <c r="J137" s="82" t="n"/>
    </row>
    <row r="138">
      <c r="A138" s="82" t="n"/>
      <c r="B138" s="82" t="n"/>
      <c r="C138" s="82" t="n"/>
      <c r="D138" s="82" t="n"/>
      <c r="E138" s="82" t="n"/>
      <c r="G138" s="82" t="n"/>
      <c r="H138" s="82" t="n"/>
      <c r="J138" s="82" t="n"/>
    </row>
    <row r="139">
      <c r="A139" s="82" t="n"/>
      <c r="B139" s="82" t="n"/>
      <c r="C139" s="82" t="n"/>
      <c r="D139" s="82" t="n"/>
      <c r="E139" s="82" t="n"/>
      <c r="G139" s="82" t="n"/>
      <c r="H139" s="82" t="n"/>
      <c r="J139" s="82" t="n"/>
    </row>
    <row r="140">
      <c r="A140" s="82" t="n"/>
      <c r="B140" s="82" t="n"/>
      <c r="C140" s="82" t="n"/>
      <c r="D140" s="82" t="n"/>
      <c r="E140" s="82" t="n"/>
      <c r="G140" s="82" t="n"/>
      <c r="H140" s="82" t="n"/>
      <c r="J140" s="82" t="n"/>
    </row>
    <row r="141">
      <c r="A141" s="82" t="n"/>
      <c r="B141" s="82" t="n"/>
      <c r="C141" s="82" t="n"/>
      <c r="D141" s="82" t="n"/>
      <c r="E141" s="82" t="n"/>
      <c r="G141" s="82" t="n"/>
      <c r="H141" s="82" t="n"/>
      <c r="J141" s="82" t="n"/>
    </row>
    <row r="142">
      <c r="A142" s="82" t="n"/>
      <c r="B142" s="82" t="n"/>
      <c r="C142" s="82" t="n"/>
      <c r="D142" s="82" t="n"/>
      <c r="E142" s="82" t="n"/>
      <c r="G142" s="82" t="n"/>
      <c r="H142" s="82" t="n"/>
      <c r="J142" s="82" t="n"/>
    </row>
    <row r="143">
      <c r="A143" s="82" t="n"/>
      <c r="B143" s="82" t="n"/>
      <c r="C143" s="82" t="n"/>
      <c r="D143" s="82" t="n"/>
      <c r="E143" s="82" t="n"/>
      <c r="G143" s="82" t="n"/>
      <c r="H143" s="82" t="n"/>
      <c r="J143" s="82" t="n"/>
    </row>
    <row r="144">
      <c r="A144" s="82" t="n"/>
      <c r="B144" s="82" t="n"/>
      <c r="C144" s="82" t="n"/>
      <c r="D144" s="82" t="n"/>
      <c r="E144" s="82" t="n"/>
      <c r="G144" s="82" t="n"/>
      <c r="H144" s="82" t="n"/>
      <c r="J144" s="82" t="n"/>
    </row>
    <row r="145">
      <c r="A145" s="82" t="n"/>
      <c r="B145" s="82" t="n"/>
      <c r="C145" s="82" t="n"/>
      <c r="D145" s="82" t="n"/>
      <c r="E145" s="82" t="n"/>
      <c r="G145" s="82" t="n"/>
      <c r="H145" s="82" t="n"/>
      <c r="J145" s="82" t="n"/>
    </row>
    <row r="146">
      <c r="A146" s="82" t="n"/>
      <c r="B146" s="82" t="n"/>
      <c r="C146" s="82" t="n"/>
      <c r="D146" s="82" t="n"/>
      <c r="E146" s="82" t="n"/>
      <c r="G146" s="82" t="n"/>
      <c r="H146" s="82" t="n"/>
      <c r="J146" s="82" t="n"/>
    </row>
    <row r="147">
      <c r="A147" s="82" t="n"/>
      <c r="B147" s="82" t="n"/>
      <c r="C147" s="82" t="n"/>
      <c r="D147" s="82" t="n"/>
      <c r="E147" s="82" t="n"/>
      <c r="G147" s="82" t="n"/>
      <c r="H147" s="82" t="n"/>
      <c r="J147" s="82" t="n"/>
    </row>
    <row r="148">
      <c r="A148" s="82" t="n"/>
      <c r="B148" s="82" t="n"/>
      <c r="C148" s="82" t="n"/>
      <c r="D148" s="82" t="n"/>
      <c r="E148" s="82" t="n"/>
      <c r="G148" s="82" t="n"/>
      <c r="H148" s="82" t="n"/>
      <c r="J148" s="82" t="n"/>
    </row>
    <row r="149">
      <c r="A149" s="82" t="n"/>
      <c r="B149" s="82" t="n"/>
      <c r="C149" s="82" t="n"/>
      <c r="D149" s="82" t="n"/>
      <c r="E149" s="82" t="n"/>
      <c r="G149" s="82" t="n"/>
      <c r="H149" s="82" t="n"/>
      <c r="J149" s="82" t="n"/>
    </row>
    <row r="150">
      <c r="A150" s="82" t="n"/>
      <c r="B150" s="82" t="n"/>
      <c r="C150" s="82" t="n"/>
      <c r="D150" s="82" t="n"/>
      <c r="E150" s="82" t="n"/>
      <c r="G150" s="82" t="n"/>
      <c r="H150" s="82" t="n"/>
      <c r="J150" s="82" t="n"/>
    </row>
    <row r="151">
      <c r="A151" s="82" t="n"/>
      <c r="B151" s="82" t="n"/>
      <c r="C151" s="82" t="n"/>
      <c r="D151" s="82" t="n"/>
      <c r="E151" s="82" t="n"/>
      <c r="G151" s="82" t="n"/>
      <c r="H151" s="82" t="n"/>
      <c r="J151" s="82" t="n"/>
    </row>
    <row r="152">
      <c r="A152" s="82" t="n"/>
      <c r="B152" s="82" t="n"/>
      <c r="C152" s="82" t="n"/>
      <c r="D152" s="82" t="n"/>
      <c r="E152" s="82" t="n"/>
      <c r="G152" s="82" t="n"/>
      <c r="H152" s="82" t="n"/>
      <c r="J152" s="82" t="n"/>
    </row>
    <row r="153">
      <c r="A153" s="82" t="n"/>
      <c r="B153" s="82" t="n"/>
      <c r="C153" s="82" t="n"/>
      <c r="D153" s="82" t="n"/>
      <c r="E153" s="82" t="n"/>
      <c r="G153" s="82" t="n"/>
      <c r="H153" s="82" t="n"/>
      <c r="J153" s="82" t="n"/>
    </row>
    <row r="154">
      <c r="A154" s="82" t="n"/>
      <c r="B154" s="82" t="n"/>
      <c r="C154" s="82" t="n"/>
      <c r="D154" s="82" t="n"/>
      <c r="E154" s="82" t="n"/>
      <c r="G154" s="82" t="n"/>
      <c r="H154" s="82" t="n"/>
      <c r="J154" s="82" t="n"/>
    </row>
    <row r="155">
      <c r="A155" s="82" t="n"/>
      <c r="B155" s="82" t="n"/>
      <c r="C155" s="82" t="n"/>
      <c r="D155" s="82" t="n"/>
      <c r="E155" s="82" t="n"/>
      <c r="G155" s="82" t="n"/>
      <c r="H155" s="82" t="n"/>
      <c r="J155" s="82" t="n"/>
    </row>
    <row r="156">
      <c r="A156" s="82" t="n"/>
      <c r="B156" s="82" t="n"/>
      <c r="C156" s="82" t="n"/>
      <c r="D156" s="82" t="n"/>
      <c r="E156" s="82" t="n"/>
      <c r="G156" s="82" t="n"/>
      <c r="H156" s="82" t="n"/>
      <c r="J156" s="82" t="n"/>
    </row>
    <row r="157">
      <c r="A157" s="82" t="n"/>
      <c r="B157" s="82" t="n"/>
      <c r="C157" s="82" t="n"/>
      <c r="D157" s="82" t="n"/>
      <c r="E157" s="82" t="n"/>
      <c r="G157" s="82" t="n"/>
      <c r="H157" s="82" t="n"/>
      <c r="J157" s="82" t="n"/>
    </row>
    <row r="158">
      <c r="A158" s="82" t="n"/>
      <c r="B158" s="82" t="n"/>
      <c r="C158" s="82" t="n"/>
      <c r="D158" s="82" t="n"/>
      <c r="E158" s="82" t="n"/>
      <c r="G158" s="82" t="n"/>
      <c r="H158" s="82" t="n"/>
      <c r="J158" s="82" t="n"/>
    </row>
    <row r="159">
      <c r="A159" s="82" t="n"/>
      <c r="B159" s="82" t="n"/>
      <c r="C159" s="82" t="n"/>
      <c r="D159" s="82" t="n"/>
      <c r="E159" s="82" t="n"/>
      <c r="G159" s="82" t="n"/>
      <c r="H159" s="82" t="n"/>
      <c r="J159" s="82" t="n"/>
    </row>
    <row r="160">
      <c r="A160" s="82" t="n"/>
      <c r="B160" s="82" t="n"/>
      <c r="C160" s="82" t="n"/>
      <c r="D160" s="82" t="n"/>
      <c r="E160" s="82" t="n"/>
      <c r="G160" s="82" t="n"/>
      <c r="H160" s="82" t="n"/>
      <c r="J160" s="82" t="n"/>
    </row>
    <row r="161">
      <c r="A161" s="82" t="n"/>
      <c r="B161" s="82" t="n"/>
      <c r="C161" s="82" t="n"/>
      <c r="D161" s="82" t="n"/>
      <c r="E161" s="82" t="n"/>
      <c r="G161" s="82" t="n"/>
      <c r="H161" s="82" t="n"/>
      <c r="J161" s="82" t="n"/>
    </row>
    <row r="162">
      <c r="A162" s="82" t="n"/>
      <c r="B162" s="82" t="n"/>
      <c r="C162" s="82" t="n"/>
      <c r="D162" s="82" t="n"/>
      <c r="E162" s="82" t="n"/>
      <c r="G162" s="82" t="n"/>
      <c r="H162" s="82" t="n"/>
      <c r="J162" s="82" t="n"/>
    </row>
    <row r="163">
      <c r="A163" s="82" t="n"/>
      <c r="B163" s="82" t="n"/>
      <c r="C163" s="82" t="n"/>
      <c r="D163" s="82" t="n"/>
      <c r="E163" s="82" t="n"/>
      <c r="G163" s="82" t="n"/>
      <c r="H163" s="82" t="n"/>
      <c r="J163" s="82" t="n"/>
    </row>
    <row r="164">
      <c r="A164" s="82" t="n"/>
      <c r="B164" s="82" t="n"/>
      <c r="C164" s="82" t="n"/>
      <c r="D164" s="82" t="n"/>
      <c r="E164" s="82" t="n"/>
      <c r="G164" s="82" t="n"/>
      <c r="H164" s="82" t="n"/>
      <c r="J164" s="82" t="n"/>
    </row>
    <row r="165">
      <c r="A165" s="82" t="n"/>
      <c r="B165" s="82" t="n"/>
      <c r="C165" s="82" t="n"/>
      <c r="D165" s="82" t="n"/>
      <c r="E165" s="82" t="n"/>
      <c r="G165" s="82" t="n"/>
      <c r="H165" s="82" t="n"/>
      <c r="J165" s="82" t="n"/>
    </row>
    <row r="166">
      <c r="A166" s="82" t="n"/>
      <c r="B166" s="82" t="n"/>
      <c r="C166" s="82" t="n"/>
      <c r="D166" s="82" t="n"/>
      <c r="E166" s="82" t="n"/>
      <c r="G166" s="82" t="n"/>
      <c r="H166" s="82" t="n"/>
      <c r="J166" s="82" t="n"/>
    </row>
    <row r="167">
      <c r="A167" s="82" t="n"/>
      <c r="B167" s="82" t="n"/>
      <c r="C167" s="82" t="n"/>
      <c r="D167" s="82" t="n"/>
      <c r="E167" s="82" t="n"/>
      <c r="G167" s="82" t="n"/>
      <c r="H167" s="82" t="n"/>
      <c r="J167" s="82" t="n"/>
    </row>
    <row r="168">
      <c r="A168" s="82" t="n"/>
      <c r="B168" s="82" t="n"/>
      <c r="C168" s="82" t="n"/>
      <c r="D168" s="82" t="n"/>
      <c r="E168" s="82" t="n"/>
      <c r="G168" s="82" t="n"/>
      <c r="H168" s="82" t="n"/>
      <c r="J168" s="82" t="n"/>
    </row>
    <row r="169">
      <c r="A169" s="82" t="n"/>
      <c r="B169" s="82" t="n"/>
      <c r="C169" s="82" t="n"/>
      <c r="D169" s="82" t="n"/>
      <c r="E169" s="82" t="n"/>
      <c r="G169" s="82" t="n"/>
      <c r="H169" s="82" t="n"/>
      <c r="J169" s="82" t="n"/>
    </row>
    <row r="170">
      <c r="A170" s="82" t="n"/>
      <c r="B170" s="82" t="n"/>
      <c r="C170" s="82" t="n"/>
      <c r="D170" s="82" t="n"/>
      <c r="E170" s="82" t="n"/>
      <c r="G170" s="82" t="n"/>
      <c r="H170" s="82" t="n"/>
      <c r="J170" s="82" t="n"/>
    </row>
    <row r="171">
      <c r="A171" s="82" t="n"/>
      <c r="B171" s="82" t="n"/>
      <c r="C171" s="82" t="n"/>
      <c r="D171" s="82" t="n"/>
      <c r="E171" s="82" t="n"/>
      <c r="G171" s="82" t="n"/>
      <c r="H171" s="82" t="n"/>
      <c r="J171" s="82" t="n"/>
    </row>
    <row r="172">
      <c r="A172" s="82" t="n"/>
      <c r="B172" s="82" t="n"/>
      <c r="C172" s="82" t="n"/>
      <c r="D172" s="82" t="n"/>
      <c r="E172" s="82" t="n"/>
      <c r="G172" s="82" t="n"/>
      <c r="H172" s="82" t="n"/>
      <c r="J172" s="82" t="n"/>
    </row>
    <row r="173">
      <c r="A173" s="82" t="n"/>
      <c r="B173" s="82" t="n"/>
      <c r="C173" s="82" t="n"/>
      <c r="D173" s="82" t="n"/>
      <c r="E173" s="82" t="n"/>
      <c r="G173" s="82" t="n"/>
      <c r="H173" s="82" t="n"/>
      <c r="J173" s="82" t="n"/>
    </row>
    <row r="174">
      <c r="A174" s="82" t="n"/>
      <c r="B174" s="82" t="n"/>
      <c r="C174" s="82" t="n"/>
      <c r="D174" s="82" t="n"/>
      <c r="E174" s="82" t="n"/>
      <c r="G174" s="82" t="n"/>
      <c r="H174" s="82" t="n"/>
      <c r="J174" s="82" t="n"/>
    </row>
    <row r="175">
      <c r="A175" s="82" t="n"/>
      <c r="B175" s="82" t="n"/>
      <c r="C175" s="82" t="n"/>
      <c r="D175" s="82" t="n"/>
      <c r="E175" s="82" t="n"/>
      <c r="G175" s="82" t="n"/>
      <c r="H175" s="82" t="n"/>
      <c r="J175" s="82" t="n"/>
    </row>
    <row r="176">
      <c r="A176" s="82" t="n"/>
      <c r="B176" s="82" t="n"/>
      <c r="C176" s="82" t="n"/>
      <c r="D176" s="82" t="n"/>
      <c r="E176" s="82" t="n"/>
      <c r="G176" s="82" t="n"/>
      <c r="H176" s="82" t="n"/>
      <c r="J176" s="82" t="n"/>
    </row>
    <row r="177">
      <c r="A177" s="82" t="n"/>
      <c r="B177" s="82" t="n"/>
      <c r="C177" s="82" t="n"/>
      <c r="D177" s="82" t="n"/>
      <c r="E177" s="82" t="n"/>
      <c r="G177" s="82" t="n"/>
      <c r="H177" s="82" t="n"/>
      <c r="J177" s="82" t="n"/>
    </row>
    <row r="178">
      <c r="A178" s="82" t="n"/>
      <c r="B178" s="82" t="n"/>
      <c r="C178" s="82" t="n"/>
      <c r="D178" s="82" t="n"/>
      <c r="E178" s="82" t="n"/>
      <c r="G178" s="82" t="n"/>
      <c r="H178" s="82" t="n"/>
      <c r="J178" s="82" t="n"/>
    </row>
    <row r="179">
      <c r="A179" s="82" t="n"/>
      <c r="B179" s="82" t="n"/>
      <c r="C179" s="82" t="n"/>
      <c r="D179" s="82" t="n"/>
      <c r="E179" s="82" t="n"/>
      <c r="G179" s="82" t="n"/>
      <c r="H179" s="82" t="n"/>
      <c r="J179" s="82" t="n"/>
    </row>
    <row r="180">
      <c r="A180" s="82" t="n"/>
      <c r="B180" s="82" t="n"/>
      <c r="C180" s="82" t="n"/>
      <c r="D180" s="82" t="n"/>
      <c r="E180" s="82" t="n"/>
      <c r="G180" s="82" t="n"/>
      <c r="H180" s="82" t="n"/>
      <c r="J180" s="82" t="n"/>
    </row>
    <row r="181">
      <c r="A181" s="82" t="n"/>
      <c r="B181" s="82" t="n"/>
      <c r="C181" s="82" t="n"/>
      <c r="D181" s="82" t="n"/>
      <c r="E181" s="82" t="n"/>
      <c r="G181" s="82" t="n"/>
      <c r="H181" s="82" t="n"/>
      <c r="J181" s="82" t="n"/>
    </row>
    <row r="182">
      <c r="A182" s="82" t="n"/>
      <c r="B182" s="82" t="n"/>
      <c r="C182" s="82" t="n"/>
      <c r="D182" s="82" t="n"/>
      <c r="E182" s="82" t="n"/>
      <c r="G182" s="82" t="n"/>
      <c r="H182" s="82" t="n"/>
      <c r="J182" s="82" t="n"/>
    </row>
    <row r="183">
      <c r="A183" s="82" t="n"/>
      <c r="B183" s="82" t="n"/>
      <c r="C183" s="82" t="n"/>
      <c r="D183" s="82" t="n"/>
      <c r="E183" s="82" t="n"/>
      <c r="G183" s="82" t="n"/>
      <c r="H183" s="82" t="n"/>
      <c r="J183" s="82" t="n"/>
    </row>
    <row r="184">
      <c r="A184" s="82" t="n"/>
      <c r="B184" s="82" t="n"/>
      <c r="C184" s="82" t="n"/>
      <c r="D184" s="82" t="n"/>
      <c r="E184" s="82" t="n"/>
      <c r="G184" s="82" t="n"/>
      <c r="H184" s="82" t="n"/>
      <c r="J184" s="82" t="n"/>
    </row>
    <row r="185">
      <c r="A185" s="82" t="n"/>
      <c r="B185" s="82" t="n"/>
      <c r="C185" s="82" t="n"/>
      <c r="D185" s="82" t="n"/>
      <c r="E185" s="82" t="n"/>
      <c r="G185" s="82" t="n"/>
      <c r="H185" s="82" t="n"/>
      <c r="J185" s="82" t="n"/>
    </row>
    <row r="186">
      <c r="A186" s="82" t="n"/>
      <c r="B186" s="82" t="n"/>
      <c r="C186" s="82" t="n"/>
      <c r="D186" s="82" t="n"/>
      <c r="E186" s="82" t="n"/>
      <c r="G186" s="82" t="n"/>
      <c r="H186" s="82" t="n"/>
      <c r="J186" s="82" t="n"/>
    </row>
    <row r="187">
      <c r="A187" s="82" t="n"/>
      <c r="B187" s="82" t="n"/>
      <c r="C187" s="82" t="n"/>
      <c r="D187" s="82" t="n"/>
      <c r="E187" s="82" t="n"/>
      <c r="G187" s="82" t="n"/>
      <c r="H187" s="82" t="n"/>
      <c r="J187" s="82" t="n"/>
    </row>
    <row r="188">
      <c r="A188" s="82" t="n"/>
      <c r="B188" s="82" t="n"/>
      <c r="C188" s="82" t="n"/>
      <c r="D188" s="82" t="n"/>
      <c r="E188" s="82" t="n"/>
      <c r="G188" s="82" t="n"/>
      <c r="H188" s="82" t="n"/>
      <c r="J188" s="82" t="n"/>
    </row>
    <row r="189">
      <c r="A189" s="82" t="n"/>
      <c r="B189" s="82" t="n"/>
      <c r="C189" s="82" t="n"/>
      <c r="D189" s="82" t="n"/>
      <c r="E189" s="82" t="n"/>
      <c r="G189" s="82" t="n"/>
      <c r="H189" s="82" t="n"/>
      <c r="J189" s="82" t="n"/>
    </row>
    <row r="190">
      <c r="A190" s="82" t="n"/>
      <c r="B190" s="82" t="n"/>
      <c r="C190" s="82" t="n"/>
      <c r="D190" s="82" t="n"/>
      <c r="E190" s="82" t="n"/>
      <c r="G190" s="82" t="n"/>
      <c r="H190" s="82" t="n"/>
      <c r="J190" s="82" t="n"/>
    </row>
    <row r="191">
      <c r="A191" s="82" t="n"/>
      <c r="B191" s="82" t="n"/>
      <c r="C191" s="82" t="n"/>
      <c r="D191" s="82" t="n"/>
      <c r="E191" s="82" t="n"/>
      <c r="G191" s="82" t="n"/>
      <c r="H191" s="82" t="n"/>
      <c r="J191" s="82" t="n"/>
    </row>
    <row r="192">
      <c r="A192" s="82" t="n"/>
      <c r="B192" s="82" t="n"/>
      <c r="C192" s="82" t="n"/>
      <c r="D192" s="82" t="n"/>
      <c r="E192" s="82" t="n"/>
      <c r="G192" s="82" t="n"/>
      <c r="H192" s="82" t="n"/>
      <c r="J192" s="82" t="n"/>
    </row>
    <row r="193">
      <c r="A193" s="82" t="n"/>
      <c r="B193" s="82" t="n"/>
      <c r="C193" s="82" t="n"/>
      <c r="D193" s="82" t="n"/>
      <c r="E193" s="82" t="n"/>
      <c r="G193" s="82" t="n"/>
      <c r="H193" s="82" t="n"/>
      <c r="J193" s="82" t="n"/>
    </row>
    <row r="194">
      <c r="A194" s="82" t="n"/>
      <c r="B194" s="82" t="n"/>
      <c r="C194" s="82" t="n"/>
      <c r="D194" s="82" t="n"/>
      <c r="E194" s="82" t="n"/>
      <c r="G194" s="82" t="n"/>
      <c r="H194" s="82" t="n"/>
      <c r="J194" s="82" t="n"/>
    </row>
    <row r="195">
      <c r="A195" s="82" t="n"/>
      <c r="B195" s="82" t="n"/>
      <c r="C195" s="82" t="n"/>
      <c r="D195" s="82" t="n"/>
      <c r="E195" s="82" t="n"/>
      <c r="G195" s="82" t="n"/>
      <c r="H195" s="82" t="n"/>
      <c r="J195" s="82" t="n"/>
    </row>
    <row r="196">
      <c r="A196" s="82" t="n"/>
      <c r="B196" s="82" t="n"/>
      <c r="C196" s="82" t="n"/>
      <c r="D196" s="82" t="n"/>
      <c r="E196" s="82" t="n"/>
      <c r="G196" s="82" t="n"/>
      <c r="H196" s="82" t="n"/>
      <c r="J196" s="82" t="n"/>
    </row>
    <row r="197">
      <c r="A197" s="82" t="n"/>
      <c r="B197" s="82" t="n"/>
      <c r="C197" s="82" t="n"/>
      <c r="D197" s="82" t="n"/>
      <c r="E197" s="82" t="n"/>
      <c r="G197" s="82" t="n"/>
      <c r="H197" s="82" t="n"/>
      <c r="J197" s="82" t="n"/>
    </row>
    <row r="198">
      <c r="A198" s="82" t="n"/>
      <c r="B198" s="82" t="n"/>
      <c r="C198" s="82" t="n"/>
      <c r="D198" s="82" t="n"/>
      <c r="E198" s="82" t="n"/>
      <c r="G198" s="82" t="n"/>
      <c r="H198" s="82" t="n"/>
      <c r="J198" s="82" t="n"/>
    </row>
    <row r="199">
      <c r="A199" s="82" t="n"/>
      <c r="B199" s="82" t="n"/>
      <c r="C199" s="82" t="n"/>
      <c r="D199" s="82" t="n"/>
      <c r="E199" s="82" t="n"/>
      <c r="G199" s="82" t="n"/>
      <c r="H199" s="82" t="n"/>
      <c r="J199" s="82" t="n"/>
    </row>
    <row r="200">
      <c r="A200" s="82" t="n"/>
      <c r="B200" s="82" t="n"/>
      <c r="C200" s="82" t="n"/>
      <c r="D200" s="82" t="n"/>
      <c r="E200" s="82" t="n"/>
      <c r="G200" s="82" t="n"/>
      <c r="H200" s="82" t="n"/>
      <c r="J200" s="82" t="n"/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autoFilter ref="A4:I21"/>
  <mergeCells count="3">
    <mergeCell ref="A1:I1"/>
    <mergeCell ref="K3:AX3"/>
    <mergeCell ref="A2:I2"/>
  </mergeCells>
  <conditionalFormatting sqref="G5:G80">
    <cfRule type="expression" priority="1" dxfId="8">
      <formula>G5="To Do"</formula>
    </cfRule>
    <cfRule type="expression" priority="2" dxfId="2">
      <formula>G5="Scheduled"</formula>
    </cfRule>
    <cfRule type="expression" priority="3" dxfId="9">
      <formula>G5="In Progress"</formula>
    </cfRule>
    <cfRule type="expression" priority="4" dxfId="0">
      <formula>G5="Completed"</formula>
    </cfRule>
  </conditionalFormatting>
  <conditionalFormatting sqref="K5:AX21">
    <cfRule type="expression" priority="5" dxfId="10">
      <formula>K5="D"</formula>
    </cfRule>
    <cfRule type="expression" priority="6" dxfId="11">
      <formula>K5="N"</formula>
    </cfRule>
    <cfRule type="expression" priority="7" dxfId="12">
      <formula>K5="P"</formula>
    </cfRule>
  </conditionalFormatting>
  <conditionalFormatting sqref="K4">
    <cfRule type="expression" priority="8" dxfId="13">
      <formula>AND(K4&lt;=AsOfDate,K4+6&gt;=AsOfDate)</formula>
    </cfRule>
  </conditionalFormatting>
  <conditionalFormatting sqref="L4">
    <cfRule type="expression" priority="9" dxfId="13">
      <formula>AND(L4&lt;=AsOfDate,L4+6&gt;=AsOfDate)</formula>
    </cfRule>
  </conditionalFormatting>
  <conditionalFormatting sqref="M4">
    <cfRule type="expression" priority="10" dxfId="13">
      <formula>AND(M4&lt;=AsOfDate,M4+6&gt;=AsOfDate)</formula>
    </cfRule>
  </conditionalFormatting>
  <conditionalFormatting sqref="N4">
    <cfRule type="expression" priority="11" dxfId="13">
      <formula>AND(N4&lt;=AsOfDate,N4+6&gt;=AsOfDate)</formula>
    </cfRule>
  </conditionalFormatting>
  <conditionalFormatting sqref="O4">
    <cfRule type="expression" priority="12" dxfId="13">
      <formula>AND(O4&lt;=AsOfDate,O4+6&gt;=AsOfDate)</formula>
    </cfRule>
  </conditionalFormatting>
  <conditionalFormatting sqref="P4">
    <cfRule type="expression" priority="13" dxfId="13">
      <formula>AND(P4&lt;=AsOfDate,P4+6&gt;=AsOfDate)</formula>
    </cfRule>
  </conditionalFormatting>
  <conditionalFormatting sqref="Q4">
    <cfRule type="expression" priority="14" dxfId="13">
      <formula>AND(Q4&lt;=AsOfDate,Q4+6&gt;=AsOfDate)</formula>
    </cfRule>
  </conditionalFormatting>
  <conditionalFormatting sqref="R4">
    <cfRule type="expression" priority="15" dxfId="13">
      <formula>AND(R4&lt;=AsOfDate,R4+6&gt;=AsOfDate)</formula>
    </cfRule>
  </conditionalFormatting>
  <conditionalFormatting sqref="S4">
    <cfRule type="expression" priority="16" dxfId="13">
      <formula>AND(S4&lt;=AsOfDate,S4+6&gt;=AsOfDate)</formula>
    </cfRule>
  </conditionalFormatting>
  <conditionalFormatting sqref="T4">
    <cfRule type="expression" priority="17" dxfId="13">
      <formula>AND(T4&lt;=AsOfDate,T4+6&gt;=AsOfDate)</formula>
    </cfRule>
  </conditionalFormatting>
  <conditionalFormatting sqref="U4">
    <cfRule type="expression" priority="18" dxfId="13">
      <formula>AND(U4&lt;=AsOfDate,U4+6&gt;=AsOfDate)</formula>
    </cfRule>
  </conditionalFormatting>
  <conditionalFormatting sqref="V4">
    <cfRule type="expression" priority="19" dxfId="13">
      <formula>AND(V4&lt;=AsOfDate,V4+6&gt;=AsOfDate)</formula>
    </cfRule>
  </conditionalFormatting>
  <conditionalFormatting sqref="W4">
    <cfRule type="expression" priority="20" dxfId="13">
      <formula>AND(W4&lt;=AsOfDate,W4+6&gt;=AsOfDate)</formula>
    </cfRule>
  </conditionalFormatting>
  <conditionalFormatting sqref="X4">
    <cfRule type="expression" priority="21" dxfId="13">
      <formula>AND(X4&lt;=AsOfDate,X4+6&gt;=AsOfDate)</formula>
    </cfRule>
  </conditionalFormatting>
  <conditionalFormatting sqref="Y4">
    <cfRule type="expression" priority="22" dxfId="13">
      <formula>AND(Y4&lt;=AsOfDate,Y4+6&gt;=AsOfDate)</formula>
    </cfRule>
  </conditionalFormatting>
  <conditionalFormatting sqref="Z4">
    <cfRule type="expression" priority="23" dxfId="13">
      <formula>AND(Z4&lt;=AsOfDate,Z4+6&gt;=AsOfDate)</formula>
    </cfRule>
  </conditionalFormatting>
  <conditionalFormatting sqref="AA4">
    <cfRule type="expression" priority="24" dxfId="13">
      <formula>AND(AA4&lt;=AsOfDate,AA4+6&gt;=AsOfDate)</formula>
    </cfRule>
  </conditionalFormatting>
  <conditionalFormatting sqref="AB4">
    <cfRule type="expression" priority="25" dxfId="13">
      <formula>AND(AB4&lt;=AsOfDate,AB4+6&gt;=AsOfDate)</formula>
    </cfRule>
  </conditionalFormatting>
  <conditionalFormatting sqref="AC4">
    <cfRule type="expression" priority="26" dxfId="13">
      <formula>AND(AC4&lt;=AsOfDate,AC4+6&gt;=AsOfDate)</formula>
    </cfRule>
  </conditionalFormatting>
  <conditionalFormatting sqref="AD4">
    <cfRule type="expression" priority="27" dxfId="13">
      <formula>AND(AD4&lt;=AsOfDate,AD4+6&gt;=AsOfDate)</formula>
    </cfRule>
  </conditionalFormatting>
  <conditionalFormatting sqref="AE4">
    <cfRule type="expression" priority="28" dxfId="13">
      <formula>AND(AE4&lt;=AsOfDate,AE4+6&gt;=AsOfDate)</formula>
    </cfRule>
  </conditionalFormatting>
  <conditionalFormatting sqref="AF4">
    <cfRule type="expression" priority="29" dxfId="13">
      <formula>AND(AF4&lt;=AsOfDate,AF4+6&gt;=AsOfDate)</formula>
    </cfRule>
  </conditionalFormatting>
  <conditionalFormatting sqref="AG4">
    <cfRule type="expression" priority="30" dxfId="13">
      <formula>AND(AG4&lt;=AsOfDate,AG4+6&gt;=AsOfDate)</formula>
    </cfRule>
  </conditionalFormatting>
  <conditionalFormatting sqref="AH4">
    <cfRule type="expression" priority="31" dxfId="13">
      <formula>AND(AH4&lt;=AsOfDate,AH4+6&gt;=AsOfDate)</formula>
    </cfRule>
  </conditionalFormatting>
  <conditionalFormatting sqref="AI4">
    <cfRule type="expression" priority="32" dxfId="13">
      <formula>AND(AI4&lt;=AsOfDate,AI4+6&gt;=AsOfDate)</formula>
    </cfRule>
  </conditionalFormatting>
  <conditionalFormatting sqref="AJ4">
    <cfRule type="expression" priority="33" dxfId="13">
      <formula>AND(AJ4&lt;=AsOfDate,AJ4+6&gt;=AsOfDate)</formula>
    </cfRule>
  </conditionalFormatting>
  <conditionalFormatting sqref="AK4">
    <cfRule type="expression" priority="34" dxfId="13">
      <formula>AND(AK4&lt;=AsOfDate,AK4+6&gt;=AsOfDate)</formula>
    </cfRule>
  </conditionalFormatting>
  <conditionalFormatting sqref="AL4">
    <cfRule type="expression" priority="35" dxfId="13">
      <formula>AND(AL4&lt;=AsOfDate,AL4+6&gt;=AsOfDate)</formula>
    </cfRule>
  </conditionalFormatting>
  <conditionalFormatting sqref="AM4">
    <cfRule type="expression" priority="36" dxfId="13">
      <formula>AND(AM4&lt;=AsOfDate,AM4+6&gt;=AsOfDate)</formula>
    </cfRule>
  </conditionalFormatting>
  <conditionalFormatting sqref="AN4">
    <cfRule type="expression" priority="37" dxfId="13">
      <formula>AND(AN4&lt;=AsOfDate,AN4+6&gt;=AsOfDate)</formula>
    </cfRule>
  </conditionalFormatting>
  <conditionalFormatting sqref="AO4">
    <cfRule type="expression" priority="38" dxfId="13">
      <formula>AND(AO4&lt;=AsOfDate,AO4+6&gt;=AsOfDate)</formula>
    </cfRule>
  </conditionalFormatting>
  <conditionalFormatting sqref="AP4">
    <cfRule type="expression" priority="39" dxfId="13">
      <formula>AND(AP4&lt;=AsOfDate,AP4+6&gt;=AsOfDate)</formula>
    </cfRule>
  </conditionalFormatting>
  <conditionalFormatting sqref="AQ4">
    <cfRule type="expression" priority="40" dxfId="13">
      <formula>AND(AQ4&lt;=AsOfDate,AQ4+6&gt;=AsOfDate)</formula>
    </cfRule>
  </conditionalFormatting>
  <conditionalFormatting sqref="AR4">
    <cfRule type="expression" priority="41" dxfId="13">
      <formula>AND(AR4&lt;=AsOfDate,AR4+6&gt;=AsOfDate)</formula>
    </cfRule>
  </conditionalFormatting>
  <conditionalFormatting sqref="AS4">
    <cfRule type="expression" priority="42" dxfId="13">
      <formula>AND(AS4&lt;=AsOfDate,AS4+6&gt;=AsOfDate)</formula>
    </cfRule>
  </conditionalFormatting>
  <conditionalFormatting sqref="AT4">
    <cfRule type="expression" priority="43" dxfId="13">
      <formula>AND(AT4&lt;=AsOfDate,AT4+6&gt;=AsOfDate)</formula>
    </cfRule>
  </conditionalFormatting>
  <conditionalFormatting sqref="AU4">
    <cfRule type="expression" priority="44" dxfId="13">
      <formula>AND(AU4&lt;=AsOfDate,AU4+6&gt;=AsOfDate)</formula>
    </cfRule>
  </conditionalFormatting>
  <conditionalFormatting sqref="AV4">
    <cfRule type="expression" priority="45" dxfId="13">
      <formula>AND(AV4&lt;=AsOfDate,AV4+6&gt;=AsOfDate)</formula>
    </cfRule>
  </conditionalFormatting>
  <conditionalFormatting sqref="AW4">
    <cfRule type="expression" priority="46" dxfId="13">
      <formula>AND(AW4&lt;=AsOfDate,AW4+6&gt;=AsOfDate)</formula>
    </cfRule>
  </conditionalFormatting>
  <conditionalFormatting sqref="AX4">
    <cfRule type="expression" priority="47" dxfId="13">
      <formula>AND(AX4&lt;=AsOfDate,AX4+6&gt;=AsOfDate)</formula>
    </cfRule>
  </conditionalFormatting>
  <dataValidations count="1">
    <dataValidation sqref="G5:G80" showDropDown="0" showInputMessage="0" showErrorMessage="1" allowBlank="1" errorTitle="Invalid value" error="Pick a value from the list." type="list">
      <formula1>=Task_Status</formula1>
    </dataValidation>
  </dataValidations>
  <pageMargins left="0.4" right="0.4" top="0.6" bottom="0.5" header="0.25" footer="0.25"/>
  <pageSetup orientation="landscape" paperSize="3" fitToHeight="0" fitToWidth="1"/>
  <headerFooter>
    <oddHeader>&amp;LNovality Store  ·  Home Renovation System&amp;RTimeline</oddHeader>
    <oddFooter>&amp;LConfidential  ·  Digital twin of the home&amp;RPage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D99A3D"/>
    <outlinePr summaryBelow="1" summaryRight="1"/>
    <pageSetUpPr fitToPage="1"/>
  </sheetPr>
  <dimension ref="A1:V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8" customWidth="1" min="4" max="4"/>
    <col width="16" customWidth="1" min="5" max="5"/>
    <col width="14" customWidth="1" min="6" max="6"/>
    <col width="12" customWidth="1" min="7" max="7"/>
    <col width="12" customWidth="1" min="8" max="8"/>
    <col width="8" customWidth="1" min="9" max="9"/>
    <col width="12" customWidth="1" min="10" max="10"/>
    <col width="12" customWidth="1" min="11" max="11"/>
    <col width="2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12" customWidth="1" min="19" max="19"/>
    <col width="12" customWidth="1" min="20" max="20"/>
    <col width="14" customWidth="1" min="21" max="21"/>
    <col width="10" customWidth="1" min="22" max="22"/>
  </cols>
  <sheetData>
    <row r="1" ht="28" customHeight="1">
      <c r="A1" s="1" t="inlineStr">
        <is>
          <t>MATERIALS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18" customHeight="1">
      <c r="A2" s="3" t="inlineStr">
        <is>
          <t>Procurement  ·  Required → Quoted → Approved → Ordered → Shipped → Delivered → Installed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</row>
    <row r="4" ht="22" customHeight="1">
      <c r="A4" s="66" t="inlineStr">
        <is>
          <t>Material ID</t>
        </is>
      </c>
      <c r="B4" s="66" t="inlineStr">
        <is>
          <t>Project ID</t>
        </is>
      </c>
      <c r="C4" s="66" t="inlineStr">
        <is>
          <t>Room ID</t>
        </is>
      </c>
      <c r="D4" s="66" t="inlineStr">
        <is>
          <t>Product</t>
        </is>
      </c>
      <c r="E4" s="66" t="inlineStr">
        <is>
          <t>Brand</t>
        </is>
      </c>
      <c r="F4" s="66" t="inlineStr">
        <is>
          <t>SKU</t>
        </is>
      </c>
      <c r="G4" s="66" t="inlineStr">
        <is>
          <t>Category</t>
        </is>
      </c>
      <c r="H4" s="66" t="inlineStr">
        <is>
          <t>Qty Required</t>
        </is>
      </c>
      <c r="I4" s="66" t="inlineStr">
        <is>
          <t>Unit</t>
        </is>
      </c>
      <c r="J4" s="66" t="inlineStr">
        <is>
          <t>Unit Price</t>
        </is>
      </c>
      <c r="K4" s="66" t="inlineStr">
        <is>
          <t>Line Total</t>
        </is>
      </c>
      <c r="L4" s="66" t="inlineStr">
        <is>
          <t>Supplier</t>
        </is>
      </c>
      <c r="M4" s="66" t="inlineStr">
        <is>
          <t>Qty Ordered</t>
        </is>
      </c>
      <c r="N4" s="66" t="inlineStr">
        <is>
          <t>Qty Delivered</t>
        </is>
      </c>
      <c r="O4" s="66" t="inlineStr">
        <is>
          <t>Qty Installed</t>
        </is>
      </c>
      <c r="P4" s="66" t="inlineStr">
        <is>
          <t>Status</t>
        </is>
      </c>
      <c r="Q4" s="66" t="inlineStr">
        <is>
          <t>Warranty (mo)</t>
        </is>
      </c>
      <c r="R4" s="66" t="inlineStr">
        <is>
          <t>Receipt</t>
        </is>
      </c>
      <c r="S4" s="66" t="inlineStr">
        <is>
          <t>Order Date</t>
        </is>
      </c>
      <c r="T4" s="66" t="inlineStr">
        <is>
          <t>Delivery Date</t>
        </is>
      </c>
      <c r="U4" s="66" t="inlineStr">
        <is>
          <t>QR / Barcode</t>
        </is>
      </c>
      <c r="V4" s="66" t="inlineStr">
        <is>
          <t>Open Qty</t>
        </is>
      </c>
    </row>
    <row r="5" ht="18" customHeight="1">
      <c r="A5" s="67" t="inlineStr">
        <is>
          <t>MAT-001</t>
        </is>
      </c>
      <c r="B5" s="67" t="inlineStr">
        <is>
          <t>PRJ-001</t>
        </is>
      </c>
      <c r="C5" s="67" t="inlineStr">
        <is>
          <t>RM-01</t>
        </is>
      </c>
      <c r="D5" s="67" t="inlineStr">
        <is>
          <t>Shaker cabinet box set</t>
        </is>
      </c>
      <c r="E5" s="68" t="inlineStr">
        <is>
          <t>Cascade</t>
        </is>
      </c>
      <c r="F5" s="68" t="inlineStr">
        <is>
          <t>CC-SH-Sage</t>
        </is>
      </c>
      <c r="G5" s="68" t="inlineStr">
        <is>
          <t>Cabinetry</t>
        </is>
      </c>
      <c r="H5" s="67" t="n">
        <v>1</v>
      </c>
      <c r="I5" s="67" t="inlineStr">
        <is>
          <t>set</t>
        </is>
      </c>
      <c r="J5" s="71" t="n">
        <v>14800</v>
      </c>
      <c r="K5" s="89">
        <f>IF($A5="","",$H5*$J5)</f>
        <v/>
      </c>
      <c r="L5" s="68" t="inlineStr">
        <is>
          <t>Cascade Cabinets</t>
        </is>
      </c>
      <c r="M5" s="67" t="n">
        <v>1</v>
      </c>
      <c r="N5" s="67" t="n">
        <v>1</v>
      </c>
      <c r="O5" s="67" t="n">
        <v>0.6</v>
      </c>
      <c r="P5" s="68" t="inlineStr">
        <is>
          <t>Delivered</t>
        </is>
      </c>
      <c r="Q5" s="68" t="n">
        <v>60</v>
      </c>
      <c r="R5" s="67" t="inlineStr">
        <is>
          <t>INV-CC-501</t>
        </is>
      </c>
      <c r="S5" s="70" t="n">
        <v>46174</v>
      </c>
      <c r="T5" s="70" t="n">
        <v>46254</v>
      </c>
      <c r="U5" s="67" t="inlineStr">
        <is>
          <t>QR-CC-001</t>
        </is>
      </c>
      <c r="V5" s="113">
        <f>IF($A5="","",$H5-$N5)</f>
        <v/>
      </c>
    </row>
    <row r="6" ht="18" customHeight="1">
      <c r="A6" s="75" t="inlineStr">
        <is>
          <t>MAT-002</t>
        </is>
      </c>
      <c r="B6" s="75" t="inlineStr">
        <is>
          <t>PRJ-001</t>
        </is>
      </c>
      <c r="C6" s="75" t="inlineStr">
        <is>
          <t>RM-01</t>
        </is>
      </c>
      <c r="D6" s="75" t="inlineStr">
        <is>
          <t>Aged brass bar pulls</t>
        </is>
      </c>
      <c r="E6" s="76" t="inlineStr">
        <is>
          <t>Rejuvenation</t>
        </is>
      </c>
      <c r="F6" s="76" t="inlineStr">
        <is>
          <t>RJ-BP-128</t>
        </is>
      </c>
      <c r="G6" s="76" t="inlineStr">
        <is>
          <t>Hardware</t>
        </is>
      </c>
      <c r="H6" s="75" t="n">
        <v>28</v>
      </c>
      <c r="I6" s="75" t="inlineStr">
        <is>
          <t>ea</t>
        </is>
      </c>
      <c r="J6" s="79" t="n">
        <v>18</v>
      </c>
      <c r="K6" s="89">
        <f>IF($A6="","",$H6*$J6)</f>
        <v/>
      </c>
      <c r="L6" s="76" t="inlineStr">
        <is>
          <t>Rejuvenation</t>
        </is>
      </c>
      <c r="M6" s="75" t="n">
        <v>28</v>
      </c>
      <c r="N6" s="75" t="n">
        <v>0</v>
      </c>
      <c r="O6" s="75" t="n">
        <v>0</v>
      </c>
      <c r="P6" s="76" t="inlineStr">
        <is>
          <t>Shipped</t>
        </is>
      </c>
      <c r="Q6" s="76" t="n">
        <v>12</v>
      </c>
      <c r="R6" s="75" t="inlineStr"/>
      <c r="S6" s="78" t="n">
        <v>46244</v>
      </c>
      <c r="T6" s="78" t="n"/>
      <c r="U6" s="75" t="inlineStr">
        <is>
          <t>QR-RJ-128</t>
        </is>
      </c>
      <c r="V6" s="113">
        <f>IF($A6="","",$H6-$N6)</f>
        <v/>
      </c>
    </row>
    <row r="7" ht="18" customHeight="1">
      <c r="A7" s="67" t="inlineStr">
        <is>
          <t>MAT-003</t>
        </is>
      </c>
      <c r="B7" s="67" t="inlineStr">
        <is>
          <t>PRJ-001</t>
        </is>
      </c>
      <c r="C7" s="67" t="inlineStr">
        <is>
          <t>RM-01</t>
        </is>
      </c>
      <c r="D7" s="67" t="inlineStr">
        <is>
          <t>White oak 7in engineered</t>
        </is>
      </c>
      <c r="E7" s="68" t="inlineStr">
        <is>
          <t>Timberline</t>
        </is>
      </c>
      <c r="F7" s="68" t="inlineStr">
        <is>
          <t>TL-WO-7</t>
        </is>
      </c>
      <c r="G7" s="68" t="inlineStr">
        <is>
          <t>Flooring</t>
        </is>
      </c>
      <c r="H7" s="67" t="n">
        <v>780</v>
      </c>
      <c r="I7" s="67" t="inlineStr">
        <is>
          <t>sf</t>
        </is>
      </c>
      <c r="J7" s="71" t="n">
        <v>8.199999999999999</v>
      </c>
      <c r="K7" s="89">
        <f>IF($A7="","",$H7*$J7)</f>
        <v/>
      </c>
      <c r="L7" s="68" t="inlineStr">
        <is>
          <t>Timberline Floors</t>
        </is>
      </c>
      <c r="M7" s="67" t="n">
        <v>780</v>
      </c>
      <c r="N7" s="67" t="n">
        <v>780</v>
      </c>
      <c r="O7" s="67" t="n">
        <v>620</v>
      </c>
      <c r="P7" s="68" t="inlineStr">
        <is>
          <t>Installed</t>
        </is>
      </c>
      <c r="Q7" s="68" t="n">
        <v>25</v>
      </c>
      <c r="R7" s="67" t="inlineStr">
        <is>
          <t>PO-140</t>
        </is>
      </c>
      <c r="S7" s="70" t="n">
        <v>46204</v>
      </c>
      <c r="T7" s="70" t="n">
        <v>46231</v>
      </c>
      <c r="U7" s="67" t="inlineStr">
        <is>
          <t>QR-TL-WO7</t>
        </is>
      </c>
      <c r="V7" s="113">
        <f>IF($A7="","",$H7-$N7)</f>
        <v/>
      </c>
    </row>
    <row r="8" ht="18" customHeight="1">
      <c r="A8" s="75" t="inlineStr">
        <is>
          <t>MAT-004</t>
        </is>
      </c>
      <c r="B8" s="75" t="inlineStr">
        <is>
          <t>PRJ-001</t>
        </is>
      </c>
      <c r="C8" s="75" t="inlineStr">
        <is>
          <t>RM-01</t>
        </is>
      </c>
      <c r="D8" s="75" t="inlineStr">
        <is>
          <t>Perimeter quartz — Frost</t>
        </is>
      </c>
      <c r="E8" s="76" t="inlineStr">
        <is>
          <t>Caesarstone</t>
        </is>
      </c>
      <c r="F8" s="76" t="inlineStr">
        <is>
          <t>CS-5110</t>
        </is>
      </c>
      <c r="G8" s="76" t="inlineStr">
        <is>
          <t>Counters</t>
        </is>
      </c>
      <c r="H8" s="75" t="n">
        <v>42</v>
      </c>
      <c r="I8" s="75" t="inlineStr">
        <is>
          <t>sf</t>
        </is>
      </c>
      <c r="J8" s="79" t="n">
        <v>59</v>
      </c>
      <c r="K8" s="89">
        <f>IF($A8="","",$H8*$J8)</f>
        <v/>
      </c>
      <c r="L8" s="76" t="inlineStr">
        <is>
          <t>Caesarstone</t>
        </is>
      </c>
      <c r="M8" s="75" t="n">
        <v>42</v>
      </c>
      <c r="N8" s="75" t="n">
        <v>42</v>
      </c>
      <c r="O8" s="75" t="n">
        <v>0</v>
      </c>
      <c r="P8" s="76" t="inlineStr">
        <is>
          <t>Delivered</t>
        </is>
      </c>
      <c r="Q8" s="76" t="n">
        <v>15</v>
      </c>
      <c r="R8" s="75" t="inlineStr">
        <is>
          <t>CS-882</t>
        </is>
      </c>
      <c r="S8" s="78" t="n">
        <v>46235</v>
      </c>
      <c r="T8" s="78" t="n">
        <v>46250</v>
      </c>
      <c r="U8" s="75" t="inlineStr">
        <is>
          <t>QR-CS-5110</t>
        </is>
      </c>
      <c r="V8" s="113">
        <f>IF($A8="","",$H8-$N8)</f>
        <v/>
      </c>
    </row>
    <row r="9" ht="18" customHeight="1">
      <c r="A9" s="67" t="inlineStr">
        <is>
          <t>MAT-005</t>
        </is>
      </c>
      <c r="B9" s="67" t="inlineStr">
        <is>
          <t>PRJ-001</t>
        </is>
      </c>
      <c r="C9" s="67" t="inlineStr">
        <is>
          <t>RM-01</t>
        </is>
      </c>
      <c r="D9" s="67" t="inlineStr">
        <is>
          <t>Island porcelain slab</t>
        </is>
      </c>
      <c r="E9" s="68" t="inlineStr">
        <is>
          <t>Heritage</t>
        </is>
      </c>
      <c r="F9" s="68" t="inlineStr">
        <is>
          <t>HT-8841</t>
        </is>
      </c>
      <c r="G9" s="68" t="inlineStr">
        <is>
          <t>Counters</t>
        </is>
      </c>
      <c r="H9" s="67" t="n">
        <v>28</v>
      </c>
      <c r="I9" s="67" t="inlineStr">
        <is>
          <t>sf</t>
        </is>
      </c>
      <c r="J9" s="71" t="n">
        <v>66.40000000000001</v>
      </c>
      <c r="K9" s="89">
        <f>IF($A9="","",$H9*$J9)</f>
        <v/>
      </c>
      <c r="L9" s="68" t="inlineStr">
        <is>
          <t>Heritage Tile &amp; Stone</t>
        </is>
      </c>
      <c r="M9" s="67" t="n">
        <v>0</v>
      </c>
      <c r="N9" s="67" t="n">
        <v>0</v>
      </c>
      <c r="O9" s="67" t="n">
        <v>0</v>
      </c>
      <c r="P9" s="68" t="inlineStr">
        <is>
          <t>Approved</t>
        </is>
      </c>
      <c r="Q9" s="68" t="n">
        <v>25</v>
      </c>
      <c r="R9" s="67" t="inlineStr"/>
      <c r="S9" s="70" t="n"/>
      <c r="T9" s="70" t="n"/>
      <c r="U9" s="67" t="inlineStr">
        <is>
          <t>QR-HT-8841</t>
        </is>
      </c>
      <c r="V9" s="113">
        <f>IF($A9="","",$H9-$N9)</f>
        <v/>
      </c>
    </row>
    <row r="10" ht="18" customHeight="1">
      <c r="A10" s="75" t="inlineStr">
        <is>
          <t>MAT-006</t>
        </is>
      </c>
      <c r="B10" s="75" t="inlineStr">
        <is>
          <t>PRJ-001</t>
        </is>
      </c>
      <c r="C10" s="75" t="inlineStr">
        <is>
          <t>RM-01</t>
        </is>
      </c>
      <c r="D10" s="75" t="inlineStr">
        <is>
          <t>Zellige backsplash — sand</t>
        </is>
      </c>
      <c r="E10" s="76" t="inlineStr">
        <is>
          <t>Cle</t>
        </is>
      </c>
      <c r="F10" s="76" t="inlineStr">
        <is>
          <t>CLE-Z-14</t>
        </is>
      </c>
      <c r="G10" s="76" t="inlineStr">
        <is>
          <t>Tile</t>
        </is>
      </c>
      <c r="H10" s="75" t="n">
        <v>48</v>
      </c>
      <c r="I10" s="75" t="inlineStr">
        <is>
          <t>sf</t>
        </is>
      </c>
      <c r="J10" s="79" t="n">
        <v>28</v>
      </c>
      <c r="K10" s="89">
        <f>IF($A10="","",$H10*$J10)</f>
        <v/>
      </c>
      <c r="L10" s="76" t="inlineStr">
        <is>
          <t>Tile &amp; Timber Co.</t>
        </is>
      </c>
      <c r="M10" s="75" t="n">
        <v>0</v>
      </c>
      <c r="N10" s="75" t="n">
        <v>0</v>
      </c>
      <c r="O10" s="75" t="n">
        <v>0</v>
      </c>
      <c r="P10" s="76" t="inlineStr">
        <is>
          <t>Quoted</t>
        </is>
      </c>
      <c r="Q10" s="76" t="n">
        <v>0</v>
      </c>
      <c r="R10" s="75" t="inlineStr"/>
      <c r="S10" s="78" t="n"/>
      <c r="T10" s="78" t="n"/>
      <c r="U10" s="75" t="inlineStr">
        <is>
          <t>QR-CLE-14</t>
        </is>
      </c>
      <c r="V10" s="113">
        <f>IF($A10="","",$H10-$N10)</f>
        <v/>
      </c>
    </row>
    <row r="11" ht="18" customHeight="1">
      <c r="A11" s="67" t="inlineStr">
        <is>
          <t>MAT-007</t>
        </is>
      </c>
      <c r="B11" s="67" t="inlineStr">
        <is>
          <t>PRJ-001</t>
        </is>
      </c>
      <c r="C11" s="67" t="inlineStr">
        <is>
          <t>RM-01</t>
        </is>
      </c>
      <c r="D11" s="67" t="inlineStr">
        <is>
          <t>Island pendants x3</t>
        </is>
      </c>
      <c r="E11" s="68" t="inlineStr">
        <is>
          <t>BrightPath</t>
        </is>
      </c>
      <c r="F11" s="68" t="inlineStr">
        <is>
          <t>BP-ISL-AB</t>
        </is>
      </c>
      <c r="G11" s="68" t="inlineStr">
        <is>
          <t>Lighting</t>
        </is>
      </c>
      <c r="H11" s="67" t="n">
        <v>3</v>
      </c>
      <c r="I11" s="67" t="inlineStr">
        <is>
          <t>ea</t>
        </is>
      </c>
      <c r="J11" s="71" t="n">
        <v>296.67</v>
      </c>
      <c r="K11" s="89">
        <f>IF($A11="","",$H11*$J11)</f>
        <v/>
      </c>
      <c r="L11" s="68" t="inlineStr">
        <is>
          <t>BrightPath Lighting</t>
        </is>
      </c>
      <c r="M11" s="67" t="n">
        <v>3</v>
      </c>
      <c r="N11" s="67" t="n">
        <v>0</v>
      </c>
      <c r="O11" s="67" t="n">
        <v>0</v>
      </c>
      <c r="P11" s="68" t="inlineStr">
        <is>
          <t>Ordered</t>
        </is>
      </c>
      <c r="Q11" s="68" t="n">
        <v>24</v>
      </c>
      <c r="R11" s="67" t="inlineStr">
        <is>
          <t>BP-220</t>
        </is>
      </c>
      <c r="S11" s="70" t="n">
        <v>46252</v>
      </c>
      <c r="T11" s="70" t="n"/>
      <c r="U11" s="67" t="inlineStr">
        <is>
          <t>QR-BP-ISL</t>
        </is>
      </c>
      <c r="V11" s="113">
        <f>IF($A11="","",$H11-$N11)</f>
        <v/>
      </c>
    </row>
    <row r="12" ht="18" customHeight="1">
      <c r="A12" s="75" t="inlineStr">
        <is>
          <t>MAT-008</t>
        </is>
      </c>
      <c r="B12" s="75" t="inlineStr">
        <is>
          <t>PRJ-001</t>
        </is>
      </c>
      <c r="C12" s="75" t="inlineStr">
        <is>
          <t>RM-01</t>
        </is>
      </c>
      <c r="D12" s="75" t="inlineStr">
        <is>
          <t>Range 36in dual fuel</t>
        </is>
      </c>
      <c r="E12" s="76" t="inlineStr">
        <is>
          <t>Wolf</t>
        </is>
      </c>
      <c r="F12" s="76" t="inlineStr">
        <is>
          <t>DF364C</t>
        </is>
      </c>
      <c r="G12" s="76" t="inlineStr">
        <is>
          <t>Appliances</t>
        </is>
      </c>
      <c r="H12" s="75" t="n">
        <v>1</v>
      </c>
      <c r="I12" s="75" t="inlineStr">
        <is>
          <t>ea</t>
        </is>
      </c>
      <c r="J12" s="79" t="n">
        <v>0</v>
      </c>
      <c r="K12" s="89">
        <f>IF($A12="","",$H12*$J12)</f>
        <v/>
      </c>
      <c r="L12" s="76" t="inlineStr">
        <is>
          <t>Sub-Zero / Wolf</t>
        </is>
      </c>
      <c r="M12" s="75" t="n">
        <v>1</v>
      </c>
      <c r="N12" s="75" t="n">
        <v>0</v>
      </c>
      <c r="O12" s="75" t="n">
        <v>0</v>
      </c>
      <c r="P12" s="76" t="inlineStr">
        <is>
          <t>Ordered</t>
        </is>
      </c>
      <c r="Q12" s="76" t="n">
        <v>24</v>
      </c>
      <c r="R12" s="75" t="inlineStr">
        <is>
          <t>APPL-01</t>
        </is>
      </c>
      <c r="S12" s="78" t="n">
        <v>46248</v>
      </c>
      <c r="T12" s="78" t="n"/>
      <c r="U12" s="75" t="inlineStr">
        <is>
          <t>QR-WF-DF</t>
        </is>
      </c>
      <c r="V12" s="113">
        <f>IF($A12="","",$H12-$N12)</f>
        <v/>
      </c>
    </row>
    <row r="13" ht="18" customHeight="1">
      <c r="A13" s="67" t="inlineStr">
        <is>
          <t>MAT-009</t>
        </is>
      </c>
      <c r="B13" s="67" t="inlineStr">
        <is>
          <t>PRJ-001</t>
        </is>
      </c>
      <c r="C13" s="67" t="inlineStr">
        <is>
          <t>RM-01</t>
        </is>
      </c>
      <c r="D13" s="67" t="inlineStr">
        <is>
          <t>Counter-depth fridge</t>
        </is>
      </c>
      <c r="E13" s="68" t="inlineStr">
        <is>
          <t>Sub-Zero</t>
        </is>
      </c>
      <c r="F13" s="68" t="inlineStr">
        <is>
          <t>DEC3650</t>
        </is>
      </c>
      <c r="G13" s="68" t="inlineStr">
        <is>
          <t>Appliances</t>
        </is>
      </c>
      <c r="H13" s="67" t="n">
        <v>1</v>
      </c>
      <c r="I13" s="67" t="inlineStr">
        <is>
          <t>ea</t>
        </is>
      </c>
      <c r="J13" s="71" t="n">
        <v>0</v>
      </c>
      <c r="K13" s="89">
        <f>IF($A13="","",$H13*$J13)</f>
        <v/>
      </c>
      <c r="L13" s="68" t="inlineStr">
        <is>
          <t>Sub-Zero / Wolf</t>
        </is>
      </c>
      <c r="M13" s="67" t="n">
        <v>1</v>
      </c>
      <c r="N13" s="67" t="n">
        <v>0</v>
      </c>
      <c r="O13" s="67" t="n">
        <v>0</v>
      </c>
      <c r="P13" s="68" t="inlineStr">
        <is>
          <t>Ordered</t>
        </is>
      </c>
      <c r="Q13" s="68" t="n">
        <v>24</v>
      </c>
      <c r="R13" s="67" t="inlineStr">
        <is>
          <t>APPL-01</t>
        </is>
      </c>
      <c r="S13" s="70" t="n">
        <v>46248</v>
      </c>
      <c r="T13" s="70" t="n"/>
      <c r="U13" s="67" t="inlineStr">
        <is>
          <t>QR-SZ-3650</t>
        </is>
      </c>
      <c r="V13" s="113">
        <f>IF($A13="","",$H13-$N13)</f>
        <v/>
      </c>
    </row>
    <row r="14" ht="18" customHeight="1">
      <c r="A14" s="75" t="inlineStr">
        <is>
          <t>MAT-010</t>
        </is>
      </c>
      <c r="B14" s="75" t="inlineStr">
        <is>
          <t>PRJ-001</t>
        </is>
      </c>
      <c r="C14" s="75" t="inlineStr">
        <is>
          <t>RM-03</t>
        </is>
      </c>
      <c r="D14" s="75" t="inlineStr">
        <is>
          <t>Porcelain floor 12x24</t>
        </is>
      </c>
      <c r="E14" s="76" t="inlineStr">
        <is>
          <t>Heritage</t>
        </is>
      </c>
      <c r="F14" s="76" t="inlineStr">
        <is>
          <t>HT-8841F</t>
        </is>
      </c>
      <c r="G14" s="76" t="inlineStr">
        <is>
          <t>Tile</t>
        </is>
      </c>
      <c r="H14" s="75" t="n">
        <v>90</v>
      </c>
      <c r="I14" s="75" t="inlineStr">
        <is>
          <t>sf</t>
        </is>
      </c>
      <c r="J14" s="79" t="n">
        <v>14.2</v>
      </c>
      <c r="K14" s="89">
        <f>IF($A14="","",$H14*$J14)</f>
        <v/>
      </c>
      <c r="L14" s="76" t="inlineStr">
        <is>
          <t>Tile &amp; Timber Co.</t>
        </is>
      </c>
      <c r="M14" s="75" t="n">
        <v>95</v>
      </c>
      <c r="N14" s="75" t="n">
        <v>95</v>
      </c>
      <c r="O14" s="75" t="n">
        <v>90</v>
      </c>
      <c r="P14" s="76" t="inlineStr">
        <is>
          <t>Installed</t>
        </is>
      </c>
      <c r="Q14" s="76" t="n">
        <v>25</v>
      </c>
      <c r="R14" s="75" t="inlineStr">
        <is>
          <t>PO-114</t>
        </is>
      </c>
      <c r="S14" s="78" t="n">
        <v>46183</v>
      </c>
      <c r="T14" s="78" t="n">
        <v>46193</v>
      </c>
      <c r="U14" s="75" t="inlineStr">
        <is>
          <t>QR-HT-F</t>
        </is>
      </c>
      <c r="V14" s="113">
        <f>IF($A14="","",$H14-$N14)</f>
        <v/>
      </c>
    </row>
    <row r="15" ht="18" customHeight="1">
      <c r="A15" s="67" t="inlineStr">
        <is>
          <t>MAT-011</t>
        </is>
      </c>
      <c r="B15" s="67" t="inlineStr">
        <is>
          <t>PRJ-001</t>
        </is>
      </c>
      <c r="C15" s="67" t="inlineStr">
        <is>
          <t>RM-03</t>
        </is>
      </c>
      <c r="D15" s="67" t="inlineStr">
        <is>
          <t>Shower wall porcelain</t>
        </is>
      </c>
      <c r="E15" s="68" t="inlineStr">
        <is>
          <t>Heritage</t>
        </is>
      </c>
      <c r="F15" s="68" t="inlineStr">
        <is>
          <t>HT-8841W</t>
        </is>
      </c>
      <c r="G15" s="68" t="inlineStr">
        <is>
          <t>Tile</t>
        </is>
      </c>
      <c r="H15" s="67" t="n">
        <v>110</v>
      </c>
      <c r="I15" s="67" t="inlineStr">
        <is>
          <t>sf</t>
        </is>
      </c>
      <c r="J15" s="71" t="n">
        <v>16.8</v>
      </c>
      <c r="K15" s="89">
        <f>IF($A15="","",$H15*$J15)</f>
        <v/>
      </c>
      <c r="L15" s="68" t="inlineStr">
        <is>
          <t>Tile &amp; Timber Co.</t>
        </is>
      </c>
      <c r="M15" s="67" t="n">
        <v>115</v>
      </c>
      <c r="N15" s="67" t="n">
        <v>115</v>
      </c>
      <c r="O15" s="67" t="n">
        <v>110</v>
      </c>
      <c r="P15" s="68" t="inlineStr">
        <is>
          <t>Installed</t>
        </is>
      </c>
      <c r="Q15" s="68" t="n">
        <v>25</v>
      </c>
      <c r="R15" s="67" t="inlineStr">
        <is>
          <t>PO-114</t>
        </is>
      </c>
      <c r="S15" s="70" t="n">
        <v>46183</v>
      </c>
      <c r="T15" s="70" t="n">
        <v>46193</v>
      </c>
      <c r="U15" s="67" t="inlineStr">
        <is>
          <t>QR-HT-W</t>
        </is>
      </c>
      <c r="V15" s="113">
        <f>IF($A15="","",$H15-$N15)</f>
        <v/>
      </c>
    </row>
    <row r="16" ht="18" customHeight="1">
      <c r="A16" s="75" t="inlineStr">
        <is>
          <t>MAT-012</t>
        </is>
      </c>
      <c r="B16" s="75" t="inlineStr">
        <is>
          <t>PRJ-001</t>
        </is>
      </c>
      <c r="C16" s="75" t="inlineStr">
        <is>
          <t>RM-03</t>
        </is>
      </c>
      <c r="D16" s="75" t="inlineStr">
        <is>
          <t>Thermostatic shower set</t>
        </is>
      </c>
      <c r="E16" s="76" t="inlineStr">
        <is>
          <t>Brizo</t>
        </is>
      </c>
      <c r="F16" s="76" t="inlineStr">
        <is>
          <t>BZ-T600</t>
        </is>
      </c>
      <c r="G16" s="76" t="inlineStr">
        <is>
          <t>Fixtures</t>
        </is>
      </c>
      <c r="H16" s="75" t="n">
        <v>1</v>
      </c>
      <c r="I16" s="75" t="inlineStr">
        <is>
          <t>set</t>
        </is>
      </c>
      <c r="J16" s="79" t="n">
        <v>890</v>
      </c>
      <c r="K16" s="89">
        <f>IF($A16="","",$H16*$J16)</f>
        <v/>
      </c>
      <c r="L16" s="76" t="inlineStr">
        <is>
          <t>Ferguson</t>
        </is>
      </c>
      <c r="M16" s="75" t="n">
        <v>1</v>
      </c>
      <c r="N16" s="75" t="n">
        <v>1</v>
      </c>
      <c r="O16" s="75" t="n">
        <v>1</v>
      </c>
      <c r="P16" s="76" t="inlineStr">
        <is>
          <t>Installed</t>
        </is>
      </c>
      <c r="Q16" s="76" t="n">
        <v>60</v>
      </c>
      <c r="R16" s="75" t="inlineStr">
        <is>
          <t>FERG-9921</t>
        </is>
      </c>
      <c r="S16" s="78" t="n">
        <v>46188</v>
      </c>
      <c r="T16" s="78" t="n">
        <v>46201</v>
      </c>
      <c r="U16" s="75" t="inlineStr">
        <is>
          <t>QR-BZ-T600</t>
        </is>
      </c>
      <c r="V16" s="113">
        <f>IF($A16="","",$H16-$N16)</f>
        <v/>
      </c>
    </row>
    <row r="17" ht="18" customHeight="1">
      <c r="A17" s="67" t="inlineStr">
        <is>
          <t>MAT-013</t>
        </is>
      </c>
      <c r="B17" s="67" t="inlineStr">
        <is>
          <t>PRJ-001</t>
        </is>
      </c>
      <c r="C17" s="67" t="inlineStr">
        <is>
          <t>RM-03</t>
        </is>
      </c>
      <c r="D17" s="67" t="inlineStr">
        <is>
          <t>Vanity 48in white oak</t>
        </is>
      </c>
      <c r="E17" s="68" t="inlineStr">
        <is>
          <t>Cascade</t>
        </is>
      </c>
      <c r="F17" s="68" t="inlineStr">
        <is>
          <t>CC-VAN-48</t>
        </is>
      </c>
      <c r="G17" s="68" t="inlineStr">
        <is>
          <t>Cabinetry</t>
        </is>
      </c>
      <c r="H17" s="67" t="n">
        <v>1</v>
      </c>
      <c r="I17" s="67" t="inlineStr">
        <is>
          <t>ea</t>
        </is>
      </c>
      <c r="J17" s="71" t="n">
        <v>1680</v>
      </c>
      <c r="K17" s="89">
        <f>IF($A17="","",$H17*$J17)</f>
        <v/>
      </c>
      <c r="L17" s="68" t="inlineStr">
        <is>
          <t>Cascade Cabinets</t>
        </is>
      </c>
      <c r="M17" s="67" t="n">
        <v>1</v>
      </c>
      <c r="N17" s="67" t="n">
        <v>1</v>
      </c>
      <c r="O17" s="67" t="n">
        <v>1</v>
      </c>
      <c r="P17" s="68" t="inlineStr">
        <is>
          <t>Installed</t>
        </is>
      </c>
      <c r="Q17" s="68" t="n">
        <v>24</v>
      </c>
      <c r="R17" s="67" t="inlineStr">
        <is>
          <t>INV-CC-440</t>
        </is>
      </c>
      <c r="S17" s="70" t="n">
        <v>46204</v>
      </c>
      <c r="T17" s="70" t="n">
        <v>46223</v>
      </c>
      <c r="U17" s="67" t="inlineStr">
        <is>
          <t>QR-CC-VAN</t>
        </is>
      </c>
      <c r="V17" s="113">
        <f>IF($A17="","",$H17-$N17)</f>
        <v/>
      </c>
    </row>
    <row r="18" ht="18" customHeight="1">
      <c r="A18" s="75" t="inlineStr">
        <is>
          <t>MAT-014</t>
        </is>
      </c>
      <c r="B18" s="75" t="inlineStr">
        <is>
          <t>PRJ-001</t>
        </is>
      </c>
      <c r="C18" s="75" t="inlineStr">
        <is>
          <t>RM-03</t>
        </is>
      </c>
      <c r="D18" s="75" t="inlineStr">
        <is>
          <t>Heated floor kit</t>
        </is>
      </c>
      <c r="E18" s="76" t="inlineStr">
        <is>
          <t>WarmFloor</t>
        </is>
      </c>
      <c r="F18" s="76" t="inlineStr">
        <is>
          <t>WF-240-40</t>
        </is>
      </c>
      <c r="G18" s="76" t="inlineStr">
        <is>
          <t>Electrical</t>
        </is>
      </c>
      <c r="H18" s="75" t="n">
        <v>1</v>
      </c>
      <c r="I18" s="75" t="inlineStr">
        <is>
          <t>kit</t>
        </is>
      </c>
      <c r="J18" s="79" t="n">
        <v>1680</v>
      </c>
      <c r="K18" s="89">
        <f>IF($A18="","",$H18*$J18)</f>
        <v/>
      </c>
      <c r="L18" s="76" t="inlineStr">
        <is>
          <t>WarmFloor Co.</t>
        </is>
      </c>
      <c r="M18" s="75" t="n">
        <v>1</v>
      </c>
      <c r="N18" s="75" t="n">
        <v>1</v>
      </c>
      <c r="O18" s="75" t="n">
        <v>1</v>
      </c>
      <c r="P18" s="76" t="inlineStr">
        <is>
          <t>Installed</t>
        </is>
      </c>
      <c r="Q18" s="76" t="n">
        <v>36</v>
      </c>
      <c r="R18" s="75" t="inlineStr">
        <is>
          <t>WF-441</t>
        </is>
      </c>
      <c r="S18" s="78" t="n">
        <v>46193</v>
      </c>
      <c r="T18" s="78" t="n">
        <v>46205</v>
      </c>
      <c r="U18" s="75" t="inlineStr">
        <is>
          <t>QR-WF-240</t>
        </is>
      </c>
      <c r="V18" s="113">
        <f>IF($A18="","",$H18-$N18)</f>
        <v/>
      </c>
    </row>
    <row r="19" ht="18" customHeight="1">
      <c r="A19" s="67" t="inlineStr">
        <is>
          <t>MAT-015</t>
        </is>
      </c>
      <c r="B19" s="67" t="inlineStr">
        <is>
          <t>PRJ-001</t>
        </is>
      </c>
      <c r="C19" s="67" t="inlineStr">
        <is>
          <t>RM-02</t>
        </is>
      </c>
      <c r="D19" s="67" t="inlineStr">
        <is>
          <t>Modular sofa</t>
        </is>
      </c>
      <c r="E19" s="68" t="inlineStr">
        <is>
          <t>Article</t>
        </is>
      </c>
      <c r="F19" s="68" t="inlineStr">
        <is>
          <t>ART-SVEN</t>
        </is>
      </c>
      <c r="G19" s="68" t="inlineStr">
        <is>
          <t>Furniture</t>
        </is>
      </c>
      <c r="H19" s="67" t="n">
        <v>1</v>
      </c>
      <c r="I19" s="67" t="inlineStr">
        <is>
          <t>ea</t>
        </is>
      </c>
      <c r="J19" s="71" t="n">
        <v>2400</v>
      </c>
      <c r="K19" s="89">
        <f>IF($A19="","",$H19*$J19)</f>
        <v/>
      </c>
      <c r="L19" s="68" t="inlineStr">
        <is>
          <t>Article</t>
        </is>
      </c>
      <c r="M19" s="67" t="n">
        <v>0</v>
      </c>
      <c r="N19" s="67" t="n">
        <v>0</v>
      </c>
      <c r="O19" s="67" t="n">
        <v>0</v>
      </c>
      <c r="P19" s="68" t="inlineStr">
        <is>
          <t>Quoted</t>
        </is>
      </c>
      <c r="Q19" s="68" t="n">
        <v>12</v>
      </c>
      <c r="R19" s="67" t="inlineStr"/>
      <c r="S19" s="70" t="n"/>
      <c r="T19" s="70" t="n"/>
      <c r="U19" s="67" t="inlineStr">
        <is>
          <t>QR-ART-SV</t>
        </is>
      </c>
      <c r="V19" s="113">
        <f>IF($A19="","",$H19-$N19)</f>
        <v/>
      </c>
    </row>
    <row r="20" ht="18" customHeight="1">
      <c r="A20" s="75" t="inlineStr">
        <is>
          <t>MAT-016</t>
        </is>
      </c>
      <c r="B20" s="75" t="inlineStr">
        <is>
          <t>PRJ-001</t>
        </is>
      </c>
      <c r="C20" s="75" t="inlineStr">
        <is>
          <t>RM-02</t>
        </is>
      </c>
      <c r="D20" s="75" t="inlineStr">
        <is>
          <t>Oak coffee table</t>
        </is>
      </c>
      <c r="E20" s="76" t="inlineStr">
        <is>
          <t>Article</t>
        </is>
      </c>
      <c r="F20" s="76" t="inlineStr">
        <is>
          <t>ART-OAK-CT</t>
        </is>
      </c>
      <c r="G20" s="76" t="inlineStr">
        <is>
          <t>Furniture</t>
        </is>
      </c>
      <c r="H20" s="75" t="n">
        <v>1</v>
      </c>
      <c r="I20" s="75" t="inlineStr">
        <is>
          <t>ea</t>
        </is>
      </c>
      <c r="J20" s="79" t="n">
        <v>1000</v>
      </c>
      <c r="K20" s="89">
        <f>IF($A20="","",$H20*$J20)</f>
        <v/>
      </c>
      <c r="L20" s="76" t="inlineStr">
        <is>
          <t>Article</t>
        </is>
      </c>
      <c r="M20" s="75" t="n">
        <v>0</v>
      </c>
      <c r="N20" s="75" t="n">
        <v>0</v>
      </c>
      <c r="O20" s="75" t="n">
        <v>0</v>
      </c>
      <c r="P20" s="76" t="inlineStr">
        <is>
          <t>Quoted</t>
        </is>
      </c>
      <c r="Q20" s="76" t="n">
        <v>12</v>
      </c>
      <c r="R20" s="75" t="inlineStr"/>
      <c r="S20" s="78" t="n"/>
      <c r="T20" s="78" t="n"/>
      <c r="U20" s="75" t="inlineStr">
        <is>
          <t>QR-ART-CT</t>
        </is>
      </c>
      <c r="V20" s="113">
        <f>IF($A20="","",$H20-$N20)</f>
        <v/>
      </c>
    </row>
    <row r="21" ht="18" customHeight="1">
      <c r="A21" s="67" t="inlineStr">
        <is>
          <t>MAT-017</t>
        </is>
      </c>
      <c r="B21" s="67" t="inlineStr">
        <is>
          <t>PRJ-001</t>
        </is>
      </c>
      <c r="C21" s="67" t="inlineStr">
        <is>
          <t>RM-05</t>
        </is>
      </c>
      <c r="D21" s="67" t="inlineStr">
        <is>
          <t>Dining sconces</t>
        </is>
      </c>
      <c r="E21" s="68" t="inlineStr">
        <is>
          <t>BrightPath</t>
        </is>
      </c>
      <c r="F21" s="68" t="inlineStr">
        <is>
          <t>BP-SCN-02</t>
        </is>
      </c>
      <c r="G21" s="68" t="inlineStr">
        <is>
          <t>Lighting</t>
        </is>
      </c>
      <c r="H21" s="67" t="n">
        <v>2</v>
      </c>
      <c r="I21" s="67" t="inlineStr">
        <is>
          <t>ea</t>
        </is>
      </c>
      <c r="J21" s="71" t="n">
        <v>190</v>
      </c>
      <c r="K21" s="89">
        <f>IF($A21="","",$H21*$J21)</f>
        <v/>
      </c>
      <c r="L21" s="68" t="inlineStr">
        <is>
          <t>BrightPath Lighting</t>
        </is>
      </c>
      <c r="M21" s="67" t="n">
        <v>2</v>
      </c>
      <c r="N21" s="67" t="n">
        <v>2</v>
      </c>
      <c r="O21" s="67" t="n">
        <v>0</v>
      </c>
      <c r="P21" s="68" t="inlineStr">
        <is>
          <t>Delivered</t>
        </is>
      </c>
      <c r="Q21" s="68" t="n">
        <v>24</v>
      </c>
      <c r="R21" s="67" t="inlineStr">
        <is>
          <t>BP-204</t>
        </is>
      </c>
      <c r="S21" s="70" t="n">
        <v>46235</v>
      </c>
      <c r="T21" s="70" t="n">
        <v>46256</v>
      </c>
      <c r="U21" s="67" t="inlineStr">
        <is>
          <t>QR-BP-SCN</t>
        </is>
      </c>
      <c r="V21" s="113">
        <f>IF($A21="","",$H21-$N21)</f>
        <v/>
      </c>
    </row>
    <row r="22" ht="18" customHeight="1">
      <c r="A22" s="75" t="inlineStr">
        <is>
          <t>MAT-018</t>
        </is>
      </c>
      <c r="B22" s="75" t="inlineStr">
        <is>
          <t>PRJ-001</t>
        </is>
      </c>
      <c r="C22" s="75" t="inlineStr">
        <is>
          <t>RM-08</t>
        </is>
      </c>
      <c r="D22" s="75" t="inlineStr">
        <is>
          <t>Hook rail 48in</t>
        </is>
      </c>
      <c r="E22" s="76" t="inlineStr">
        <is>
          <t>Rejuvenation</t>
        </is>
      </c>
      <c r="F22" s="76" t="inlineStr">
        <is>
          <t>RJ-HR-48</t>
        </is>
      </c>
      <c r="G22" s="76" t="inlineStr">
        <is>
          <t>Hardware</t>
        </is>
      </c>
      <c r="H22" s="75" t="n">
        <v>1</v>
      </c>
      <c r="I22" s="75" t="inlineStr">
        <is>
          <t>ea</t>
        </is>
      </c>
      <c r="J22" s="79" t="n">
        <v>186</v>
      </c>
      <c r="K22" s="89">
        <f>IF($A22="","",$H22*$J22)</f>
        <v/>
      </c>
      <c r="L22" s="76" t="inlineStr">
        <is>
          <t>Rejuvenation</t>
        </is>
      </c>
      <c r="M22" s="75" t="n">
        <v>1</v>
      </c>
      <c r="N22" s="75" t="n">
        <v>1</v>
      </c>
      <c r="O22" s="75" t="n">
        <v>0</v>
      </c>
      <c r="P22" s="76" t="inlineStr">
        <is>
          <t>Delivered</t>
        </is>
      </c>
      <c r="Q22" s="76" t="n">
        <v>12</v>
      </c>
      <c r="R22" s="75" t="inlineStr">
        <is>
          <t>REJ-33</t>
        </is>
      </c>
      <c r="S22" s="78" t="n">
        <v>46246</v>
      </c>
      <c r="T22" s="78" t="n">
        <v>46253</v>
      </c>
      <c r="U22" s="75" t="inlineStr">
        <is>
          <t>QR-RJ-HR</t>
        </is>
      </c>
      <c r="V22" s="113">
        <f>IF($A22="","",$H22-$N22)</f>
        <v/>
      </c>
    </row>
    <row r="23" ht="18" customHeight="1">
      <c r="A23" s="67" t="inlineStr">
        <is>
          <t>MAT-019</t>
        </is>
      </c>
      <c r="B23" s="67" t="inlineStr">
        <is>
          <t>PRJ-001</t>
        </is>
      </c>
      <c r="C23" s="67" t="inlineStr">
        <is>
          <t>RM-04</t>
        </is>
      </c>
      <c r="D23" s="67" t="inlineStr">
        <is>
          <t>Interior paint — Clay</t>
        </is>
      </c>
      <c r="E23" s="68" t="inlineStr">
        <is>
          <t>Benjamin Moore</t>
        </is>
      </c>
      <c r="F23" s="68" t="inlineStr">
        <is>
          <t>BM-HC-50</t>
        </is>
      </c>
      <c r="G23" s="68" t="inlineStr">
        <is>
          <t>Paint</t>
        </is>
      </c>
      <c r="H23" s="67" t="n">
        <v>4</v>
      </c>
      <c r="I23" s="67" t="inlineStr">
        <is>
          <t>gal</t>
        </is>
      </c>
      <c r="J23" s="71" t="n">
        <v>62</v>
      </c>
      <c r="K23" s="89">
        <f>IF($A23="","",$H23*$J23)</f>
        <v/>
      </c>
      <c r="L23" s="68" t="inlineStr">
        <is>
          <t>Sherwin-Williams</t>
        </is>
      </c>
      <c r="M23" s="67" t="n">
        <v>0</v>
      </c>
      <c r="N23" s="67" t="n">
        <v>0</v>
      </c>
      <c r="O23" s="67" t="n">
        <v>0</v>
      </c>
      <c r="P23" s="68" t="inlineStr">
        <is>
          <t>Required</t>
        </is>
      </c>
      <c r="Q23" s="68" t="n">
        <v>0</v>
      </c>
      <c r="R23" s="67" t="inlineStr"/>
      <c r="S23" s="70" t="n"/>
      <c r="T23" s="70" t="n"/>
      <c r="U23" s="67" t="inlineStr">
        <is>
          <t>QR-BM-CLAY</t>
        </is>
      </c>
      <c r="V23" s="113">
        <f>IF($A23="","",$H23-$N23)</f>
        <v/>
      </c>
    </row>
    <row r="24" ht="18" customHeight="1">
      <c r="A24" s="75" t="inlineStr">
        <is>
          <t>MAT-020</t>
        </is>
      </c>
      <c r="B24" s="75" t="inlineStr">
        <is>
          <t>PRJ-001</t>
        </is>
      </c>
      <c r="C24" s="75" t="inlineStr">
        <is>
          <t>RM-06</t>
        </is>
      </c>
      <c r="D24" s="75" t="inlineStr">
        <is>
          <t>Bluestone path pavers</t>
        </is>
      </c>
      <c r="E24" s="76" t="inlineStr">
        <is>
          <t>Garden &amp; Gate</t>
        </is>
      </c>
      <c r="F24" s="76" t="inlineStr">
        <is>
          <t>GG-BLU-12</t>
        </is>
      </c>
      <c r="G24" s="76" t="inlineStr">
        <is>
          <t>Hardscape</t>
        </is>
      </c>
      <c r="H24" s="75" t="n">
        <v>220</v>
      </c>
      <c r="I24" s="75" t="inlineStr">
        <is>
          <t>sf</t>
        </is>
      </c>
      <c r="J24" s="79" t="n">
        <v>9.5</v>
      </c>
      <c r="K24" s="89">
        <f>IF($A24="","",$H24*$J24)</f>
        <v/>
      </c>
      <c r="L24" s="76" t="inlineStr">
        <is>
          <t>Garden &amp; Gate</t>
        </is>
      </c>
      <c r="M24" s="75" t="n">
        <v>0</v>
      </c>
      <c r="N24" s="75" t="n">
        <v>0</v>
      </c>
      <c r="O24" s="75" t="n">
        <v>0</v>
      </c>
      <c r="P24" s="76" t="inlineStr">
        <is>
          <t>Quoted</t>
        </is>
      </c>
      <c r="Q24" s="76" t="n">
        <v>0</v>
      </c>
      <c r="R24" s="75" t="inlineStr"/>
      <c r="S24" s="78" t="n"/>
      <c r="T24" s="78" t="n"/>
      <c r="U24" s="75" t="inlineStr">
        <is>
          <t>QR-GG-BLU</t>
        </is>
      </c>
      <c r="V24" s="113">
        <f>IF($A24="","",$H24-$N24)</f>
        <v/>
      </c>
    </row>
    <row r="25" ht="18" customHeight="1">
      <c r="A25" s="67" t="inlineStr">
        <is>
          <t>MAT-021</t>
        </is>
      </c>
      <c r="B25" s="67" t="inlineStr">
        <is>
          <t>PRJ-001</t>
        </is>
      </c>
      <c r="C25" s="67" t="inlineStr">
        <is>
          <t>RM-01</t>
        </is>
      </c>
      <c r="D25" s="67" t="inlineStr">
        <is>
          <t>Undermount sink</t>
        </is>
      </c>
      <c r="E25" s="68" t="inlineStr">
        <is>
          <t>Kohler</t>
        </is>
      </c>
      <c r="F25" s="68" t="inlineStr">
        <is>
          <t>K-5285</t>
        </is>
      </c>
      <c r="G25" s="68" t="inlineStr">
        <is>
          <t>Fixtures</t>
        </is>
      </c>
      <c r="H25" s="67" t="n">
        <v>1</v>
      </c>
      <c r="I25" s="67" t="inlineStr">
        <is>
          <t>ea</t>
        </is>
      </c>
      <c r="J25" s="71" t="n">
        <v>420</v>
      </c>
      <c r="K25" s="89">
        <f>IF($A25="","",$H25*$J25)</f>
        <v/>
      </c>
      <c r="L25" s="68" t="inlineStr">
        <is>
          <t>Ferguson</t>
        </is>
      </c>
      <c r="M25" s="67" t="n">
        <v>1</v>
      </c>
      <c r="N25" s="67" t="n">
        <v>1</v>
      </c>
      <c r="O25" s="67" t="n">
        <v>0</v>
      </c>
      <c r="P25" s="68" t="inlineStr">
        <is>
          <t>Delivered</t>
        </is>
      </c>
      <c r="Q25" s="68" t="n">
        <v>36</v>
      </c>
      <c r="R25" s="67" t="inlineStr">
        <is>
          <t>FERG-1002</t>
        </is>
      </c>
      <c r="S25" s="70" t="n">
        <v>46235</v>
      </c>
      <c r="T25" s="70" t="n">
        <v>46246</v>
      </c>
      <c r="U25" s="67" t="inlineStr">
        <is>
          <t>QR-K-5285</t>
        </is>
      </c>
      <c r="V25" s="113">
        <f>IF($A25="","",$H25-$N25)</f>
        <v/>
      </c>
    </row>
    <row r="26" ht="18" customHeight="1">
      <c r="A26" s="75" t="inlineStr">
        <is>
          <t>MAT-022</t>
        </is>
      </c>
      <c r="B26" s="75" t="inlineStr">
        <is>
          <t>PRJ-001</t>
        </is>
      </c>
      <c r="C26" s="75" t="inlineStr">
        <is>
          <t>RM-01</t>
        </is>
      </c>
      <c r="D26" s="75" t="inlineStr">
        <is>
          <t>Bridge faucet — brass</t>
        </is>
      </c>
      <c r="E26" s="76" t="inlineStr">
        <is>
          <t>Brizo</t>
        </is>
      </c>
      <c r="F26" s="76" t="inlineStr">
        <is>
          <t>BZ-K610</t>
        </is>
      </c>
      <c r="G26" s="76" t="inlineStr">
        <is>
          <t>Fixtures</t>
        </is>
      </c>
      <c r="H26" s="75" t="n">
        <v>1</v>
      </c>
      <c r="I26" s="75" t="inlineStr">
        <is>
          <t>ea</t>
        </is>
      </c>
      <c r="J26" s="79" t="n">
        <v>640</v>
      </c>
      <c r="K26" s="89">
        <f>IF($A26="","",$H26*$J26)</f>
        <v/>
      </c>
      <c r="L26" s="76" t="inlineStr">
        <is>
          <t>Ferguson</t>
        </is>
      </c>
      <c r="M26" s="75" t="n">
        <v>1</v>
      </c>
      <c r="N26" s="75" t="n">
        <v>0</v>
      </c>
      <c r="O26" s="75" t="n">
        <v>0</v>
      </c>
      <c r="P26" s="76" t="inlineStr">
        <is>
          <t>Shipped</t>
        </is>
      </c>
      <c r="Q26" s="76" t="n">
        <v>60</v>
      </c>
      <c r="R26" s="75" t="inlineStr">
        <is>
          <t>FERG-1002</t>
        </is>
      </c>
      <c r="S26" s="78" t="n">
        <v>46242</v>
      </c>
      <c r="T26" s="78" t="n"/>
      <c r="U26" s="75" t="inlineStr">
        <is>
          <t>QR-BZ-K610</t>
        </is>
      </c>
      <c r="V26" s="113">
        <f>IF($A26="","",$H26-$N26)</f>
        <v/>
      </c>
    </row>
    <row r="27" ht="18" customHeight="1">
      <c r="A27" s="67" t="inlineStr">
        <is>
          <t>MAT-023</t>
        </is>
      </c>
      <c r="B27" s="67" t="inlineStr">
        <is>
          <t>PRJ-001</t>
        </is>
      </c>
      <c r="C27" s="67" t="inlineStr">
        <is>
          <t>RM-02</t>
        </is>
      </c>
      <c r="D27" s="67" t="inlineStr">
        <is>
          <t>Stair nosing — white oak</t>
        </is>
      </c>
      <c r="E27" s="68" t="inlineStr">
        <is>
          <t>Timberline</t>
        </is>
      </c>
      <c r="F27" s="68" t="inlineStr">
        <is>
          <t>TL-NOS-WO</t>
        </is>
      </c>
      <c r="G27" s="68" t="inlineStr">
        <is>
          <t>Flooring</t>
        </is>
      </c>
      <c r="H27" s="67" t="n">
        <v>14</v>
      </c>
      <c r="I27" s="67" t="inlineStr">
        <is>
          <t>lf</t>
        </is>
      </c>
      <c r="J27" s="71" t="n">
        <v>22</v>
      </c>
      <c r="K27" s="89">
        <f>IF($A27="","",$H27*$J27)</f>
        <v/>
      </c>
      <c r="L27" s="68" t="inlineStr">
        <is>
          <t>Timberline Floors</t>
        </is>
      </c>
      <c r="M27" s="67" t="n">
        <v>14</v>
      </c>
      <c r="N27" s="67" t="n">
        <v>0</v>
      </c>
      <c r="O27" s="67" t="n">
        <v>0</v>
      </c>
      <c r="P27" s="68" t="inlineStr">
        <is>
          <t>Backordered</t>
        </is>
      </c>
      <c r="Q27" s="68" t="n">
        <v>25</v>
      </c>
      <c r="R27" s="67" t="inlineStr"/>
      <c r="S27" s="70" t="n">
        <v>46240</v>
      </c>
      <c r="T27" s="70" t="n"/>
      <c r="U27" s="67" t="inlineStr">
        <is>
          <t>QR-TL-NOS</t>
        </is>
      </c>
      <c r="V27" s="113">
        <f>IF($A27="","",$H27-$N27)</f>
        <v/>
      </c>
    </row>
    <row r="28" ht="18" customHeight="1">
      <c r="A28" s="75" t="inlineStr">
        <is>
          <t>MAT-024</t>
        </is>
      </c>
      <c r="B28" s="75" t="inlineStr">
        <is>
          <t>PRJ-002</t>
        </is>
      </c>
      <c r="C28" s="75" t="inlineStr">
        <is>
          <t>RM-09</t>
        </is>
      </c>
      <c r="D28" s="75" t="inlineStr">
        <is>
          <t>Cedar vanity</t>
        </is>
      </c>
      <c r="E28" s="76" t="inlineStr">
        <is>
          <t>Cascade</t>
        </is>
      </c>
      <c r="F28" s="76" t="inlineStr">
        <is>
          <t>CC-CED-36</t>
        </is>
      </c>
      <c r="G28" s="76" t="inlineStr">
        <is>
          <t>Cabinetry</t>
        </is>
      </c>
      <c r="H28" s="75" t="n">
        <v>1</v>
      </c>
      <c r="I28" s="75" t="inlineStr">
        <is>
          <t>ea</t>
        </is>
      </c>
      <c r="J28" s="79" t="n">
        <v>2100</v>
      </c>
      <c r="K28" s="89">
        <f>IF($A28="","",$H28*$J28)</f>
        <v/>
      </c>
      <c r="L28" s="76" t="inlineStr">
        <is>
          <t>Cascade Cabinets</t>
        </is>
      </c>
      <c r="M28" s="75" t="n">
        <v>0</v>
      </c>
      <c r="N28" s="75" t="n">
        <v>0</v>
      </c>
      <c r="O28" s="75" t="n">
        <v>0</v>
      </c>
      <c r="P28" s="76" t="inlineStr">
        <is>
          <t>Required</t>
        </is>
      </c>
      <c r="Q28" s="76" t="n">
        <v>24</v>
      </c>
      <c r="R28" s="75" t="inlineStr"/>
      <c r="S28" s="78" t="n"/>
      <c r="T28" s="78" t="n"/>
      <c r="U28" s="75" t="inlineStr">
        <is>
          <t>QR-CC-CED</t>
        </is>
      </c>
      <c r="V28" s="113">
        <f>IF($A28="","",$H28-$N28)</f>
        <v/>
      </c>
    </row>
    <row r="29" ht="18" customHeight="1">
      <c r="A29" s="67" t="inlineStr">
        <is>
          <t>MAT-025</t>
        </is>
      </c>
      <c r="B29" s="67" t="inlineStr">
        <is>
          <t>PRJ-001</t>
        </is>
      </c>
      <c r="C29" s="67" t="inlineStr">
        <is>
          <t>RM-04</t>
        </is>
      </c>
      <c r="D29" s="67" t="inlineStr">
        <is>
          <t>Wardrobe kit</t>
        </is>
      </c>
      <c r="E29" s="68" t="inlineStr">
        <is>
          <t>IKEA / custom face</t>
        </is>
      </c>
      <c r="F29" s="68" t="inlineStr">
        <is>
          <t>PAX-WO</t>
        </is>
      </c>
      <c r="G29" s="68" t="inlineStr">
        <is>
          <t>Cabinetry</t>
        </is>
      </c>
      <c r="H29" s="67" t="n">
        <v>1</v>
      </c>
      <c r="I29" s="67" t="inlineStr">
        <is>
          <t>set</t>
        </is>
      </c>
      <c r="J29" s="71" t="n">
        <v>890</v>
      </c>
      <c r="K29" s="89">
        <f>IF($A29="","",$H29*$J29)</f>
        <v/>
      </c>
      <c r="L29" s="68" t="inlineStr">
        <is>
          <t>IKEA</t>
        </is>
      </c>
      <c r="M29" s="67" t="n">
        <v>0</v>
      </c>
      <c r="N29" s="67" t="n">
        <v>0</v>
      </c>
      <c r="O29" s="67" t="n">
        <v>0</v>
      </c>
      <c r="P29" s="68" t="inlineStr">
        <is>
          <t>Required</t>
        </is>
      </c>
      <c r="Q29" s="68" t="n">
        <v>12</v>
      </c>
      <c r="R29" s="67" t="inlineStr"/>
      <c r="S29" s="70" t="n"/>
      <c r="T29" s="70" t="n"/>
      <c r="U29" s="67" t="inlineStr">
        <is>
          <t>QR-PAX</t>
        </is>
      </c>
      <c r="V29" s="113">
        <f>IF($A29="","",$H29-$N29)</f>
        <v/>
      </c>
    </row>
    <row r="30">
      <c r="A30" s="82" t="n"/>
      <c r="B30" s="82" t="n"/>
      <c r="C30" s="82" t="n"/>
      <c r="D30" s="82" t="n"/>
      <c r="E30" s="82" t="n"/>
      <c r="F30" s="82" t="n"/>
      <c r="G30" s="82" t="n"/>
      <c r="H30" s="82" t="n"/>
      <c r="I30" s="82" t="n"/>
      <c r="J30" s="82" t="n"/>
      <c r="L30" s="82" t="n"/>
      <c r="M30" s="82" t="n"/>
      <c r="N30" s="82" t="n"/>
      <c r="O30" s="82" t="n"/>
      <c r="P30" s="82" t="n"/>
      <c r="Q30" s="82" t="n"/>
      <c r="R30" s="82" t="n"/>
      <c r="S30" s="82" t="n"/>
      <c r="T30" s="82" t="n"/>
      <c r="U30" s="82" t="n"/>
    </row>
    <row r="31">
      <c r="A31" s="82" t="n"/>
      <c r="B31" s="82" t="n"/>
      <c r="C31" s="82" t="n"/>
      <c r="D31" s="82" t="n"/>
      <c r="E31" s="82" t="n"/>
      <c r="F31" s="82" t="n"/>
      <c r="G31" s="82" t="n"/>
      <c r="H31" s="82" t="n"/>
      <c r="I31" s="82" t="n"/>
      <c r="J31" s="82" t="n"/>
      <c r="L31" s="82" t="n"/>
      <c r="M31" s="82" t="n"/>
      <c r="N31" s="82" t="n"/>
      <c r="O31" s="82" t="n"/>
      <c r="P31" s="82" t="n"/>
      <c r="Q31" s="82" t="n"/>
      <c r="R31" s="82" t="n"/>
      <c r="S31" s="82" t="n"/>
      <c r="T31" s="82" t="n"/>
      <c r="U31" s="82" t="n"/>
    </row>
    <row r="32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  <c r="L32" s="82" t="n"/>
      <c r="M32" s="82" t="n"/>
      <c r="N32" s="82" t="n"/>
      <c r="O32" s="82" t="n"/>
      <c r="P32" s="82" t="n"/>
      <c r="Q32" s="82" t="n"/>
      <c r="R32" s="82" t="n"/>
      <c r="S32" s="82" t="n"/>
      <c r="T32" s="82" t="n"/>
      <c r="U32" s="82" t="n"/>
    </row>
    <row r="33">
      <c r="A33" s="82" t="n"/>
      <c r="B33" s="82" t="n"/>
      <c r="C33" s="82" t="n"/>
      <c r="D33" s="82" t="n"/>
      <c r="E33" s="82" t="n"/>
      <c r="F33" s="82" t="n"/>
      <c r="G33" s="82" t="n"/>
      <c r="H33" s="82" t="n"/>
      <c r="I33" s="82" t="n"/>
      <c r="J33" s="82" t="n"/>
      <c r="L33" s="82" t="n"/>
      <c r="M33" s="82" t="n"/>
      <c r="N33" s="82" t="n"/>
      <c r="O33" s="82" t="n"/>
      <c r="P33" s="82" t="n"/>
      <c r="Q33" s="82" t="n"/>
      <c r="R33" s="82" t="n"/>
      <c r="S33" s="82" t="n"/>
      <c r="T33" s="82" t="n"/>
      <c r="U33" s="82" t="n"/>
    </row>
    <row r="34">
      <c r="A34" s="82" t="n"/>
      <c r="B34" s="82" t="n"/>
      <c r="C34" s="82" t="n"/>
      <c r="D34" s="82" t="n"/>
      <c r="E34" s="82" t="n"/>
      <c r="F34" s="82" t="n"/>
      <c r="G34" s="82" t="n"/>
      <c r="H34" s="82" t="n"/>
      <c r="I34" s="82" t="n"/>
      <c r="J34" s="82" t="n"/>
      <c r="L34" s="82" t="n"/>
      <c r="M34" s="82" t="n"/>
      <c r="N34" s="82" t="n"/>
      <c r="O34" s="82" t="n"/>
      <c r="P34" s="82" t="n"/>
      <c r="Q34" s="82" t="n"/>
      <c r="R34" s="82" t="n"/>
      <c r="S34" s="82" t="n"/>
      <c r="T34" s="82" t="n"/>
      <c r="U34" s="82" t="n"/>
    </row>
    <row r="35">
      <c r="A35" s="82" t="n"/>
      <c r="B35" s="82" t="n"/>
      <c r="C35" s="82" t="n"/>
      <c r="D35" s="82" t="n"/>
      <c r="E35" s="82" t="n"/>
      <c r="F35" s="82" t="n"/>
      <c r="G35" s="82" t="n"/>
      <c r="H35" s="82" t="n"/>
      <c r="I35" s="82" t="n"/>
      <c r="J35" s="82" t="n"/>
      <c r="L35" s="82" t="n"/>
      <c r="M35" s="82" t="n"/>
      <c r="N35" s="82" t="n"/>
      <c r="O35" s="82" t="n"/>
      <c r="P35" s="82" t="n"/>
      <c r="Q35" s="82" t="n"/>
      <c r="R35" s="82" t="n"/>
      <c r="S35" s="82" t="n"/>
      <c r="T35" s="82" t="n"/>
      <c r="U35" s="82" t="n"/>
    </row>
    <row r="36">
      <c r="A36" s="82" t="n"/>
      <c r="B36" s="82" t="n"/>
      <c r="C36" s="82" t="n"/>
      <c r="D36" s="82" t="n"/>
      <c r="E36" s="82" t="n"/>
      <c r="F36" s="82" t="n"/>
      <c r="G36" s="82" t="n"/>
      <c r="H36" s="82" t="n"/>
      <c r="I36" s="82" t="n"/>
      <c r="J36" s="82" t="n"/>
      <c r="L36" s="82" t="n"/>
      <c r="M36" s="82" t="n"/>
      <c r="N36" s="82" t="n"/>
      <c r="O36" s="82" t="n"/>
      <c r="P36" s="82" t="n"/>
      <c r="Q36" s="82" t="n"/>
      <c r="R36" s="82" t="n"/>
      <c r="S36" s="82" t="n"/>
      <c r="T36" s="82" t="n"/>
      <c r="U36" s="82" t="n"/>
    </row>
    <row r="37">
      <c r="A37" s="82" t="n"/>
      <c r="B37" s="82" t="n"/>
      <c r="C37" s="82" t="n"/>
      <c r="D37" s="82" t="n"/>
      <c r="E37" s="82" t="n"/>
      <c r="F37" s="82" t="n"/>
      <c r="G37" s="82" t="n"/>
      <c r="H37" s="82" t="n"/>
      <c r="I37" s="82" t="n"/>
      <c r="J37" s="82" t="n"/>
      <c r="L37" s="82" t="n"/>
      <c r="M37" s="82" t="n"/>
      <c r="N37" s="82" t="n"/>
      <c r="O37" s="82" t="n"/>
      <c r="P37" s="82" t="n"/>
      <c r="Q37" s="82" t="n"/>
      <c r="R37" s="82" t="n"/>
      <c r="S37" s="82" t="n"/>
      <c r="T37" s="82" t="n"/>
      <c r="U37" s="82" t="n"/>
    </row>
    <row r="38">
      <c r="A38" s="82" t="n"/>
      <c r="B38" s="82" t="n"/>
      <c r="C38" s="82" t="n"/>
      <c r="D38" s="82" t="n"/>
      <c r="E38" s="82" t="n"/>
      <c r="F38" s="82" t="n"/>
      <c r="G38" s="82" t="n"/>
      <c r="H38" s="82" t="n"/>
      <c r="I38" s="82" t="n"/>
      <c r="J38" s="82" t="n"/>
      <c r="L38" s="82" t="n"/>
      <c r="M38" s="82" t="n"/>
      <c r="N38" s="82" t="n"/>
      <c r="O38" s="82" t="n"/>
      <c r="P38" s="82" t="n"/>
      <c r="Q38" s="82" t="n"/>
      <c r="R38" s="82" t="n"/>
      <c r="S38" s="82" t="n"/>
      <c r="T38" s="82" t="n"/>
      <c r="U38" s="82" t="n"/>
    </row>
    <row r="39">
      <c r="A39" s="82" t="n"/>
      <c r="B39" s="82" t="n"/>
      <c r="C39" s="82" t="n"/>
      <c r="D39" s="82" t="n"/>
      <c r="E39" s="82" t="n"/>
      <c r="F39" s="82" t="n"/>
      <c r="G39" s="82" t="n"/>
      <c r="H39" s="82" t="n"/>
      <c r="I39" s="82" t="n"/>
      <c r="J39" s="82" t="n"/>
      <c r="L39" s="82" t="n"/>
      <c r="M39" s="82" t="n"/>
      <c r="N39" s="82" t="n"/>
      <c r="O39" s="82" t="n"/>
      <c r="P39" s="82" t="n"/>
      <c r="Q39" s="82" t="n"/>
      <c r="R39" s="82" t="n"/>
      <c r="S39" s="82" t="n"/>
      <c r="T39" s="82" t="n"/>
      <c r="U39" s="82" t="n"/>
    </row>
    <row r="40">
      <c r="A40" s="82" t="n"/>
      <c r="B40" s="82" t="n"/>
      <c r="C40" s="82" t="n"/>
      <c r="D40" s="82" t="n"/>
      <c r="E40" s="82" t="n"/>
      <c r="F40" s="82" t="n"/>
      <c r="G40" s="82" t="n"/>
      <c r="H40" s="82" t="n"/>
      <c r="I40" s="82" t="n"/>
      <c r="J40" s="82" t="n"/>
      <c r="L40" s="82" t="n"/>
      <c r="M40" s="82" t="n"/>
      <c r="N40" s="82" t="n"/>
      <c r="O40" s="82" t="n"/>
      <c r="P40" s="82" t="n"/>
      <c r="Q40" s="82" t="n"/>
      <c r="R40" s="82" t="n"/>
      <c r="S40" s="82" t="n"/>
      <c r="T40" s="82" t="n"/>
      <c r="U40" s="82" t="n"/>
    </row>
    <row r="41">
      <c r="A41" s="82" t="n"/>
      <c r="B41" s="82" t="n"/>
      <c r="C41" s="82" t="n"/>
      <c r="D41" s="82" t="n"/>
      <c r="E41" s="82" t="n"/>
      <c r="F41" s="82" t="n"/>
      <c r="G41" s="82" t="n"/>
      <c r="H41" s="82" t="n"/>
      <c r="I41" s="82" t="n"/>
      <c r="J41" s="82" t="n"/>
      <c r="L41" s="82" t="n"/>
      <c r="M41" s="82" t="n"/>
      <c r="N41" s="82" t="n"/>
      <c r="O41" s="82" t="n"/>
      <c r="P41" s="82" t="n"/>
      <c r="Q41" s="82" t="n"/>
      <c r="R41" s="82" t="n"/>
      <c r="S41" s="82" t="n"/>
      <c r="T41" s="82" t="n"/>
      <c r="U41" s="82" t="n"/>
    </row>
    <row r="42">
      <c r="A42" s="82" t="n"/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L42" s="82" t="n"/>
      <c r="M42" s="82" t="n"/>
      <c r="N42" s="82" t="n"/>
      <c r="O42" s="82" t="n"/>
      <c r="P42" s="82" t="n"/>
      <c r="Q42" s="82" t="n"/>
      <c r="R42" s="82" t="n"/>
      <c r="S42" s="82" t="n"/>
      <c r="T42" s="82" t="n"/>
      <c r="U42" s="82" t="n"/>
    </row>
    <row r="43">
      <c r="A43" s="82" t="n"/>
      <c r="B43" s="82" t="n"/>
      <c r="C43" s="82" t="n"/>
      <c r="D43" s="82" t="n"/>
      <c r="E43" s="82" t="n"/>
      <c r="F43" s="82" t="n"/>
      <c r="G43" s="82" t="n"/>
      <c r="H43" s="82" t="n"/>
      <c r="I43" s="82" t="n"/>
      <c r="J43" s="82" t="n"/>
      <c r="L43" s="82" t="n"/>
      <c r="M43" s="82" t="n"/>
      <c r="N43" s="82" t="n"/>
      <c r="O43" s="82" t="n"/>
      <c r="P43" s="82" t="n"/>
      <c r="Q43" s="82" t="n"/>
      <c r="R43" s="82" t="n"/>
      <c r="S43" s="82" t="n"/>
      <c r="T43" s="82" t="n"/>
      <c r="U43" s="82" t="n"/>
    </row>
    <row r="44">
      <c r="A44" s="82" t="n"/>
      <c r="B44" s="82" t="n"/>
      <c r="C44" s="82" t="n"/>
      <c r="D44" s="82" t="n"/>
      <c r="E44" s="82" t="n"/>
      <c r="F44" s="82" t="n"/>
      <c r="G44" s="82" t="n"/>
      <c r="H44" s="82" t="n"/>
      <c r="I44" s="82" t="n"/>
      <c r="J44" s="82" t="n"/>
      <c r="L44" s="82" t="n"/>
      <c r="M44" s="82" t="n"/>
      <c r="N44" s="82" t="n"/>
      <c r="O44" s="82" t="n"/>
      <c r="P44" s="82" t="n"/>
      <c r="Q44" s="82" t="n"/>
      <c r="R44" s="82" t="n"/>
      <c r="S44" s="82" t="n"/>
      <c r="T44" s="82" t="n"/>
      <c r="U44" s="82" t="n"/>
    </row>
    <row r="45">
      <c r="A45" s="82" t="n"/>
      <c r="B45" s="82" t="n"/>
      <c r="C45" s="82" t="n"/>
      <c r="D45" s="82" t="n"/>
      <c r="E45" s="82" t="n"/>
      <c r="F45" s="82" t="n"/>
      <c r="G45" s="82" t="n"/>
      <c r="H45" s="82" t="n"/>
      <c r="I45" s="82" t="n"/>
      <c r="J45" s="82" t="n"/>
      <c r="L45" s="82" t="n"/>
      <c r="M45" s="82" t="n"/>
      <c r="N45" s="82" t="n"/>
      <c r="O45" s="82" t="n"/>
      <c r="P45" s="82" t="n"/>
      <c r="Q45" s="82" t="n"/>
      <c r="R45" s="82" t="n"/>
      <c r="S45" s="82" t="n"/>
      <c r="T45" s="82" t="n"/>
      <c r="U45" s="82" t="n"/>
    </row>
    <row r="46">
      <c r="A46" s="82" t="n"/>
      <c r="B46" s="82" t="n"/>
      <c r="C46" s="82" t="n"/>
      <c r="D46" s="82" t="n"/>
      <c r="E46" s="82" t="n"/>
      <c r="F46" s="82" t="n"/>
      <c r="G46" s="82" t="n"/>
      <c r="H46" s="82" t="n"/>
      <c r="I46" s="82" t="n"/>
      <c r="J46" s="82" t="n"/>
      <c r="L46" s="82" t="n"/>
      <c r="M46" s="82" t="n"/>
      <c r="N46" s="82" t="n"/>
      <c r="O46" s="82" t="n"/>
      <c r="P46" s="82" t="n"/>
      <c r="Q46" s="82" t="n"/>
      <c r="R46" s="82" t="n"/>
      <c r="S46" s="82" t="n"/>
      <c r="T46" s="82" t="n"/>
      <c r="U46" s="82" t="n"/>
    </row>
    <row r="47">
      <c r="A47" s="82" t="n"/>
      <c r="B47" s="82" t="n"/>
      <c r="C47" s="82" t="n"/>
      <c r="D47" s="82" t="n"/>
      <c r="E47" s="82" t="n"/>
      <c r="F47" s="82" t="n"/>
      <c r="G47" s="82" t="n"/>
      <c r="H47" s="82" t="n"/>
      <c r="I47" s="82" t="n"/>
      <c r="J47" s="82" t="n"/>
      <c r="L47" s="82" t="n"/>
      <c r="M47" s="82" t="n"/>
      <c r="N47" s="82" t="n"/>
      <c r="O47" s="82" t="n"/>
      <c r="P47" s="82" t="n"/>
      <c r="Q47" s="82" t="n"/>
      <c r="R47" s="82" t="n"/>
      <c r="S47" s="82" t="n"/>
      <c r="T47" s="82" t="n"/>
      <c r="U47" s="82" t="n"/>
    </row>
    <row r="48">
      <c r="A48" s="82" t="n"/>
      <c r="B48" s="82" t="n"/>
      <c r="C48" s="82" t="n"/>
      <c r="D48" s="82" t="n"/>
      <c r="E48" s="82" t="n"/>
      <c r="F48" s="82" t="n"/>
      <c r="G48" s="82" t="n"/>
      <c r="H48" s="82" t="n"/>
      <c r="I48" s="82" t="n"/>
      <c r="J48" s="82" t="n"/>
      <c r="L48" s="82" t="n"/>
      <c r="M48" s="82" t="n"/>
      <c r="N48" s="82" t="n"/>
      <c r="O48" s="82" t="n"/>
      <c r="P48" s="82" t="n"/>
      <c r="Q48" s="82" t="n"/>
      <c r="R48" s="82" t="n"/>
      <c r="S48" s="82" t="n"/>
      <c r="T48" s="82" t="n"/>
      <c r="U48" s="82" t="n"/>
    </row>
    <row r="49">
      <c r="A49" s="82" t="n"/>
      <c r="B49" s="82" t="n"/>
      <c r="C49" s="82" t="n"/>
      <c r="D49" s="82" t="n"/>
      <c r="E49" s="82" t="n"/>
      <c r="F49" s="82" t="n"/>
      <c r="G49" s="82" t="n"/>
      <c r="H49" s="82" t="n"/>
      <c r="I49" s="82" t="n"/>
      <c r="J49" s="82" t="n"/>
      <c r="L49" s="82" t="n"/>
      <c r="M49" s="82" t="n"/>
      <c r="N49" s="82" t="n"/>
      <c r="O49" s="82" t="n"/>
      <c r="P49" s="82" t="n"/>
      <c r="Q49" s="82" t="n"/>
      <c r="R49" s="82" t="n"/>
      <c r="S49" s="82" t="n"/>
      <c r="T49" s="82" t="n"/>
      <c r="U49" s="82" t="n"/>
    </row>
    <row r="50">
      <c r="A50" s="82" t="n"/>
      <c r="B50" s="82" t="n"/>
      <c r="C50" s="82" t="n"/>
      <c r="D50" s="82" t="n"/>
      <c r="E50" s="82" t="n"/>
      <c r="F50" s="82" t="n"/>
      <c r="G50" s="82" t="n"/>
      <c r="H50" s="82" t="n"/>
      <c r="I50" s="82" t="n"/>
      <c r="J50" s="82" t="n"/>
      <c r="L50" s="82" t="n"/>
      <c r="M50" s="82" t="n"/>
      <c r="N50" s="82" t="n"/>
      <c r="O50" s="82" t="n"/>
      <c r="P50" s="82" t="n"/>
      <c r="Q50" s="82" t="n"/>
      <c r="R50" s="82" t="n"/>
      <c r="S50" s="82" t="n"/>
      <c r="T50" s="82" t="n"/>
      <c r="U50" s="82" t="n"/>
    </row>
    <row r="51">
      <c r="A51" s="82" t="n"/>
      <c r="B51" s="82" t="n"/>
      <c r="C51" s="82" t="n"/>
      <c r="D51" s="82" t="n"/>
      <c r="E51" s="82" t="n"/>
      <c r="F51" s="82" t="n"/>
      <c r="G51" s="82" t="n"/>
      <c r="H51" s="82" t="n"/>
      <c r="I51" s="82" t="n"/>
      <c r="J51" s="82" t="n"/>
      <c r="L51" s="82" t="n"/>
      <c r="M51" s="82" t="n"/>
      <c r="N51" s="82" t="n"/>
      <c r="O51" s="82" t="n"/>
      <c r="P51" s="82" t="n"/>
      <c r="Q51" s="82" t="n"/>
      <c r="R51" s="82" t="n"/>
      <c r="S51" s="82" t="n"/>
      <c r="T51" s="82" t="n"/>
      <c r="U51" s="82" t="n"/>
    </row>
    <row r="52">
      <c r="A52" s="82" t="n"/>
      <c r="B52" s="82" t="n"/>
      <c r="C52" s="82" t="n"/>
      <c r="D52" s="82" t="n"/>
      <c r="E52" s="82" t="n"/>
      <c r="F52" s="82" t="n"/>
      <c r="G52" s="82" t="n"/>
      <c r="H52" s="82" t="n"/>
      <c r="I52" s="82" t="n"/>
      <c r="J52" s="82" t="n"/>
      <c r="L52" s="82" t="n"/>
      <c r="M52" s="82" t="n"/>
      <c r="N52" s="82" t="n"/>
      <c r="O52" s="82" t="n"/>
      <c r="P52" s="82" t="n"/>
      <c r="Q52" s="82" t="n"/>
      <c r="R52" s="82" t="n"/>
      <c r="S52" s="82" t="n"/>
      <c r="T52" s="82" t="n"/>
      <c r="U52" s="82" t="n"/>
    </row>
    <row r="53">
      <c r="A53" s="82" t="n"/>
      <c r="B53" s="82" t="n"/>
      <c r="C53" s="82" t="n"/>
      <c r="D53" s="82" t="n"/>
      <c r="E53" s="82" t="n"/>
      <c r="F53" s="82" t="n"/>
      <c r="G53" s="82" t="n"/>
      <c r="H53" s="82" t="n"/>
      <c r="I53" s="82" t="n"/>
      <c r="J53" s="82" t="n"/>
      <c r="L53" s="82" t="n"/>
      <c r="M53" s="82" t="n"/>
      <c r="N53" s="82" t="n"/>
      <c r="O53" s="82" t="n"/>
      <c r="P53" s="82" t="n"/>
      <c r="Q53" s="82" t="n"/>
      <c r="R53" s="82" t="n"/>
      <c r="S53" s="82" t="n"/>
      <c r="T53" s="82" t="n"/>
      <c r="U53" s="82" t="n"/>
    </row>
    <row r="54">
      <c r="A54" s="82" t="n"/>
      <c r="B54" s="82" t="n"/>
      <c r="C54" s="82" t="n"/>
      <c r="D54" s="82" t="n"/>
      <c r="E54" s="82" t="n"/>
      <c r="F54" s="82" t="n"/>
      <c r="G54" s="82" t="n"/>
      <c r="H54" s="82" t="n"/>
      <c r="I54" s="82" t="n"/>
      <c r="J54" s="82" t="n"/>
      <c r="L54" s="82" t="n"/>
      <c r="M54" s="82" t="n"/>
      <c r="N54" s="82" t="n"/>
      <c r="O54" s="82" t="n"/>
      <c r="P54" s="82" t="n"/>
      <c r="Q54" s="82" t="n"/>
      <c r="R54" s="82" t="n"/>
      <c r="S54" s="82" t="n"/>
      <c r="T54" s="82" t="n"/>
      <c r="U54" s="82" t="n"/>
    </row>
    <row r="55">
      <c r="A55" s="82" t="n"/>
      <c r="B55" s="82" t="n"/>
      <c r="C55" s="82" t="n"/>
      <c r="D55" s="82" t="n"/>
      <c r="E55" s="82" t="n"/>
      <c r="F55" s="82" t="n"/>
      <c r="G55" s="82" t="n"/>
      <c r="H55" s="82" t="n"/>
      <c r="I55" s="82" t="n"/>
      <c r="J55" s="82" t="n"/>
      <c r="L55" s="82" t="n"/>
      <c r="M55" s="82" t="n"/>
      <c r="N55" s="82" t="n"/>
      <c r="O55" s="82" t="n"/>
      <c r="P55" s="82" t="n"/>
      <c r="Q55" s="82" t="n"/>
      <c r="R55" s="82" t="n"/>
      <c r="S55" s="82" t="n"/>
      <c r="T55" s="82" t="n"/>
      <c r="U55" s="82" t="n"/>
    </row>
    <row r="56">
      <c r="A56" s="82" t="n"/>
      <c r="B56" s="82" t="n"/>
      <c r="C56" s="82" t="n"/>
      <c r="D56" s="82" t="n"/>
      <c r="E56" s="82" t="n"/>
      <c r="F56" s="82" t="n"/>
      <c r="G56" s="82" t="n"/>
      <c r="H56" s="82" t="n"/>
      <c r="I56" s="82" t="n"/>
      <c r="J56" s="82" t="n"/>
      <c r="L56" s="82" t="n"/>
      <c r="M56" s="82" t="n"/>
      <c r="N56" s="82" t="n"/>
      <c r="O56" s="82" t="n"/>
      <c r="P56" s="82" t="n"/>
      <c r="Q56" s="82" t="n"/>
      <c r="R56" s="82" t="n"/>
      <c r="S56" s="82" t="n"/>
      <c r="T56" s="82" t="n"/>
      <c r="U56" s="82" t="n"/>
    </row>
    <row r="57">
      <c r="A57" s="82" t="n"/>
      <c r="B57" s="82" t="n"/>
      <c r="C57" s="82" t="n"/>
      <c r="D57" s="82" t="n"/>
      <c r="E57" s="82" t="n"/>
      <c r="F57" s="82" t="n"/>
      <c r="G57" s="82" t="n"/>
      <c r="H57" s="82" t="n"/>
      <c r="I57" s="82" t="n"/>
      <c r="J57" s="82" t="n"/>
      <c r="L57" s="82" t="n"/>
      <c r="M57" s="82" t="n"/>
      <c r="N57" s="82" t="n"/>
      <c r="O57" s="82" t="n"/>
      <c r="P57" s="82" t="n"/>
      <c r="Q57" s="82" t="n"/>
      <c r="R57" s="82" t="n"/>
      <c r="S57" s="82" t="n"/>
      <c r="T57" s="82" t="n"/>
      <c r="U57" s="82" t="n"/>
    </row>
    <row r="58">
      <c r="A58" s="82" t="n"/>
      <c r="B58" s="82" t="n"/>
      <c r="C58" s="82" t="n"/>
      <c r="D58" s="82" t="n"/>
      <c r="E58" s="82" t="n"/>
      <c r="F58" s="82" t="n"/>
      <c r="G58" s="82" t="n"/>
      <c r="H58" s="82" t="n"/>
      <c r="I58" s="82" t="n"/>
      <c r="J58" s="82" t="n"/>
      <c r="L58" s="82" t="n"/>
      <c r="M58" s="82" t="n"/>
      <c r="N58" s="82" t="n"/>
      <c r="O58" s="82" t="n"/>
      <c r="P58" s="82" t="n"/>
      <c r="Q58" s="82" t="n"/>
      <c r="R58" s="82" t="n"/>
      <c r="S58" s="82" t="n"/>
      <c r="T58" s="82" t="n"/>
      <c r="U58" s="82" t="n"/>
    </row>
    <row r="59">
      <c r="A59" s="82" t="n"/>
      <c r="B59" s="82" t="n"/>
      <c r="C59" s="82" t="n"/>
      <c r="D59" s="82" t="n"/>
      <c r="E59" s="82" t="n"/>
      <c r="F59" s="82" t="n"/>
      <c r="G59" s="82" t="n"/>
      <c r="H59" s="82" t="n"/>
      <c r="I59" s="82" t="n"/>
      <c r="J59" s="82" t="n"/>
      <c r="L59" s="82" t="n"/>
      <c r="M59" s="82" t="n"/>
      <c r="N59" s="82" t="n"/>
      <c r="O59" s="82" t="n"/>
      <c r="P59" s="82" t="n"/>
      <c r="Q59" s="82" t="n"/>
      <c r="R59" s="82" t="n"/>
      <c r="S59" s="82" t="n"/>
      <c r="T59" s="82" t="n"/>
      <c r="U59" s="82" t="n"/>
    </row>
    <row r="60">
      <c r="A60" s="82" t="n"/>
      <c r="B60" s="82" t="n"/>
      <c r="C60" s="82" t="n"/>
      <c r="D60" s="82" t="n"/>
      <c r="E60" s="82" t="n"/>
      <c r="F60" s="82" t="n"/>
      <c r="G60" s="82" t="n"/>
      <c r="H60" s="82" t="n"/>
      <c r="I60" s="82" t="n"/>
      <c r="J60" s="82" t="n"/>
      <c r="L60" s="82" t="n"/>
      <c r="M60" s="82" t="n"/>
      <c r="N60" s="82" t="n"/>
      <c r="O60" s="82" t="n"/>
      <c r="P60" s="82" t="n"/>
      <c r="Q60" s="82" t="n"/>
      <c r="R60" s="82" t="n"/>
      <c r="S60" s="82" t="n"/>
      <c r="T60" s="82" t="n"/>
      <c r="U60" s="82" t="n"/>
    </row>
    <row r="61">
      <c r="A61" s="82" t="n"/>
      <c r="B61" s="82" t="n"/>
      <c r="C61" s="82" t="n"/>
      <c r="D61" s="82" t="n"/>
      <c r="E61" s="82" t="n"/>
      <c r="F61" s="82" t="n"/>
      <c r="G61" s="82" t="n"/>
      <c r="H61" s="82" t="n"/>
      <c r="I61" s="82" t="n"/>
      <c r="J61" s="82" t="n"/>
      <c r="L61" s="82" t="n"/>
      <c r="M61" s="82" t="n"/>
      <c r="N61" s="82" t="n"/>
      <c r="O61" s="82" t="n"/>
      <c r="P61" s="82" t="n"/>
      <c r="Q61" s="82" t="n"/>
      <c r="R61" s="82" t="n"/>
      <c r="S61" s="82" t="n"/>
      <c r="T61" s="82" t="n"/>
      <c r="U61" s="82" t="n"/>
    </row>
    <row r="62">
      <c r="A62" s="82" t="n"/>
      <c r="B62" s="82" t="n"/>
      <c r="C62" s="82" t="n"/>
      <c r="D62" s="82" t="n"/>
      <c r="E62" s="82" t="n"/>
      <c r="F62" s="82" t="n"/>
      <c r="G62" s="82" t="n"/>
      <c r="H62" s="82" t="n"/>
      <c r="I62" s="82" t="n"/>
      <c r="J62" s="82" t="n"/>
      <c r="L62" s="82" t="n"/>
      <c r="M62" s="82" t="n"/>
      <c r="N62" s="82" t="n"/>
      <c r="O62" s="82" t="n"/>
      <c r="P62" s="82" t="n"/>
      <c r="Q62" s="82" t="n"/>
      <c r="R62" s="82" t="n"/>
      <c r="S62" s="82" t="n"/>
      <c r="T62" s="82" t="n"/>
      <c r="U62" s="82" t="n"/>
    </row>
    <row r="63">
      <c r="A63" s="82" t="n"/>
      <c r="B63" s="82" t="n"/>
      <c r="C63" s="82" t="n"/>
      <c r="D63" s="82" t="n"/>
      <c r="E63" s="82" t="n"/>
      <c r="F63" s="82" t="n"/>
      <c r="G63" s="82" t="n"/>
      <c r="H63" s="82" t="n"/>
      <c r="I63" s="82" t="n"/>
      <c r="J63" s="82" t="n"/>
      <c r="L63" s="82" t="n"/>
      <c r="M63" s="82" t="n"/>
      <c r="N63" s="82" t="n"/>
      <c r="O63" s="82" t="n"/>
      <c r="P63" s="82" t="n"/>
      <c r="Q63" s="82" t="n"/>
      <c r="R63" s="82" t="n"/>
      <c r="S63" s="82" t="n"/>
      <c r="T63" s="82" t="n"/>
      <c r="U63" s="82" t="n"/>
    </row>
    <row r="64">
      <c r="A64" s="82" t="n"/>
      <c r="B64" s="82" t="n"/>
      <c r="C64" s="82" t="n"/>
      <c r="D64" s="82" t="n"/>
      <c r="E64" s="82" t="n"/>
      <c r="F64" s="82" t="n"/>
      <c r="G64" s="82" t="n"/>
      <c r="H64" s="82" t="n"/>
      <c r="I64" s="82" t="n"/>
      <c r="J64" s="82" t="n"/>
      <c r="L64" s="82" t="n"/>
      <c r="M64" s="82" t="n"/>
      <c r="N64" s="82" t="n"/>
      <c r="O64" s="82" t="n"/>
      <c r="P64" s="82" t="n"/>
      <c r="Q64" s="82" t="n"/>
      <c r="R64" s="82" t="n"/>
      <c r="S64" s="82" t="n"/>
      <c r="T64" s="82" t="n"/>
      <c r="U64" s="82" t="n"/>
    </row>
    <row r="65">
      <c r="A65" s="82" t="n"/>
      <c r="B65" s="82" t="n"/>
      <c r="C65" s="82" t="n"/>
      <c r="D65" s="82" t="n"/>
      <c r="E65" s="82" t="n"/>
      <c r="F65" s="82" t="n"/>
      <c r="G65" s="82" t="n"/>
      <c r="H65" s="82" t="n"/>
      <c r="I65" s="82" t="n"/>
      <c r="J65" s="82" t="n"/>
      <c r="L65" s="82" t="n"/>
      <c r="M65" s="82" t="n"/>
      <c r="N65" s="82" t="n"/>
      <c r="O65" s="82" t="n"/>
      <c r="P65" s="82" t="n"/>
      <c r="Q65" s="82" t="n"/>
      <c r="R65" s="82" t="n"/>
      <c r="S65" s="82" t="n"/>
      <c r="T65" s="82" t="n"/>
      <c r="U65" s="82" t="n"/>
    </row>
    <row r="66">
      <c r="A66" s="82" t="n"/>
      <c r="B66" s="82" t="n"/>
      <c r="C66" s="82" t="n"/>
      <c r="D66" s="82" t="n"/>
      <c r="E66" s="82" t="n"/>
      <c r="F66" s="82" t="n"/>
      <c r="G66" s="82" t="n"/>
      <c r="H66" s="82" t="n"/>
      <c r="I66" s="82" t="n"/>
      <c r="J66" s="82" t="n"/>
      <c r="L66" s="82" t="n"/>
      <c r="M66" s="82" t="n"/>
      <c r="N66" s="82" t="n"/>
      <c r="O66" s="82" t="n"/>
      <c r="P66" s="82" t="n"/>
      <c r="Q66" s="82" t="n"/>
      <c r="R66" s="82" t="n"/>
      <c r="S66" s="82" t="n"/>
      <c r="T66" s="82" t="n"/>
      <c r="U66" s="82" t="n"/>
    </row>
    <row r="67">
      <c r="A67" s="82" t="n"/>
      <c r="B67" s="82" t="n"/>
      <c r="C67" s="82" t="n"/>
      <c r="D67" s="82" t="n"/>
      <c r="E67" s="82" t="n"/>
      <c r="F67" s="82" t="n"/>
      <c r="G67" s="82" t="n"/>
      <c r="H67" s="82" t="n"/>
      <c r="I67" s="82" t="n"/>
      <c r="J67" s="82" t="n"/>
      <c r="L67" s="82" t="n"/>
      <c r="M67" s="82" t="n"/>
      <c r="N67" s="82" t="n"/>
      <c r="O67" s="82" t="n"/>
      <c r="P67" s="82" t="n"/>
      <c r="Q67" s="82" t="n"/>
      <c r="R67" s="82" t="n"/>
      <c r="S67" s="82" t="n"/>
      <c r="T67" s="82" t="n"/>
      <c r="U67" s="82" t="n"/>
    </row>
    <row r="68">
      <c r="A68" s="82" t="n"/>
      <c r="B68" s="82" t="n"/>
      <c r="C68" s="82" t="n"/>
      <c r="D68" s="82" t="n"/>
      <c r="E68" s="82" t="n"/>
      <c r="F68" s="82" t="n"/>
      <c r="G68" s="82" t="n"/>
      <c r="H68" s="82" t="n"/>
      <c r="I68" s="82" t="n"/>
      <c r="J68" s="82" t="n"/>
      <c r="L68" s="82" t="n"/>
      <c r="M68" s="82" t="n"/>
      <c r="N68" s="82" t="n"/>
      <c r="O68" s="82" t="n"/>
      <c r="P68" s="82" t="n"/>
      <c r="Q68" s="82" t="n"/>
      <c r="R68" s="82" t="n"/>
      <c r="S68" s="82" t="n"/>
      <c r="T68" s="82" t="n"/>
      <c r="U68" s="82" t="n"/>
    </row>
    <row r="69">
      <c r="A69" s="82" t="n"/>
      <c r="B69" s="82" t="n"/>
      <c r="C69" s="82" t="n"/>
      <c r="D69" s="82" t="n"/>
      <c r="E69" s="82" t="n"/>
      <c r="F69" s="82" t="n"/>
      <c r="G69" s="82" t="n"/>
      <c r="H69" s="82" t="n"/>
      <c r="I69" s="82" t="n"/>
      <c r="J69" s="82" t="n"/>
      <c r="L69" s="82" t="n"/>
      <c r="M69" s="82" t="n"/>
      <c r="N69" s="82" t="n"/>
      <c r="O69" s="82" t="n"/>
      <c r="P69" s="82" t="n"/>
      <c r="Q69" s="82" t="n"/>
      <c r="R69" s="82" t="n"/>
      <c r="S69" s="82" t="n"/>
      <c r="T69" s="82" t="n"/>
      <c r="U69" s="82" t="n"/>
    </row>
    <row r="70">
      <c r="A70" s="82" t="n"/>
      <c r="B70" s="82" t="n"/>
      <c r="C70" s="82" t="n"/>
      <c r="D70" s="82" t="n"/>
      <c r="E70" s="82" t="n"/>
      <c r="F70" s="82" t="n"/>
      <c r="G70" s="82" t="n"/>
      <c r="H70" s="82" t="n"/>
      <c r="I70" s="82" t="n"/>
      <c r="J70" s="82" t="n"/>
      <c r="L70" s="82" t="n"/>
      <c r="M70" s="82" t="n"/>
      <c r="N70" s="82" t="n"/>
      <c r="O70" s="82" t="n"/>
      <c r="P70" s="82" t="n"/>
      <c r="Q70" s="82" t="n"/>
      <c r="R70" s="82" t="n"/>
      <c r="S70" s="82" t="n"/>
      <c r="T70" s="82" t="n"/>
      <c r="U70" s="82" t="n"/>
    </row>
    <row r="71">
      <c r="A71" s="82" t="n"/>
      <c r="B71" s="82" t="n"/>
      <c r="C71" s="82" t="n"/>
      <c r="D71" s="82" t="n"/>
      <c r="E71" s="82" t="n"/>
      <c r="F71" s="82" t="n"/>
      <c r="G71" s="82" t="n"/>
      <c r="H71" s="82" t="n"/>
      <c r="I71" s="82" t="n"/>
      <c r="J71" s="82" t="n"/>
      <c r="L71" s="82" t="n"/>
      <c r="M71" s="82" t="n"/>
      <c r="N71" s="82" t="n"/>
      <c r="O71" s="82" t="n"/>
      <c r="P71" s="82" t="n"/>
      <c r="Q71" s="82" t="n"/>
      <c r="R71" s="82" t="n"/>
      <c r="S71" s="82" t="n"/>
      <c r="T71" s="82" t="n"/>
      <c r="U71" s="82" t="n"/>
    </row>
    <row r="72">
      <c r="A72" s="82" t="n"/>
      <c r="B72" s="82" t="n"/>
      <c r="C72" s="82" t="n"/>
      <c r="D72" s="82" t="n"/>
      <c r="E72" s="82" t="n"/>
      <c r="F72" s="82" t="n"/>
      <c r="G72" s="82" t="n"/>
      <c r="H72" s="82" t="n"/>
      <c r="I72" s="82" t="n"/>
      <c r="J72" s="82" t="n"/>
      <c r="L72" s="82" t="n"/>
      <c r="M72" s="82" t="n"/>
      <c r="N72" s="82" t="n"/>
      <c r="O72" s="82" t="n"/>
      <c r="P72" s="82" t="n"/>
      <c r="Q72" s="82" t="n"/>
      <c r="R72" s="82" t="n"/>
      <c r="S72" s="82" t="n"/>
      <c r="T72" s="82" t="n"/>
      <c r="U72" s="82" t="n"/>
    </row>
    <row r="73">
      <c r="A73" s="82" t="n"/>
      <c r="B73" s="82" t="n"/>
      <c r="C73" s="82" t="n"/>
      <c r="D73" s="82" t="n"/>
      <c r="E73" s="82" t="n"/>
      <c r="F73" s="82" t="n"/>
      <c r="G73" s="82" t="n"/>
      <c r="H73" s="82" t="n"/>
      <c r="I73" s="82" t="n"/>
      <c r="J73" s="82" t="n"/>
      <c r="L73" s="82" t="n"/>
      <c r="M73" s="82" t="n"/>
      <c r="N73" s="82" t="n"/>
      <c r="O73" s="82" t="n"/>
      <c r="P73" s="82" t="n"/>
      <c r="Q73" s="82" t="n"/>
      <c r="R73" s="82" t="n"/>
      <c r="S73" s="82" t="n"/>
      <c r="T73" s="82" t="n"/>
      <c r="U73" s="82" t="n"/>
    </row>
    <row r="74">
      <c r="A74" s="82" t="n"/>
      <c r="B74" s="82" t="n"/>
      <c r="C74" s="82" t="n"/>
      <c r="D74" s="82" t="n"/>
      <c r="E74" s="82" t="n"/>
      <c r="F74" s="82" t="n"/>
      <c r="G74" s="82" t="n"/>
      <c r="H74" s="82" t="n"/>
      <c r="I74" s="82" t="n"/>
      <c r="J74" s="82" t="n"/>
      <c r="L74" s="82" t="n"/>
      <c r="M74" s="82" t="n"/>
      <c r="N74" s="82" t="n"/>
      <c r="O74" s="82" t="n"/>
      <c r="P74" s="82" t="n"/>
      <c r="Q74" s="82" t="n"/>
      <c r="R74" s="82" t="n"/>
      <c r="S74" s="82" t="n"/>
      <c r="T74" s="82" t="n"/>
      <c r="U74" s="82" t="n"/>
    </row>
    <row r="75">
      <c r="A75" s="82" t="n"/>
      <c r="B75" s="82" t="n"/>
      <c r="C75" s="82" t="n"/>
      <c r="D75" s="82" t="n"/>
      <c r="E75" s="82" t="n"/>
      <c r="F75" s="82" t="n"/>
      <c r="G75" s="82" t="n"/>
      <c r="H75" s="82" t="n"/>
      <c r="I75" s="82" t="n"/>
      <c r="J75" s="82" t="n"/>
      <c r="L75" s="82" t="n"/>
      <c r="M75" s="82" t="n"/>
      <c r="N75" s="82" t="n"/>
      <c r="O75" s="82" t="n"/>
      <c r="P75" s="82" t="n"/>
      <c r="Q75" s="82" t="n"/>
      <c r="R75" s="82" t="n"/>
      <c r="S75" s="82" t="n"/>
      <c r="T75" s="82" t="n"/>
      <c r="U75" s="82" t="n"/>
    </row>
    <row r="76">
      <c r="A76" s="82" t="n"/>
      <c r="B76" s="82" t="n"/>
      <c r="C76" s="82" t="n"/>
      <c r="D76" s="82" t="n"/>
      <c r="E76" s="82" t="n"/>
      <c r="F76" s="82" t="n"/>
      <c r="G76" s="82" t="n"/>
      <c r="H76" s="82" t="n"/>
      <c r="I76" s="82" t="n"/>
      <c r="J76" s="82" t="n"/>
      <c r="L76" s="82" t="n"/>
      <c r="M76" s="82" t="n"/>
      <c r="N76" s="82" t="n"/>
      <c r="O76" s="82" t="n"/>
      <c r="P76" s="82" t="n"/>
      <c r="Q76" s="82" t="n"/>
      <c r="R76" s="82" t="n"/>
      <c r="S76" s="82" t="n"/>
      <c r="T76" s="82" t="n"/>
      <c r="U76" s="82" t="n"/>
    </row>
    <row r="77">
      <c r="A77" s="82" t="n"/>
      <c r="B77" s="82" t="n"/>
      <c r="C77" s="82" t="n"/>
      <c r="D77" s="82" t="n"/>
      <c r="E77" s="82" t="n"/>
      <c r="F77" s="82" t="n"/>
      <c r="G77" s="82" t="n"/>
      <c r="H77" s="82" t="n"/>
      <c r="I77" s="82" t="n"/>
      <c r="J77" s="82" t="n"/>
      <c r="L77" s="82" t="n"/>
      <c r="M77" s="82" t="n"/>
      <c r="N77" s="82" t="n"/>
      <c r="O77" s="82" t="n"/>
      <c r="P77" s="82" t="n"/>
      <c r="Q77" s="82" t="n"/>
      <c r="R77" s="82" t="n"/>
      <c r="S77" s="82" t="n"/>
      <c r="T77" s="82" t="n"/>
      <c r="U77" s="82" t="n"/>
    </row>
    <row r="78">
      <c r="A78" s="82" t="n"/>
      <c r="B78" s="82" t="n"/>
      <c r="C78" s="82" t="n"/>
      <c r="D78" s="82" t="n"/>
      <c r="E78" s="82" t="n"/>
      <c r="F78" s="82" t="n"/>
      <c r="G78" s="82" t="n"/>
      <c r="H78" s="82" t="n"/>
      <c r="I78" s="82" t="n"/>
      <c r="J78" s="82" t="n"/>
      <c r="L78" s="82" t="n"/>
      <c r="M78" s="82" t="n"/>
      <c r="N78" s="82" t="n"/>
      <c r="O78" s="82" t="n"/>
      <c r="P78" s="82" t="n"/>
      <c r="Q78" s="82" t="n"/>
      <c r="R78" s="82" t="n"/>
      <c r="S78" s="82" t="n"/>
      <c r="T78" s="82" t="n"/>
      <c r="U78" s="82" t="n"/>
    </row>
    <row r="79">
      <c r="A79" s="82" t="n"/>
      <c r="B79" s="82" t="n"/>
      <c r="C79" s="82" t="n"/>
      <c r="D79" s="82" t="n"/>
      <c r="E79" s="82" t="n"/>
      <c r="F79" s="82" t="n"/>
      <c r="G79" s="82" t="n"/>
      <c r="H79" s="82" t="n"/>
      <c r="I79" s="82" t="n"/>
      <c r="J79" s="82" t="n"/>
      <c r="L79" s="82" t="n"/>
      <c r="M79" s="82" t="n"/>
      <c r="N79" s="82" t="n"/>
      <c r="O79" s="82" t="n"/>
      <c r="P79" s="82" t="n"/>
      <c r="Q79" s="82" t="n"/>
      <c r="R79" s="82" t="n"/>
      <c r="S79" s="82" t="n"/>
      <c r="T79" s="82" t="n"/>
      <c r="U79" s="82" t="n"/>
    </row>
    <row r="80">
      <c r="A80" s="82" t="n"/>
      <c r="B80" s="82" t="n"/>
      <c r="C80" s="82" t="n"/>
      <c r="D80" s="82" t="n"/>
      <c r="E80" s="82" t="n"/>
      <c r="F80" s="82" t="n"/>
      <c r="G80" s="82" t="n"/>
      <c r="H80" s="82" t="n"/>
      <c r="I80" s="82" t="n"/>
      <c r="J80" s="82" t="n"/>
      <c r="L80" s="82" t="n"/>
      <c r="M80" s="82" t="n"/>
      <c r="N80" s="82" t="n"/>
      <c r="O80" s="82" t="n"/>
      <c r="P80" s="82" t="n"/>
      <c r="Q80" s="82" t="n"/>
      <c r="R80" s="82" t="n"/>
      <c r="S80" s="82" t="n"/>
      <c r="T80" s="82" t="n"/>
      <c r="U80" s="82" t="n"/>
    </row>
    <row r="81">
      <c r="A81" s="82" t="n"/>
      <c r="B81" s="82" t="n"/>
      <c r="C81" s="82" t="n"/>
      <c r="D81" s="82" t="n"/>
      <c r="E81" s="82" t="n"/>
      <c r="F81" s="82" t="n"/>
      <c r="G81" s="82" t="n"/>
      <c r="H81" s="82" t="n"/>
      <c r="I81" s="82" t="n"/>
      <c r="J81" s="82" t="n"/>
      <c r="L81" s="82" t="n"/>
      <c r="M81" s="82" t="n"/>
      <c r="N81" s="82" t="n"/>
      <c r="O81" s="82" t="n"/>
      <c r="P81" s="82" t="n"/>
      <c r="Q81" s="82" t="n"/>
      <c r="R81" s="82" t="n"/>
      <c r="S81" s="82" t="n"/>
      <c r="T81" s="82" t="n"/>
      <c r="U81" s="82" t="n"/>
    </row>
    <row r="82">
      <c r="A82" s="82" t="n"/>
      <c r="B82" s="82" t="n"/>
      <c r="C82" s="82" t="n"/>
      <c r="D82" s="82" t="n"/>
      <c r="E82" s="82" t="n"/>
      <c r="F82" s="82" t="n"/>
      <c r="G82" s="82" t="n"/>
      <c r="H82" s="82" t="n"/>
      <c r="I82" s="82" t="n"/>
      <c r="J82" s="82" t="n"/>
      <c r="L82" s="82" t="n"/>
      <c r="M82" s="82" t="n"/>
      <c r="N82" s="82" t="n"/>
      <c r="O82" s="82" t="n"/>
      <c r="P82" s="82" t="n"/>
      <c r="Q82" s="82" t="n"/>
      <c r="R82" s="82" t="n"/>
      <c r="S82" s="82" t="n"/>
      <c r="T82" s="82" t="n"/>
      <c r="U82" s="82" t="n"/>
    </row>
    <row r="83">
      <c r="A83" s="82" t="n"/>
      <c r="B83" s="82" t="n"/>
      <c r="C83" s="82" t="n"/>
      <c r="D83" s="82" t="n"/>
      <c r="E83" s="82" t="n"/>
      <c r="F83" s="82" t="n"/>
      <c r="G83" s="82" t="n"/>
      <c r="H83" s="82" t="n"/>
      <c r="I83" s="82" t="n"/>
      <c r="J83" s="82" t="n"/>
      <c r="L83" s="82" t="n"/>
      <c r="M83" s="82" t="n"/>
      <c r="N83" s="82" t="n"/>
      <c r="O83" s="82" t="n"/>
      <c r="P83" s="82" t="n"/>
      <c r="Q83" s="82" t="n"/>
      <c r="R83" s="82" t="n"/>
      <c r="S83" s="82" t="n"/>
      <c r="T83" s="82" t="n"/>
      <c r="U83" s="82" t="n"/>
    </row>
    <row r="84">
      <c r="A84" s="82" t="n"/>
      <c r="B84" s="82" t="n"/>
      <c r="C84" s="82" t="n"/>
      <c r="D84" s="82" t="n"/>
      <c r="E84" s="82" t="n"/>
      <c r="F84" s="82" t="n"/>
      <c r="G84" s="82" t="n"/>
      <c r="H84" s="82" t="n"/>
      <c r="I84" s="82" t="n"/>
      <c r="J84" s="82" t="n"/>
      <c r="L84" s="82" t="n"/>
      <c r="M84" s="82" t="n"/>
      <c r="N84" s="82" t="n"/>
      <c r="O84" s="82" t="n"/>
      <c r="P84" s="82" t="n"/>
      <c r="Q84" s="82" t="n"/>
      <c r="R84" s="82" t="n"/>
      <c r="S84" s="82" t="n"/>
      <c r="T84" s="82" t="n"/>
      <c r="U84" s="82" t="n"/>
    </row>
    <row r="85">
      <c r="A85" s="82" t="n"/>
      <c r="B85" s="82" t="n"/>
      <c r="C85" s="82" t="n"/>
      <c r="D85" s="82" t="n"/>
      <c r="E85" s="82" t="n"/>
      <c r="F85" s="82" t="n"/>
      <c r="G85" s="82" t="n"/>
      <c r="H85" s="82" t="n"/>
      <c r="I85" s="82" t="n"/>
      <c r="J85" s="82" t="n"/>
      <c r="L85" s="82" t="n"/>
      <c r="M85" s="82" t="n"/>
      <c r="N85" s="82" t="n"/>
      <c r="O85" s="82" t="n"/>
      <c r="P85" s="82" t="n"/>
      <c r="Q85" s="82" t="n"/>
      <c r="R85" s="82" t="n"/>
      <c r="S85" s="82" t="n"/>
      <c r="T85" s="82" t="n"/>
      <c r="U85" s="82" t="n"/>
    </row>
    <row r="86">
      <c r="A86" s="82" t="n"/>
      <c r="B86" s="82" t="n"/>
      <c r="C86" s="82" t="n"/>
      <c r="D86" s="82" t="n"/>
      <c r="E86" s="82" t="n"/>
      <c r="F86" s="82" t="n"/>
      <c r="G86" s="82" t="n"/>
      <c r="H86" s="82" t="n"/>
      <c r="I86" s="82" t="n"/>
      <c r="J86" s="82" t="n"/>
      <c r="L86" s="82" t="n"/>
      <c r="M86" s="82" t="n"/>
      <c r="N86" s="82" t="n"/>
      <c r="O86" s="82" t="n"/>
      <c r="P86" s="82" t="n"/>
      <c r="Q86" s="82" t="n"/>
      <c r="R86" s="82" t="n"/>
      <c r="S86" s="82" t="n"/>
      <c r="T86" s="82" t="n"/>
      <c r="U86" s="82" t="n"/>
    </row>
    <row r="87">
      <c r="A87" s="82" t="n"/>
      <c r="B87" s="82" t="n"/>
      <c r="C87" s="82" t="n"/>
      <c r="D87" s="82" t="n"/>
      <c r="E87" s="82" t="n"/>
      <c r="F87" s="82" t="n"/>
      <c r="G87" s="82" t="n"/>
      <c r="H87" s="82" t="n"/>
      <c r="I87" s="82" t="n"/>
      <c r="J87" s="82" t="n"/>
      <c r="L87" s="82" t="n"/>
      <c r="M87" s="82" t="n"/>
      <c r="N87" s="82" t="n"/>
      <c r="O87" s="82" t="n"/>
      <c r="P87" s="82" t="n"/>
      <c r="Q87" s="82" t="n"/>
      <c r="R87" s="82" t="n"/>
      <c r="S87" s="82" t="n"/>
      <c r="T87" s="82" t="n"/>
      <c r="U87" s="82" t="n"/>
    </row>
    <row r="88">
      <c r="A88" s="82" t="n"/>
      <c r="B88" s="82" t="n"/>
      <c r="C88" s="82" t="n"/>
      <c r="D88" s="82" t="n"/>
      <c r="E88" s="82" t="n"/>
      <c r="F88" s="82" t="n"/>
      <c r="G88" s="82" t="n"/>
      <c r="H88" s="82" t="n"/>
      <c r="I88" s="82" t="n"/>
      <c r="J88" s="82" t="n"/>
      <c r="L88" s="82" t="n"/>
      <c r="M88" s="82" t="n"/>
      <c r="N88" s="82" t="n"/>
      <c r="O88" s="82" t="n"/>
      <c r="P88" s="82" t="n"/>
      <c r="Q88" s="82" t="n"/>
      <c r="R88" s="82" t="n"/>
      <c r="S88" s="82" t="n"/>
      <c r="T88" s="82" t="n"/>
      <c r="U88" s="82" t="n"/>
    </row>
    <row r="89">
      <c r="A89" s="82" t="n"/>
      <c r="B89" s="82" t="n"/>
      <c r="C89" s="82" t="n"/>
      <c r="D89" s="82" t="n"/>
      <c r="E89" s="82" t="n"/>
      <c r="F89" s="82" t="n"/>
      <c r="G89" s="82" t="n"/>
      <c r="H89" s="82" t="n"/>
      <c r="I89" s="82" t="n"/>
      <c r="J89" s="82" t="n"/>
      <c r="L89" s="82" t="n"/>
      <c r="M89" s="82" t="n"/>
      <c r="N89" s="82" t="n"/>
      <c r="O89" s="82" t="n"/>
      <c r="P89" s="82" t="n"/>
      <c r="Q89" s="82" t="n"/>
      <c r="R89" s="82" t="n"/>
      <c r="S89" s="82" t="n"/>
      <c r="T89" s="82" t="n"/>
      <c r="U89" s="82" t="n"/>
    </row>
    <row r="90">
      <c r="A90" s="82" t="n"/>
      <c r="B90" s="82" t="n"/>
      <c r="C90" s="82" t="n"/>
      <c r="D90" s="82" t="n"/>
      <c r="E90" s="82" t="n"/>
      <c r="F90" s="82" t="n"/>
      <c r="G90" s="82" t="n"/>
      <c r="H90" s="82" t="n"/>
      <c r="I90" s="82" t="n"/>
      <c r="J90" s="82" t="n"/>
      <c r="L90" s="82" t="n"/>
      <c r="M90" s="82" t="n"/>
      <c r="N90" s="82" t="n"/>
      <c r="O90" s="82" t="n"/>
      <c r="P90" s="82" t="n"/>
      <c r="Q90" s="82" t="n"/>
      <c r="R90" s="82" t="n"/>
      <c r="S90" s="82" t="n"/>
      <c r="T90" s="82" t="n"/>
      <c r="U90" s="82" t="n"/>
    </row>
    <row r="91">
      <c r="A91" s="82" t="n"/>
      <c r="B91" s="82" t="n"/>
      <c r="C91" s="82" t="n"/>
      <c r="D91" s="82" t="n"/>
      <c r="E91" s="82" t="n"/>
      <c r="F91" s="82" t="n"/>
      <c r="G91" s="82" t="n"/>
      <c r="H91" s="82" t="n"/>
      <c r="I91" s="82" t="n"/>
      <c r="J91" s="82" t="n"/>
      <c r="L91" s="82" t="n"/>
      <c r="M91" s="82" t="n"/>
      <c r="N91" s="82" t="n"/>
      <c r="O91" s="82" t="n"/>
      <c r="P91" s="82" t="n"/>
      <c r="Q91" s="82" t="n"/>
      <c r="R91" s="82" t="n"/>
      <c r="S91" s="82" t="n"/>
      <c r="T91" s="82" t="n"/>
      <c r="U91" s="82" t="n"/>
    </row>
    <row r="92">
      <c r="A92" s="82" t="n"/>
      <c r="B92" s="82" t="n"/>
      <c r="C92" s="82" t="n"/>
      <c r="D92" s="82" t="n"/>
      <c r="E92" s="82" t="n"/>
      <c r="F92" s="82" t="n"/>
      <c r="G92" s="82" t="n"/>
      <c r="H92" s="82" t="n"/>
      <c r="I92" s="82" t="n"/>
      <c r="J92" s="82" t="n"/>
      <c r="L92" s="82" t="n"/>
      <c r="M92" s="82" t="n"/>
      <c r="N92" s="82" t="n"/>
      <c r="O92" s="82" t="n"/>
      <c r="P92" s="82" t="n"/>
      <c r="Q92" s="82" t="n"/>
      <c r="R92" s="82" t="n"/>
      <c r="S92" s="82" t="n"/>
      <c r="T92" s="82" t="n"/>
      <c r="U92" s="82" t="n"/>
    </row>
    <row r="93">
      <c r="A93" s="82" t="n"/>
      <c r="B93" s="82" t="n"/>
      <c r="C93" s="82" t="n"/>
      <c r="D93" s="82" t="n"/>
      <c r="E93" s="82" t="n"/>
      <c r="F93" s="82" t="n"/>
      <c r="G93" s="82" t="n"/>
      <c r="H93" s="82" t="n"/>
      <c r="I93" s="82" t="n"/>
      <c r="J93" s="82" t="n"/>
      <c r="L93" s="82" t="n"/>
      <c r="M93" s="82" t="n"/>
      <c r="N93" s="82" t="n"/>
      <c r="O93" s="82" t="n"/>
      <c r="P93" s="82" t="n"/>
      <c r="Q93" s="82" t="n"/>
      <c r="R93" s="82" t="n"/>
      <c r="S93" s="82" t="n"/>
      <c r="T93" s="82" t="n"/>
      <c r="U93" s="82" t="n"/>
    </row>
    <row r="94">
      <c r="A94" s="82" t="n"/>
      <c r="B94" s="82" t="n"/>
      <c r="C94" s="82" t="n"/>
      <c r="D94" s="82" t="n"/>
      <c r="E94" s="82" t="n"/>
      <c r="F94" s="82" t="n"/>
      <c r="G94" s="82" t="n"/>
      <c r="H94" s="82" t="n"/>
      <c r="I94" s="82" t="n"/>
      <c r="J94" s="82" t="n"/>
      <c r="L94" s="82" t="n"/>
      <c r="M94" s="82" t="n"/>
      <c r="N94" s="82" t="n"/>
      <c r="O94" s="82" t="n"/>
      <c r="P94" s="82" t="n"/>
      <c r="Q94" s="82" t="n"/>
      <c r="R94" s="82" t="n"/>
      <c r="S94" s="82" t="n"/>
      <c r="T94" s="82" t="n"/>
      <c r="U94" s="82" t="n"/>
    </row>
    <row r="95">
      <c r="A95" s="82" t="n"/>
      <c r="B95" s="82" t="n"/>
      <c r="C95" s="82" t="n"/>
      <c r="D95" s="82" t="n"/>
      <c r="E95" s="82" t="n"/>
      <c r="F95" s="82" t="n"/>
      <c r="G95" s="82" t="n"/>
      <c r="H95" s="82" t="n"/>
      <c r="I95" s="82" t="n"/>
      <c r="J95" s="82" t="n"/>
      <c r="L95" s="82" t="n"/>
      <c r="M95" s="82" t="n"/>
      <c r="N95" s="82" t="n"/>
      <c r="O95" s="82" t="n"/>
      <c r="P95" s="82" t="n"/>
      <c r="Q95" s="82" t="n"/>
      <c r="R95" s="82" t="n"/>
      <c r="S95" s="82" t="n"/>
      <c r="T95" s="82" t="n"/>
      <c r="U95" s="82" t="n"/>
    </row>
    <row r="96">
      <c r="A96" s="82" t="n"/>
      <c r="B96" s="82" t="n"/>
      <c r="C96" s="82" t="n"/>
      <c r="D96" s="82" t="n"/>
      <c r="E96" s="82" t="n"/>
      <c r="F96" s="82" t="n"/>
      <c r="G96" s="82" t="n"/>
      <c r="H96" s="82" t="n"/>
      <c r="I96" s="82" t="n"/>
      <c r="J96" s="82" t="n"/>
      <c r="L96" s="82" t="n"/>
      <c r="M96" s="82" t="n"/>
      <c r="N96" s="82" t="n"/>
      <c r="O96" s="82" t="n"/>
      <c r="P96" s="82" t="n"/>
      <c r="Q96" s="82" t="n"/>
      <c r="R96" s="82" t="n"/>
      <c r="S96" s="82" t="n"/>
      <c r="T96" s="82" t="n"/>
      <c r="U96" s="82" t="n"/>
    </row>
    <row r="97">
      <c r="A97" s="82" t="n"/>
      <c r="B97" s="82" t="n"/>
      <c r="C97" s="82" t="n"/>
      <c r="D97" s="82" t="n"/>
      <c r="E97" s="82" t="n"/>
      <c r="F97" s="82" t="n"/>
      <c r="G97" s="82" t="n"/>
      <c r="H97" s="82" t="n"/>
      <c r="I97" s="82" t="n"/>
      <c r="J97" s="82" t="n"/>
      <c r="L97" s="82" t="n"/>
      <c r="M97" s="82" t="n"/>
      <c r="N97" s="82" t="n"/>
      <c r="O97" s="82" t="n"/>
      <c r="P97" s="82" t="n"/>
      <c r="Q97" s="82" t="n"/>
      <c r="R97" s="82" t="n"/>
      <c r="S97" s="82" t="n"/>
      <c r="T97" s="82" t="n"/>
      <c r="U97" s="82" t="n"/>
    </row>
    <row r="98">
      <c r="A98" s="82" t="n"/>
      <c r="B98" s="82" t="n"/>
      <c r="C98" s="82" t="n"/>
      <c r="D98" s="82" t="n"/>
      <c r="E98" s="82" t="n"/>
      <c r="F98" s="82" t="n"/>
      <c r="G98" s="82" t="n"/>
      <c r="H98" s="82" t="n"/>
      <c r="I98" s="82" t="n"/>
      <c r="J98" s="82" t="n"/>
      <c r="L98" s="82" t="n"/>
      <c r="M98" s="82" t="n"/>
      <c r="N98" s="82" t="n"/>
      <c r="O98" s="82" t="n"/>
      <c r="P98" s="82" t="n"/>
      <c r="Q98" s="82" t="n"/>
      <c r="R98" s="82" t="n"/>
      <c r="S98" s="82" t="n"/>
      <c r="T98" s="82" t="n"/>
      <c r="U98" s="82" t="n"/>
    </row>
    <row r="99">
      <c r="A99" s="82" t="n"/>
      <c r="B99" s="82" t="n"/>
      <c r="C99" s="82" t="n"/>
      <c r="D99" s="82" t="n"/>
      <c r="E99" s="82" t="n"/>
      <c r="F99" s="82" t="n"/>
      <c r="G99" s="82" t="n"/>
      <c r="H99" s="82" t="n"/>
      <c r="I99" s="82" t="n"/>
      <c r="J99" s="82" t="n"/>
      <c r="L99" s="82" t="n"/>
      <c r="M99" s="82" t="n"/>
      <c r="N99" s="82" t="n"/>
      <c r="O99" s="82" t="n"/>
      <c r="P99" s="82" t="n"/>
      <c r="Q99" s="82" t="n"/>
      <c r="R99" s="82" t="n"/>
      <c r="S99" s="82" t="n"/>
      <c r="T99" s="82" t="n"/>
      <c r="U99" s="82" t="n"/>
    </row>
    <row r="100">
      <c r="A100" s="82" t="n"/>
      <c r="B100" s="82" t="n"/>
      <c r="C100" s="82" t="n"/>
      <c r="D100" s="82" t="n"/>
      <c r="E100" s="82" t="n"/>
      <c r="F100" s="82" t="n"/>
      <c r="G100" s="82" t="n"/>
      <c r="H100" s="82" t="n"/>
      <c r="I100" s="82" t="n"/>
      <c r="J100" s="82" t="n"/>
      <c r="L100" s="82" t="n"/>
      <c r="M100" s="82" t="n"/>
      <c r="N100" s="82" t="n"/>
      <c r="O100" s="82" t="n"/>
      <c r="P100" s="82" t="n"/>
      <c r="Q100" s="82" t="n"/>
      <c r="R100" s="82" t="n"/>
      <c r="S100" s="82" t="n"/>
      <c r="T100" s="82" t="n"/>
      <c r="U100" s="82" t="n"/>
    </row>
    <row r="101">
      <c r="A101" s="82" t="n"/>
      <c r="B101" s="82" t="n"/>
      <c r="C101" s="82" t="n"/>
      <c r="D101" s="82" t="n"/>
      <c r="E101" s="82" t="n"/>
      <c r="F101" s="82" t="n"/>
      <c r="G101" s="82" t="n"/>
      <c r="H101" s="82" t="n"/>
      <c r="I101" s="82" t="n"/>
      <c r="J101" s="82" t="n"/>
      <c r="L101" s="82" t="n"/>
      <c r="M101" s="82" t="n"/>
      <c r="N101" s="82" t="n"/>
      <c r="O101" s="82" t="n"/>
      <c r="P101" s="82" t="n"/>
      <c r="Q101" s="82" t="n"/>
      <c r="R101" s="82" t="n"/>
      <c r="S101" s="82" t="n"/>
      <c r="T101" s="82" t="n"/>
      <c r="U101" s="82" t="n"/>
    </row>
    <row r="102">
      <c r="A102" s="82" t="n"/>
      <c r="B102" s="82" t="n"/>
      <c r="C102" s="82" t="n"/>
      <c r="D102" s="82" t="n"/>
      <c r="E102" s="82" t="n"/>
      <c r="F102" s="82" t="n"/>
      <c r="G102" s="82" t="n"/>
      <c r="H102" s="82" t="n"/>
      <c r="I102" s="82" t="n"/>
      <c r="J102" s="82" t="n"/>
      <c r="L102" s="82" t="n"/>
      <c r="M102" s="82" t="n"/>
      <c r="N102" s="82" t="n"/>
      <c r="O102" s="82" t="n"/>
      <c r="P102" s="82" t="n"/>
      <c r="Q102" s="82" t="n"/>
      <c r="R102" s="82" t="n"/>
      <c r="S102" s="82" t="n"/>
      <c r="T102" s="82" t="n"/>
      <c r="U102" s="82" t="n"/>
    </row>
    <row r="103">
      <c r="A103" s="82" t="n"/>
      <c r="B103" s="82" t="n"/>
      <c r="C103" s="82" t="n"/>
      <c r="D103" s="82" t="n"/>
      <c r="E103" s="82" t="n"/>
      <c r="F103" s="82" t="n"/>
      <c r="G103" s="82" t="n"/>
      <c r="H103" s="82" t="n"/>
      <c r="I103" s="82" t="n"/>
      <c r="J103" s="82" t="n"/>
      <c r="L103" s="82" t="n"/>
      <c r="M103" s="82" t="n"/>
      <c r="N103" s="82" t="n"/>
      <c r="O103" s="82" t="n"/>
      <c r="P103" s="82" t="n"/>
      <c r="Q103" s="82" t="n"/>
      <c r="R103" s="82" t="n"/>
      <c r="S103" s="82" t="n"/>
      <c r="T103" s="82" t="n"/>
      <c r="U103" s="82" t="n"/>
    </row>
    <row r="104">
      <c r="A104" s="82" t="n"/>
      <c r="B104" s="82" t="n"/>
      <c r="C104" s="82" t="n"/>
      <c r="D104" s="82" t="n"/>
      <c r="E104" s="82" t="n"/>
      <c r="F104" s="82" t="n"/>
      <c r="G104" s="82" t="n"/>
      <c r="H104" s="82" t="n"/>
      <c r="I104" s="82" t="n"/>
      <c r="J104" s="82" t="n"/>
      <c r="L104" s="82" t="n"/>
      <c r="M104" s="82" t="n"/>
      <c r="N104" s="82" t="n"/>
      <c r="O104" s="82" t="n"/>
      <c r="P104" s="82" t="n"/>
      <c r="Q104" s="82" t="n"/>
      <c r="R104" s="82" t="n"/>
      <c r="S104" s="82" t="n"/>
      <c r="T104" s="82" t="n"/>
      <c r="U104" s="82" t="n"/>
    </row>
    <row r="105">
      <c r="A105" s="82" t="n"/>
      <c r="B105" s="82" t="n"/>
      <c r="C105" s="82" t="n"/>
      <c r="D105" s="82" t="n"/>
      <c r="E105" s="82" t="n"/>
      <c r="F105" s="82" t="n"/>
      <c r="G105" s="82" t="n"/>
      <c r="H105" s="82" t="n"/>
      <c r="I105" s="82" t="n"/>
      <c r="J105" s="82" t="n"/>
      <c r="L105" s="82" t="n"/>
      <c r="M105" s="82" t="n"/>
      <c r="N105" s="82" t="n"/>
      <c r="O105" s="82" t="n"/>
      <c r="P105" s="82" t="n"/>
      <c r="Q105" s="82" t="n"/>
      <c r="R105" s="82" t="n"/>
      <c r="S105" s="82" t="n"/>
      <c r="T105" s="82" t="n"/>
      <c r="U105" s="82" t="n"/>
    </row>
    <row r="106">
      <c r="A106" s="82" t="n"/>
      <c r="B106" s="82" t="n"/>
      <c r="C106" s="82" t="n"/>
      <c r="D106" s="82" t="n"/>
      <c r="E106" s="82" t="n"/>
      <c r="F106" s="82" t="n"/>
      <c r="G106" s="82" t="n"/>
      <c r="H106" s="82" t="n"/>
      <c r="I106" s="82" t="n"/>
      <c r="J106" s="82" t="n"/>
      <c r="L106" s="82" t="n"/>
      <c r="M106" s="82" t="n"/>
      <c r="N106" s="82" t="n"/>
      <c r="O106" s="82" t="n"/>
      <c r="P106" s="82" t="n"/>
      <c r="Q106" s="82" t="n"/>
      <c r="R106" s="82" t="n"/>
      <c r="S106" s="82" t="n"/>
      <c r="T106" s="82" t="n"/>
      <c r="U106" s="82" t="n"/>
    </row>
    <row r="107">
      <c r="A107" s="82" t="n"/>
      <c r="B107" s="82" t="n"/>
      <c r="C107" s="82" t="n"/>
      <c r="D107" s="82" t="n"/>
      <c r="E107" s="82" t="n"/>
      <c r="F107" s="82" t="n"/>
      <c r="G107" s="82" t="n"/>
      <c r="H107" s="82" t="n"/>
      <c r="I107" s="82" t="n"/>
      <c r="J107" s="82" t="n"/>
      <c r="L107" s="82" t="n"/>
      <c r="M107" s="82" t="n"/>
      <c r="N107" s="82" t="n"/>
      <c r="O107" s="82" t="n"/>
      <c r="P107" s="82" t="n"/>
      <c r="Q107" s="82" t="n"/>
      <c r="R107" s="82" t="n"/>
      <c r="S107" s="82" t="n"/>
      <c r="T107" s="82" t="n"/>
      <c r="U107" s="82" t="n"/>
    </row>
    <row r="108">
      <c r="A108" s="82" t="n"/>
      <c r="B108" s="82" t="n"/>
      <c r="C108" s="82" t="n"/>
      <c r="D108" s="82" t="n"/>
      <c r="E108" s="82" t="n"/>
      <c r="F108" s="82" t="n"/>
      <c r="G108" s="82" t="n"/>
      <c r="H108" s="82" t="n"/>
      <c r="I108" s="82" t="n"/>
      <c r="J108" s="82" t="n"/>
      <c r="L108" s="82" t="n"/>
      <c r="M108" s="82" t="n"/>
      <c r="N108" s="82" t="n"/>
      <c r="O108" s="82" t="n"/>
      <c r="P108" s="82" t="n"/>
      <c r="Q108" s="82" t="n"/>
      <c r="R108" s="82" t="n"/>
      <c r="S108" s="82" t="n"/>
      <c r="T108" s="82" t="n"/>
      <c r="U108" s="82" t="n"/>
    </row>
    <row r="109">
      <c r="A109" s="82" t="n"/>
      <c r="B109" s="82" t="n"/>
      <c r="C109" s="82" t="n"/>
      <c r="D109" s="82" t="n"/>
      <c r="E109" s="82" t="n"/>
      <c r="F109" s="82" t="n"/>
      <c r="G109" s="82" t="n"/>
      <c r="H109" s="82" t="n"/>
      <c r="I109" s="82" t="n"/>
      <c r="J109" s="82" t="n"/>
      <c r="L109" s="82" t="n"/>
      <c r="M109" s="82" t="n"/>
      <c r="N109" s="82" t="n"/>
      <c r="O109" s="82" t="n"/>
      <c r="P109" s="82" t="n"/>
      <c r="Q109" s="82" t="n"/>
      <c r="R109" s="82" t="n"/>
      <c r="S109" s="82" t="n"/>
      <c r="T109" s="82" t="n"/>
      <c r="U109" s="82" t="n"/>
    </row>
    <row r="110">
      <c r="A110" s="82" t="n"/>
      <c r="B110" s="82" t="n"/>
      <c r="C110" s="82" t="n"/>
      <c r="D110" s="82" t="n"/>
      <c r="E110" s="82" t="n"/>
      <c r="F110" s="82" t="n"/>
      <c r="G110" s="82" t="n"/>
      <c r="H110" s="82" t="n"/>
      <c r="I110" s="82" t="n"/>
      <c r="J110" s="82" t="n"/>
      <c r="L110" s="82" t="n"/>
      <c r="M110" s="82" t="n"/>
      <c r="N110" s="82" t="n"/>
      <c r="O110" s="82" t="n"/>
      <c r="P110" s="82" t="n"/>
      <c r="Q110" s="82" t="n"/>
      <c r="R110" s="82" t="n"/>
      <c r="S110" s="82" t="n"/>
      <c r="T110" s="82" t="n"/>
      <c r="U110" s="82" t="n"/>
    </row>
    <row r="111">
      <c r="A111" s="82" t="n"/>
      <c r="B111" s="82" t="n"/>
      <c r="C111" s="82" t="n"/>
      <c r="D111" s="82" t="n"/>
      <c r="E111" s="82" t="n"/>
      <c r="F111" s="82" t="n"/>
      <c r="G111" s="82" t="n"/>
      <c r="H111" s="82" t="n"/>
      <c r="I111" s="82" t="n"/>
      <c r="J111" s="82" t="n"/>
      <c r="L111" s="82" t="n"/>
      <c r="M111" s="82" t="n"/>
      <c r="N111" s="82" t="n"/>
      <c r="O111" s="82" t="n"/>
      <c r="P111" s="82" t="n"/>
      <c r="Q111" s="82" t="n"/>
      <c r="R111" s="82" t="n"/>
      <c r="S111" s="82" t="n"/>
      <c r="T111" s="82" t="n"/>
      <c r="U111" s="82" t="n"/>
    </row>
    <row r="112">
      <c r="A112" s="82" t="n"/>
      <c r="B112" s="82" t="n"/>
      <c r="C112" s="82" t="n"/>
      <c r="D112" s="82" t="n"/>
      <c r="E112" s="82" t="n"/>
      <c r="F112" s="82" t="n"/>
      <c r="G112" s="82" t="n"/>
      <c r="H112" s="82" t="n"/>
      <c r="I112" s="82" t="n"/>
      <c r="J112" s="82" t="n"/>
      <c r="L112" s="82" t="n"/>
      <c r="M112" s="82" t="n"/>
      <c r="N112" s="82" t="n"/>
      <c r="O112" s="82" t="n"/>
      <c r="P112" s="82" t="n"/>
      <c r="Q112" s="82" t="n"/>
      <c r="R112" s="82" t="n"/>
      <c r="S112" s="82" t="n"/>
      <c r="T112" s="82" t="n"/>
      <c r="U112" s="82" t="n"/>
    </row>
    <row r="113">
      <c r="A113" s="82" t="n"/>
      <c r="B113" s="82" t="n"/>
      <c r="C113" s="82" t="n"/>
      <c r="D113" s="82" t="n"/>
      <c r="E113" s="82" t="n"/>
      <c r="F113" s="82" t="n"/>
      <c r="G113" s="82" t="n"/>
      <c r="H113" s="82" t="n"/>
      <c r="I113" s="82" t="n"/>
      <c r="J113" s="82" t="n"/>
      <c r="L113" s="82" t="n"/>
      <c r="M113" s="82" t="n"/>
      <c r="N113" s="82" t="n"/>
      <c r="O113" s="82" t="n"/>
      <c r="P113" s="82" t="n"/>
      <c r="Q113" s="82" t="n"/>
      <c r="R113" s="82" t="n"/>
      <c r="S113" s="82" t="n"/>
      <c r="T113" s="82" t="n"/>
      <c r="U113" s="82" t="n"/>
    </row>
    <row r="114">
      <c r="A114" s="82" t="n"/>
      <c r="B114" s="82" t="n"/>
      <c r="C114" s="82" t="n"/>
      <c r="D114" s="82" t="n"/>
      <c r="E114" s="82" t="n"/>
      <c r="F114" s="82" t="n"/>
      <c r="G114" s="82" t="n"/>
      <c r="H114" s="82" t="n"/>
      <c r="I114" s="82" t="n"/>
      <c r="J114" s="82" t="n"/>
      <c r="L114" s="82" t="n"/>
      <c r="M114" s="82" t="n"/>
      <c r="N114" s="82" t="n"/>
      <c r="O114" s="82" t="n"/>
      <c r="P114" s="82" t="n"/>
      <c r="Q114" s="82" t="n"/>
      <c r="R114" s="82" t="n"/>
      <c r="S114" s="82" t="n"/>
      <c r="T114" s="82" t="n"/>
      <c r="U114" s="82" t="n"/>
    </row>
    <row r="115">
      <c r="A115" s="82" t="n"/>
      <c r="B115" s="82" t="n"/>
      <c r="C115" s="82" t="n"/>
      <c r="D115" s="82" t="n"/>
      <c r="E115" s="82" t="n"/>
      <c r="F115" s="82" t="n"/>
      <c r="G115" s="82" t="n"/>
      <c r="H115" s="82" t="n"/>
      <c r="I115" s="82" t="n"/>
      <c r="J115" s="82" t="n"/>
      <c r="L115" s="82" t="n"/>
      <c r="M115" s="82" t="n"/>
      <c r="N115" s="82" t="n"/>
      <c r="O115" s="82" t="n"/>
      <c r="P115" s="82" t="n"/>
      <c r="Q115" s="82" t="n"/>
      <c r="R115" s="82" t="n"/>
      <c r="S115" s="82" t="n"/>
      <c r="T115" s="82" t="n"/>
      <c r="U115" s="82" t="n"/>
    </row>
    <row r="116">
      <c r="A116" s="82" t="n"/>
      <c r="B116" s="82" t="n"/>
      <c r="C116" s="82" t="n"/>
      <c r="D116" s="82" t="n"/>
      <c r="E116" s="82" t="n"/>
      <c r="F116" s="82" t="n"/>
      <c r="G116" s="82" t="n"/>
      <c r="H116" s="82" t="n"/>
      <c r="I116" s="82" t="n"/>
      <c r="J116" s="82" t="n"/>
      <c r="L116" s="82" t="n"/>
      <c r="M116" s="82" t="n"/>
      <c r="N116" s="82" t="n"/>
      <c r="O116" s="82" t="n"/>
      <c r="P116" s="82" t="n"/>
      <c r="Q116" s="82" t="n"/>
      <c r="R116" s="82" t="n"/>
      <c r="S116" s="82" t="n"/>
      <c r="T116" s="82" t="n"/>
      <c r="U116" s="82" t="n"/>
    </row>
    <row r="117">
      <c r="A117" s="82" t="n"/>
      <c r="B117" s="82" t="n"/>
      <c r="C117" s="82" t="n"/>
      <c r="D117" s="82" t="n"/>
      <c r="E117" s="82" t="n"/>
      <c r="F117" s="82" t="n"/>
      <c r="G117" s="82" t="n"/>
      <c r="H117" s="82" t="n"/>
      <c r="I117" s="82" t="n"/>
      <c r="J117" s="82" t="n"/>
      <c r="L117" s="82" t="n"/>
      <c r="M117" s="82" t="n"/>
      <c r="N117" s="82" t="n"/>
      <c r="O117" s="82" t="n"/>
      <c r="P117" s="82" t="n"/>
      <c r="Q117" s="82" t="n"/>
      <c r="R117" s="82" t="n"/>
      <c r="S117" s="82" t="n"/>
      <c r="T117" s="82" t="n"/>
      <c r="U117" s="82" t="n"/>
    </row>
    <row r="118">
      <c r="A118" s="82" t="n"/>
      <c r="B118" s="82" t="n"/>
      <c r="C118" s="82" t="n"/>
      <c r="D118" s="82" t="n"/>
      <c r="E118" s="82" t="n"/>
      <c r="F118" s="82" t="n"/>
      <c r="G118" s="82" t="n"/>
      <c r="H118" s="82" t="n"/>
      <c r="I118" s="82" t="n"/>
      <c r="J118" s="82" t="n"/>
      <c r="L118" s="82" t="n"/>
      <c r="M118" s="82" t="n"/>
      <c r="N118" s="82" t="n"/>
      <c r="O118" s="82" t="n"/>
      <c r="P118" s="82" t="n"/>
      <c r="Q118" s="82" t="n"/>
      <c r="R118" s="82" t="n"/>
      <c r="S118" s="82" t="n"/>
      <c r="T118" s="82" t="n"/>
      <c r="U118" s="82" t="n"/>
    </row>
    <row r="119">
      <c r="A119" s="82" t="n"/>
      <c r="B119" s="82" t="n"/>
      <c r="C119" s="82" t="n"/>
      <c r="D119" s="82" t="n"/>
      <c r="E119" s="82" t="n"/>
      <c r="F119" s="82" t="n"/>
      <c r="G119" s="82" t="n"/>
      <c r="H119" s="82" t="n"/>
      <c r="I119" s="82" t="n"/>
      <c r="J119" s="82" t="n"/>
      <c r="L119" s="82" t="n"/>
      <c r="M119" s="82" t="n"/>
      <c r="N119" s="82" t="n"/>
      <c r="O119" s="82" t="n"/>
      <c r="P119" s="82" t="n"/>
      <c r="Q119" s="82" t="n"/>
      <c r="R119" s="82" t="n"/>
      <c r="S119" s="82" t="n"/>
      <c r="T119" s="82" t="n"/>
      <c r="U119" s="82" t="n"/>
    </row>
    <row r="120">
      <c r="A120" s="82" t="n"/>
      <c r="B120" s="82" t="n"/>
      <c r="C120" s="82" t="n"/>
      <c r="D120" s="82" t="n"/>
      <c r="E120" s="82" t="n"/>
      <c r="F120" s="82" t="n"/>
      <c r="G120" s="82" t="n"/>
      <c r="H120" s="82" t="n"/>
      <c r="I120" s="82" t="n"/>
      <c r="J120" s="82" t="n"/>
      <c r="L120" s="82" t="n"/>
      <c r="M120" s="82" t="n"/>
      <c r="N120" s="82" t="n"/>
      <c r="O120" s="82" t="n"/>
      <c r="P120" s="82" t="n"/>
      <c r="Q120" s="82" t="n"/>
      <c r="R120" s="82" t="n"/>
      <c r="S120" s="82" t="n"/>
      <c r="T120" s="82" t="n"/>
      <c r="U120" s="82" t="n"/>
    </row>
    <row r="121">
      <c r="A121" s="82" t="n"/>
      <c r="B121" s="82" t="n"/>
      <c r="C121" s="82" t="n"/>
      <c r="D121" s="82" t="n"/>
      <c r="E121" s="82" t="n"/>
      <c r="F121" s="82" t="n"/>
      <c r="G121" s="82" t="n"/>
      <c r="H121" s="82" t="n"/>
      <c r="I121" s="82" t="n"/>
      <c r="J121" s="82" t="n"/>
      <c r="L121" s="82" t="n"/>
      <c r="M121" s="82" t="n"/>
      <c r="N121" s="82" t="n"/>
      <c r="O121" s="82" t="n"/>
      <c r="P121" s="82" t="n"/>
      <c r="Q121" s="82" t="n"/>
      <c r="R121" s="82" t="n"/>
      <c r="S121" s="82" t="n"/>
      <c r="T121" s="82" t="n"/>
      <c r="U121" s="82" t="n"/>
    </row>
    <row r="122">
      <c r="A122" s="82" t="n"/>
      <c r="B122" s="82" t="n"/>
      <c r="C122" s="82" t="n"/>
      <c r="D122" s="82" t="n"/>
      <c r="E122" s="82" t="n"/>
      <c r="F122" s="82" t="n"/>
      <c r="G122" s="82" t="n"/>
      <c r="H122" s="82" t="n"/>
      <c r="I122" s="82" t="n"/>
      <c r="J122" s="82" t="n"/>
      <c r="L122" s="82" t="n"/>
      <c r="M122" s="82" t="n"/>
      <c r="N122" s="82" t="n"/>
      <c r="O122" s="82" t="n"/>
      <c r="P122" s="82" t="n"/>
      <c r="Q122" s="82" t="n"/>
      <c r="R122" s="82" t="n"/>
      <c r="S122" s="82" t="n"/>
      <c r="T122" s="82" t="n"/>
      <c r="U122" s="82" t="n"/>
    </row>
    <row r="123">
      <c r="A123" s="82" t="n"/>
      <c r="B123" s="82" t="n"/>
      <c r="C123" s="82" t="n"/>
      <c r="D123" s="82" t="n"/>
      <c r="E123" s="82" t="n"/>
      <c r="F123" s="82" t="n"/>
      <c r="G123" s="82" t="n"/>
      <c r="H123" s="82" t="n"/>
      <c r="I123" s="82" t="n"/>
      <c r="J123" s="82" t="n"/>
      <c r="L123" s="82" t="n"/>
      <c r="M123" s="82" t="n"/>
      <c r="N123" s="82" t="n"/>
      <c r="O123" s="82" t="n"/>
      <c r="P123" s="82" t="n"/>
      <c r="Q123" s="82" t="n"/>
      <c r="R123" s="82" t="n"/>
      <c r="S123" s="82" t="n"/>
      <c r="T123" s="82" t="n"/>
      <c r="U123" s="82" t="n"/>
    </row>
    <row r="124">
      <c r="A124" s="82" t="n"/>
      <c r="B124" s="82" t="n"/>
      <c r="C124" s="82" t="n"/>
      <c r="D124" s="82" t="n"/>
      <c r="E124" s="82" t="n"/>
      <c r="F124" s="82" t="n"/>
      <c r="G124" s="82" t="n"/>
      <c r="H124" s="82" t="n"/>
      <c r="I124" s="82" t="n"/>
      <c r="J124" s="82" t="n"/>
      <c r="L124" s="82" t="n"/>
      <c r="M124" s="82" t="n"/>
      <c r="N124" s="82" t="n"/>
      <c r="O124" s="82" t="n"/>
      <c r="P124" s="82" t="n"/>
      <c r="Q124" s="82" t="n"/>
      <c r="R124" s="82" t="n"/>
      <c r="S124" s="82" t="n"/>
      <c r="T124" s="82" t="n"/>
      <c r="U124" s="82" t="n"/>
    </row>
    <row r="125">
      <c r="A125" s="82" t="n"/>
      <c r="B125" s="82" t="n"/>
      <c r="C125" s="82" t="n"/>
      <c r="D125" s="82" t="n"/>
      <c r="E125" s="82" t="n"/>
      <c r="F125" s="82" t="n"/>
      <c r="G125" s="82" t="n"/>
      <c r="H125" s="82" t="n"/>
      <c r="I125" s="82" t="n"/>
      <c r="J125" s="82" t="n"/>
      <c r="L125" s="82" t="n"/>
      <c r="M125" s="82" t="n"/>
      <c r="N125" s="82" t="n"/>
      <c r="O125" s="82" t="n"/>
      <c r="P125" s="82" t="n"/>
      <c r="Q125" s="82" t="n"/>
      <c r="R125" s="82" t="n"/>
      <c r="S125" s="82" t="n"/>
      <c r="T125" s="82" t="n"/>
      <c r="U125" s="82" t="n"/>
    </row>
    <row r="126">
      <c r="A126" s="82" t="n"/>
      <c r="B126" s="82" t="n"/>
      <c r="C126" s="82" t="n"/>
      <c r="D126" s="82" t="n"/>
      <c r="E126" s="82" t="n"/>
      <c r="F126" s="82" t="n"/>
      <c r="G126" s="82" t="n"/>
      <c r="H126" s="82" t="n"/>
      <c r="I126" s="82" t="n"/>
      <c r="J126" s="82" t="n"/>
      <c r="L126" s="82" t="n"/>
      <c r="M126" s="82" t="n"/>
      <c r="N126" s="82" t="n"/>
      <c r="O126" s="82" t="n"/>
      <c r="P126" s="82" t="n"/>
      <c r="Q126" s="82" t="n"/>
      <c r="R126" s="82" t="n"/>
      <c r="S126" s="82" t="n"/>
      <c r="T126" s="82" t="n"/>
      <c r="U126" s="82" t="n"/>
    </row>
    <row r="127">
      <c r="A127" s="82" t="n"/>
      <c r="B127" s="82" t="n"/>
      <c r="C127" s="82" t="n"/>
      <c r="D127" s="82" t="n"/>
      <c r="E127" s="82" t="n"/>
      <c r="F127" s="82" t="n"/>
      <c r="G127" s="82" t="n"/>
      <c r="H127" s="82" t="n"/>
      <c r="I127" s="82" t="n"/>
      <c r="J127" s="82" t="n"/>
      <c r="L127" s="82" t="n"/>
      <c r="M127" s="82" t="n"/>
      <c r="N127" s="82" t="n"/>
      <c r="O127" s="82" t="n"/>
      <c r="P127" s="82" t="n"/>
      <c r="Q127" s="82" t="n"/>
      <c r="R127" s="82" t="n"/>
      <c r="S127" s="82" t="n"/>
      <c r="T127" s="82" t="n"/>
      <c r="U127" s="82" t="n"/>
    </row>
    <row r="128">
      <c r="A128" s="82" t="n"/>
      <c r="B128" s="82" t="n"/>
      <c r="C128" s="82" t="n"/>
      <c r="D128" s="82" t="n"/>
      <c r="E128" s="82" t="n"/>
      <c r="F128" s="82" t="n"/>
      <c r="G128" s="82" t="n"/>
      <c r="H128" s="82" t="n"/>
      <c r="I128" s="82" t="n"/>
      <c r="J128" s="82" t="n"/>
      <c r="L128" s="82" t="n"/>
      <c r="M128" s="82" t="n"/>
      <c r="N128" s="82" t="n"/>
      <c r="O128" s="82" t="n"/>
      <c r="P128" s="82" t="n"/>
      <c r="Q128" s="82" t="n"/>
      <c r="R128" s="82" t="n"/>
      <c r="S128" s="82" t="n"/>
      <c r="T128" s="82" t="n"/>
      <c r="U128" s="82" t="n"/>
    </row>
    <row r="129">
      <c r="A129" s="82" t="n"/>
      <c r="B129" s="82" t="n"/>
      <c r="C129" s="82" t="n"/>
      <c r="D129" s="82" t="n"/>
      <c r="E129" s="82" t="n"/>
      <c r="F129" s="82" t="n"/>
      <c r="G129" s="82" t="n"/>
      <c r="H129" s="82" t="n"/>
      <c r="I129" s="82" t="n"/>
      <c r="J129" s="82" t="n"/>
      <c r="L129" s="82" t="n"/>
      <c r="M129" s="82" t="n"/>
      <c r="N129" s="82" t="n"/>
      <c r="O129" s="82" t="n"/>
      <c r="P129" s="82" t="n"/>
      <c r="Q129" s="82" t="n"/>
      <c r="R129" s="82" t="n"/>
      <c r="S129" s="82" t="n"/>
      <c r="T129" s="82" t="n"/>
      <c r="U129" s="82" t="n"/>
    </row>
    <row r="130">
      <c r="A130" s="82" t="n"/>
      <c r="B130" s="82" t="n"/>
      <c r="C130" s="82" t="n"/>
      <c r="D130" s="82" t="n"/>
      <c r="E130" s="82" t="n"/>
      <c r="F130" s="82" t="n"/>
      <c r="G130" s="82" t="n"/>
      <c r="H130" s="82" t="n"/>
      <c r="I130" s="82" t="n"/>
      <c r="J130" s="82" t="n"/>
      <c r="L130" s="82" t="n"/>
      <c r="M130" s="82" t="n"/>
      <c r="N130" s="82" t="n"/>
      <c r="O130" s="82" t="n"/>
      <c r="P130" s="82" t="n"/>
      <c r="Q130" s="82" t="n"/>
      <c r="R130" s="82" t="n"/>
      <c r="S130" s="82" t="n"/>
      <c r="T130" s="82" t="n"/>
      <c r="U130" s="82" t="n"/>
    </row>
    <row r="131">
      <c r="A131" s="82" t="n"/>
      <c r="B131" s="82" t="n"/>
      <c r="C131" s="82" t="n"/>
      <c r="D131" s="82" t="n"/>
      <c r="E131" s="82" t="n"/>
      <c r="F131" s="82" t="n"/>
      <c r="G131" s="82" t="n"/>
      <c r="H131" s="82" t="n"/>
      <c r="I131" s="82" t="n"/>
      <c r="J131" s="82" t="n"/>
      <c r="L131" s="82" t="n"/>
      <c r="M131" s="82" t="n"/>
      <c r="N131" s="82" t="n"/>
      <c r="O131" s="82" t="n"/>
      <c r="P131" s="82" t="n"/>
      <c r="Q131" s="82" t="n"/>
      <c r="R131" s="82" t="n"/>
      <c r="S131" s="82" t="n"/>
      <c r="T131" s="82" t="n"/>
      <c r="U131" s="82" t="n"/>
    </row>
    <row r="132">
      <c r="A132" s="82" t="n"/>
      <c r="B132" s="82" t="n"/>
      <c r="C132" s="82" t="n"/>
      <c r="D132" s="82" t="n"/>
      <c r="E132" s="82" t="n"/>
      <c r="F132" s="82" t="n"/>
      <c r="G132" s="82" t="n"/>
      <c r="H132" s="82" t="n"/>
      <c r="I132" s="82" t="n"/>
      <c r="J132" s="82" t="n"/>
      <c r="L132" s="82" t="n"/>
      <c r="M132" s="82" t="n"/>
      <c r="N132" s="82" t="n"/>
      <c r="O132" s="82" t="n"/>
      <c r="P132" s="82" t="n"/>
      <c r="Q132" s="82" t="n"/>
      <c r="R132" s="82" t="n"/>
      <c r="S132" s="82" t="n"/>
      <c r="T132" s="82" t="n"/>
      <c r="U132" s="82" t="n"/>
    </row>
    <row r="133">
      <c r="A133" s="82" t="n"/>
      <c r="B133" s="82" t="n"/>
      <c r="C133" s="82" t="n"/>
      <c r="D133" s="82" t="n"/>
      <c r="E133" s="82" t="n"/>
      <c r="F133" s="82" t="n"/>
      <c r="G133" s="82" t="n"/>
      <c r="H133" s="82" t="n"/>
      <c r="I133" s="82" t="n"/>
      <c r="J133" s="82" t="n"/>
      <c r="L133" s="82" t="n"/>
      <c r="M133" s="82" t="n"/>
      <c r="N133" s="82" t="n"/>
      <c r="O133" s="82" t="n"/>
      <c r="P133" s="82" t="n"/>
      <c r="Q133" s="82" t="n"/>
      <c r="R133" s="82" t="n"/>
      <c r="S133" s="82" t="n"/>
      <c r="T133" s="82" t="n"/>
      <c r="U133" s="82" t="n"/>
    </row>
    <row r="134">
      <c r="A134" s="82" t="n"/>
      <c r="B134" s="82" t="n"/>
      <c r="C134" s="82" t="n"/>
      <c r="D134" s="82" t="n"/>
      <c r="E134" s="82" t="n"/>
      <c r="F134" s="82" t="n"/>
      <c r="G134" s="82" t="n"/>
      <c r="H134" s="82" t="n"/>
      <c r="I134" s="82" t="n"/>
      <c r="J134" s="82" t="n"/>
      <c r="L134" s="82" t="n"/>
      <c r="M134" s="82" t="n"/>
      <c r="N134" s="82" t="n"/>
      <c r="O134" s="82" t="n"/>
      <c r="P134" s="82" t="n"/>
      <c r="Q134" s="82" t="n"/>
      <c r="R134" s="82" t="n"/>
      <c r="S134" s="82" t="n"/>
      <c r="T134" s="82" t="n"/>
      <c r="U134" s="82" t="n"/>
    </row>
    <row r="135">
      <c r="A135" s="82" t="n"/>
      <c r="B135" s="82" t="n"/>
      <c r="C135" s="82" t="n"/>
      <c r="D135" s="82" t="n"/>
      <c r="E135" s="82" t="n"/>
      <c r="F135" s="82" t="n"/>
      <c r="G135" s="82" t="n"/>
      <c r="H135" s="82" t="n"/>
      <c r="I135" s="82" t="n"/>
      <c r="J135" s="82" t="n"/>
      <c r="L135" s="82" t="n"/>
      <c r="M135" s="82" t="n"/>
      <c r="N135" s="82" t="n"/>
      <c r="O135" s="82" t="n"/>
      <c r="P135" s="82" t="n"/>
      <c r="Q135" s="82" t="n"/>
      <c r="R135" s="82" t="n"/>
      <c r="S135" s="82" t="n"/>
      <c r="T135" s="82" t="n"/>
      <c r="U135" s="82" t="n"/>
    </row>
    <row r="136">
      <c r="A136" s="82" t="n"/>
      <c r="B136" s="82" t="n"/>
      <c r="C136" s="82" t="n"/>
      <c r="D136" s="82" t="n"/>
      <c r="E136" s="82" t="n"/>
      <c r="F136" s="82" t="n"/>
      <c r="G136" s="82" t="n"/>
      <c r="H136" s="82" t="n"/>
      <c r="I136" s="82" t="n"/>
      <c r="J136" s="82" t="n"/>
      <c r="L136" s="82" t="n"/>
      <c r="M136" s="82" t="n"/>
      <c r="N136" s="82" t="n"/>
      <c r="O136" s="82" t="n"/>
      <c r="P136" s="82" t="n"/>
      <c r="Q136" s="82" t="n"/>
      <c r="R136" s="82" t="n"/>
      <c r="S136" s="82" t="n"/>
      <c r="T136" s="82" t="n"/>
      <c r="U136" s="82" t="n"/>
    </row>
    <row r="137">
      <c r="A137" s="82" t="n"/>
      <c r="B137" s="82" t="n"/>
      <c r="C137" s="82" t="n"/>
      <c r="D137" s="82" t="n"/>
      <c r="E137" s="82" t="n"/>
      <c r="F137" s="82" t="n"/>
      <c r="G137" s="82" t="n"/>
      <c r="H137" s="82" t="n"/>
      <c r="I137" s="82" t="n"/>
      <c r="J137" s="82" t="n"/>
      <c r="L137" s="82" t="n"/>
      <c r="M137" s="82" t="n"/>
      <c r="N137" s="82" t="n"/>
      <c r="O137" s="82" t="n"/>
      <c r="P137" s="82" t="n"/>
      <c r="Q137" s="82" t="n"/>
      <c r="R137" s="82" t="n"/>
      <c r="S137" s="82" t="n"/>
      <c r="T137" s="82" t="n"/>
      <c r="U137" s="82" t="n"/>
    </row>
    <row r="138">
      <c r="A138" s="82" t="n"/>
      <c r="B138" s="82" t="n"/>
      <c r="C138" s="82" t="n"/>
      <c r="D138" s="82" t="n"/>
      <c r="E138" s="82" t="n"/>
      <c r="F138" s="82" t="n"/>
      <c r="G138" s="82" t="n"/>
      <c r="H138" s="82" t="n"/>
      <c r="I138" s="82" t="n"/>
      <c r="J138" s="82" t="n"/>
      <c r="L138" s="82" t="n"/>
      <c r="M138" s="82" t="n"/>
      <c r="N138" s="82" t="n"/>
      <c r="O138" s="82" t="n"/>
      <c r="P138" s="82" t="n"/>
      <c r="Q138" s="82" t="n"/>
      <c r="R138" s="82" t="n"/>
      <c r="S138" s="82" t="n"/>
      <c r="T138" s="82" t="n"/>
      <c r="U138" s="82" t="n"/>
    </row>
    <row r="139">
      <c r="A139" s="82" t="n"/>
      <c r="B139" s="82" t="n"/>
      <c r="C139" s="82" t="n"/>
      <c r="D139" s="82" t="n"/>
      <c r="E139" s="82" t="n"/>
      <c r="F139" s="82" t="n"/>
      <c r="G139" s="82" t="n"/>
      <c r="H139" s="82" t="n"/>
      <c r="I139" s="82" t="n"/>
      <c r="J139" s="82" t="n"/>
      <c r="L139" s="82" t="n"/>
      <c r="M139" s="82" t="n"/>
      <c r="N139" s="82" t="n"/>
      <c r="O139" s="82" t="n"/>
      <c r="P139" s="82" t="n"/>
      <c r="Q139" s="82" t="n"/>
      <c r="R139" s="82" t="n"/>
      <c r="S139" s="82" t="n"/>
      <c r="T139" s="82" t="n"/>
      <c r="U139" s="82" t="n"/>
    </row>
    <row r="140">
      <c r="A140" s="82" t="n"/>
      <c r="B140" s="82" t="n"/>
      <c r="C140" s="82" t="n"/>
      <c r="D140" s="82" t="n"/>
      <c r="E140" s="82" t="n"/>
      <c r="F140" s="82" t="n"/>
      <c r="G140" s="82" t="n"/>
      <c r="H140" s="82" t="n"/>
      <c r="I140" s="82" t="n"/>
      <c r="J140" s="82" t="n"/>
      <c r="L140" s="82" t="n"/>
      <c r="M140" s="82" t="n"/>
      <c r="N140" s="82" t="n"/>
      <c r="O140" s="82" t="n"/>
      <c r="P140" s="82" t="n"/>
      <c r="Q140" s="82" t="n"/>
      <c r="R140" s="82" t="n"/>
      <c r="S140" s="82" t="n"/>
      <c r="T140" s="82" t="n"/>
      <c r="U140" s="82" t="n"/>
    </row>
    <row r="141">
      <c r="A141" s="82" t="n"/>
      <c r="B141" s="82" t="n"/>
      <c r="C141" s="82" t="n"/>
      <c r="D141" s="82" t="n"/>
      <c r="E141" s="82" t="n"/>
      <c r="F141" s="82" t="n"/>
      <c r="G141" s="82" t="n"/>
      <c r="H141" s="82" t="n"/>
      <c r="I141" s="82" t="n"/>
      <c r="J141" s="82" t="n"/>
      <c r="L141" s="82" t="n"/>
      <c r="M141" s="82" t="n"/>
      <c r="N141" s="82" t="n"/>
      <c r="O141" s="82" t="n"/>
      <c r="P141" s="82" t="n"/>
      <c r="Q141" s="82" t="n"/>
      <c r="R141" s="82" t="n"/>
      <c r="S141" s="82" t="n"/>
      <c r="T141" s="82" t="n"/>
      <c r="U141" s="82" t="n"/>
    </row>
    <row r="142">
      <c r="A142" s="82" t="n"/>
      <c r="B142" s="82" t="n"/>
      <c r="C142" s="82" t="n"/>
      <c r="D142" s="82" t="n"/>
      <c r="E142" s="82" t="n"/>
      <c r="F142" s="82" t="n"/>
      <c r="G142" s="82" t="n"/>
      <c r="H142" s="82" t="n"/>
      <c r="I142" s="82" t="n"/>
      <c r="J142" s="82" t="n"/>
      <c r="L142" s="82" t="n"/>
      <c r="M142" s="82" t="n"/>
      <c r="N142" s="82" t="n"/>
      <c r="O142" s="82" t="n"/>
      <c r="P142" s="82" t="n"/>
      <c r="Q142" s="82" t="n"/>
      <c r="R142" s="82" t="n"/>
      <c r="S142" s="82" t="n"/>
      <c r="T142" s="82" t="n"/>
      <c r="U142" s="82" t="n"/>
    </row>
    <row r="143">
      <c r="A143" s="82" t="n"/>
      <c r="B143" s="82" t="n"/>
      <c r="C143" s="82" t="n"/>
      <c r="D143" s="82" t="n"/>
      <c r="E143" s="82" t="n"/>
      <c r="F143" s="82" t="n"/>
      <c r="G143" s="82" t="n"/>
      <c r="H143" s="82" t="n"/>
      <c r="I143" s="82" t="n"/>
      <c r="J143" s="82" t="n"/>
      <c r="L143" s="82" t="n"/>
      <c r="M143" s="82" t="n"/>
      <c r="N143" s="82" t="n"/>
      <c r="O143" s="82" t="n"/>
      <c r="P143" s="82" t="n"/>
      <c r="Q143" s="82" t="n"/>
      <c r="R143" s="82" t="n"/>
      <c r="S143" s="82" t="n"/>
      <c r="T143" s="82" t="n"/>
      <c r="U143" s="82" t="n"/>
    </row>
    <row r="144">
      <c r="A144" s="82" t="n"/>
      <c r="B144" s="82" t="n"/>
      <c r="C144" s="82" t="n"/>
      <c r="D144" s="82" t="n"/>
      <c r="E144" s="82" t="n"/>
      <c r="F144" s="82" t="n"/>
      <c r="G144" s="82" t="n"/>
      <c r="H144" s="82" t="n"/>
      <c r="I144" s="82" t="n"/>
      <c r="J144" s="82" t="n"/>
      <c r="L144" s="82" t="n"/>
      <c r="M144" s="82" t="n"/>
      <c r="N144" s="82" t="n"/>
      <c r="O144" s="82" t="n"/>
      <c r="P144" s="82" t="n"/>
      <c r="Q144" s="82" t="n"/>
      <c r="R144" s="82" t="n"/>
      <c r="S144" s="82" t="n"/>
      <c r="T144" s="82" t="n"/>
      <c r="U144" s="82" t="n"/>
    </row>
    <row r="145">
      <c r="A145" s="82" t="n"/>
      <c r="B145" s="82" t="n"/>
      <c r="C145" s="82" t="n"/>
      <c r="D145" s="82" t="n"/>
      <c r="E145" s="82" t="n"/>
      <c r="F145" s="82" t="n"/>
      <c r="G145" s="82" t="n"/>
      <c r="H145" s="82" t="n"/>
      <c r="I145" s="82" t="n"/>
      <c r="J145" s="82" t="n"/>
      <c r="L145" s="82" t="n"/>
      <c r="M145" s="82" t="n"/>
      <c r="N145" s="82" t="n"/>
      <c r="O145" s="82" t="n"/>
      <c r="P145" s="82" t="n"/>
      <c r="Q145" s="82" t="n"/>
      <c r="R145" s="82" t="n"/>
      <c r="S145" s="82" t="n"/>
      <c r="T145" s="82" t="n"/>
      <c r="U145" s="82" t="n"/>
    </row>
    <row r="146">
      <c r="A146" s="82" t="n"/>
      <c r="B146" s="82" t="n"/>
      <c r="C146" s="82" t="n"/>
      <c r="D146" s="82" t="n"/>
      <c r="E146" s="82" t="n"/>
      <c r="F146" s="82" t="n"/>
      <c r="G146" s="82" t="n"/>
      <c r="H146" s="82" t="n"/>
      <c r="I146" s="82" t="n"/>
      <c r="J146" s="82" t="n"/>
      <c r="L146" s="82" t="n"/>
      <c r="M146" s="82" t="n"/>
      <c r="N146" s="82" t="n"/>
      <c r="O146" s="82" t="n"/>
      <c r="P146" s="82" t="n"/>
      <c r="Q146" s="82" t="n"/>
      <c r="R146" s="82" t="n"/>
      <c r="S146" s="82" t="n"/>
      <c r="T146" s="82" t="n"/>
      <c r="U146" s="82" t="n"/>
    </row>
    <row r="147">
      <c r="A147" s="82" t="n"/>
      <c r="B147" s="82" t="n"/>
      <c r="C147" s="82" t="n"/>
      <c r="D147" s="82" t="n"/>
      <c r="E147" s="82" t="n"/>
      <c r="F147" s="82" t="n"/>
      <c r="G147" s="82" t="n"/>
      <c r="H147" s="82" t="n"/>
      <c r="I147" s="82" t="n"/>
      <c r="J147" s="82" t="n"/>
      <c r="L147" s="82" t="n"/>
      <c r="M147" s="82" t="n"/>
      <c r="N147" s="82" t="n"/>
      <c r="O147" s="82" t="n"/>
      <c r="P147" s="82" t="n"/>
      <c r="Q147" s="82" t="n"/>
      <c r="R147" s="82" t="n"/>
      <c r="S147" s="82" t="n"/>
      <c r="T147" s="82" t="n"/>
      <c r="U147" s="82" t="n"/>
    </row>
    <row r="148">
      <c r="A148" s="82" t="n"/>
      <c r="B148" s="82" t="n"/>
      <c r="C148" s="82" t="n"/>
      <c r="D148" s="82" t="n"/>
      <c r="E148" s="82" t="n"/>
      <c r="F148" s="82" t="n"/>
      <c r="G148" s="82" t="n"/>
      <c r="H148" s="82" t="n"/>
      <c r="I148" s="82" t="n"/>
      <c r="J148" s="82" t="n"/>
      <c r="L148" s="82" t="n"/>
      <c r="M148" s="82" t="n"/>
      <c r="N148" s="82" t="n"/>
      <c r="O148" s="82" t="n"/>
      <c r="P148" s="82" t="n"/>
      <c r="Q148" s="82" t="n"/>
      <c r="R148" s="82" t="n"/>
      <c r="S148" s="82" t="n"/>
      <c r="T148" s="82" t="n"/>
      <c r="U148" s="82" t="n"/>
    </row>
    <row r="149">
      <c r="A149" s="82" t="n"/>
      <c r="B149" s="82" t="n"/>
      <c r="C149" s="82" t="n"/>
      <c r="D149" s="82" t="n"/>
      <c r="E149" s="82" t="n"/>
      <c r="F149" s="82" t="n"/>
      <c r="G149" s="82" t="n"/>
      <c r="H149" s="82" t="n"/>
      <c r="I149" s="82" t="n"/>
      <c r="J149" s="82" t="n"/>
      <c r="L149" s="82" t="n"/>
      <c r="M149" s="82" t="n"/>
      <c r="N149" s="82" t="n"/>
      <c r="O149" s="82" t="n"/>
      <c r="P149" s="82" t="n"/>
      <c r="Q149" s="82" t="n"/>
      <c r="R149" s="82" t="n"/>
      <c r="S149" s="82" t="n"/>
      <c r="T149" s="82" t="n"/>
      <c r="U149" s="82" t="n"/>
    </row>
    <row r="150">
      <c r="A150" s="82" t="n"/>
      <c r="B150" s="82" t="n"/>
      <c r="C150" s="82" t="n"/>
      <c r="D150" s="82" t="n"/>
      <c r="E150" s="82" t="n"/>
      <c r="F150" s="82" t="n"/>
      <c r="G150" s="82" t="n"/>
      <c r="H150" s="82" t="n"/>
      <c r="I150" s="82" t="n"/>
      <c r="J150" s="82" t="n"/>
      <c r="L150" s="82" t="n"/>
      <c r="M150" s="82" t="n"/>
      <c r="N150" s="82" t="n"/>
      <c r="O150" s="82" t="n"/>
      <c r="P150" s="82" t="n"/>
      <c r="Q150" s="82" t="n"/>
      <c r="R150" s="82" t="n"/>
      <c r="S150" s="82" t="n"/>
      <c r="T150" s="82" t="n"/>
      <c r="U150" s="82" t="n"/>
    </row>
    <row r="151">
      <c r="A151" s="82" t="n"/>
      <c r="B151" s="82" t="n"/>
      <c r="C151" s="82" t="n"/>
      <c r="D151" s="82" t="n"/>
      <c r="E151" s="82" t="n"/>
      <c r="F151" s="82" t="n"/>
      <c r="G151" s="82" t="n"/>
      <c r="H151" s="82" t="n"/>
      <c r="I151" s="82" t="n"/>
      <c r="J151" s="82" t="n"/>
      <c r="L151" s="82" t="n"/>
      <c r="M151" s="82" t="n"/>
      <c r="N151" s="82" t="n"/>
      <c r="O151" s="82" t="n"/>
      <c r="P151" s="82" t="n"/>
      <c r="Q151" s="82" t="n"/>
      <c r="R151" s="82" t="n"/>
      <c r="S151" s="82" t="n"/>
      <c r="T151" s="82" t="n"/>
      <c r="U151" s="82" t="n"/>
    </row>
    <row r="152">
      <c r="A152" s="82" t="n"/>
      <c r="B152" s="82" t="n"/>
      <c r="C152" s="82" t="n"/>
      <c r="D152" s="82" t="n"/>
      <c r="E152" s="82" t="n"/>
      <c r="F152" s="82" t="n"/>
      <c r="G152" s="82" t="n"/>
      <c r="H152" s="82" t="n"/>
      <c r="I152" s="82" t="n"/>
      <c r="J152" s="82" t="n"/>
      <c r="L152" s="82" t="n"/>
      <c r="M152" s="82" t="n"/>
      <c r="N152" s="82" t="n"/>
      <c r="O152" s="82" t="n"/>
      <c r="P152" s="82" t="n"/>
      <c r="Q152" s="82" t="n"/>
      <c r="R152" s="82" t="n"/>
      <c r="S152" s="82" t="n"/>
      <c r="T152" s="82" t="n"/>
      <c r="U152" s="82" t="n"/>
    </row>
    <row r="153">
      <c r="A153" s="82" t="n"/>
      <c r="B153" s="82" t="n"/>
      <c r="C153" s="82" t="n"/>
      <c r="D153" s="82" t="n"/>
      <c r="E153" s="82" t="n"/>
      <c r="F153" s="82" t="n"/>
      <c r="G153" s="82" t="n"/>
      <c r="H153" s="82" t="n"/>
      <c r="I153" s="82" t="n"/>
      <c r="J153" s="82" t="n"/>
      <c r="L153" s="82" t="n"/>
      <c r="M153" s="82" t="n"/>
      <c r="N153" s="82" t="n"/>
      <c r="O153" s="82" t="n"/>
      <c r="P153" s="82" t="n"/>
      <c r="Q153" s="82" t="n"/>
      <c r="R153" s="82" t="n"/>
      <c r="S153" s="82" t="n"/>
      <c r="T153" s="82" t="n"/>
      <c r="U153" s="82" t="n"/>
    </row>
    <row r="154">
      <c r="A154" s="82" t="n"/>
      <c r="B154" s="82" t="n"/>
      <c r="C154" s="82" t="n"/>
      <c r="D154" s="82" t="n"/>
      <c r="E154" s="82" t="n"/>
      <c r="F154" s="82" t="n"/>
      <c r="G154" s="82" t="n"/>
      <c r="H154" s="82" t="n"/>
      <c r="I154" s="82" t="n"/>
      <c r="J154" s="82" t="n"/>
      <c r="L154" s="82" t="n"/>
      <c r="M154" s="82" t="n"/>
      <c r="N154" s="82" t="n"/>
      <c r="O154" s="82" t="n"/>
      <c r="P154" s="82" t="n"/>
      <c r="Q154" s="82" t="n"/>
      <c r="R154" s="82" t="n"/>
      <c r="S154" s="82" t="n"/>
      <c r="T154" s="82" t="n"/>
      <c r="U154" s="82" t="n"/>
    </row>
    <row r="155">
      <c r="A155" s="82" t="n"/>
      <c r="B155" s="82" t="n"/>
      <c r="C155" s="82" t="n"/>
      <c r="D155" s="82" t="n"/>
      <c r="E155" s="82" t="n"/>
      <c r="F155" s="82" t="n"/>
      <c r="G155" s="82" t="n"/>
      <c r="H155" s="82" t="n"/>
      <c r="I155" s="82" t="n"/>
      <c r="J155" s="82" t="n"/>
      <c r="L155" s="82" t="n"/>
      <c r="M155" s="82" t="n"/>
      <c r="N155" s="82" t="n"/>
      <c r="O155" s="82" t="n"/>
      <c r="P155" s="82" t="n"/>
      <c r="Q155" s="82" t="n"/>
      <c r="R155" s="82" t="n"/>
      <c r="S155" s="82" t="n"/>
      <c r="T155" s="82" t="n"/>
      <c r="U155" s="82" t="n"/>
    </row>
    <row r="156">
      <c r="A156" s="82" t="n"/>
      <c r="B156" s="82" t="n"/>
      <c r="C156" s="82" t="n"/>
      <c r="D156" s="82" t="n"/>
      <c r="E156" s="82" t="n"/>
      <c r="F156" s="82" t="n"/>
      <c r="G156" s="82" t="n"/>
      <c r="H156" s="82" t="n"/>
      <c r="I156" s="82" t="n"/>
      <c r="J156" s="82" t="n"/>
      <c r="L156" s="82" t="n"/>
      <c r="M156" s="82" t="n"/>
      <c r="N156" s="82" t="n"/>
      <c r="O156" s="82" t="n"/>
      <c r="P156" s="82" t="n"/>
      <c r="Q156" s="82" t="n"/>
      <c r="R156" s="82" t="n"/>
      <c r="S156" s="82" t="n"/>
      <c r="T156" s="82" t="n"/>
      <c r="U156" s="82" t="n"/>
    </row>
    <row r="157">
      <c r="A157" s="82" t="n"/>
      <c r="B157" s="82" t="n"/>
      <c r="C157" s="82" t="n"/>
      <c r="D157" s="82" t="n"/>
      <c r="E157" s="82" t="n"/>
      <c r="F157" s="82" t="n"/>
      <c r="G157" s="82" t="n"/>
      <c r="H157" s="82" t="n"/>
      <c r="I157" s="82" t="n"/>
      <c r="J157" s="82" t="n"/>
      <c r="L157" s="82" t="n"/>
      <c r="M157" s="82" t="n"/>
      <c r="N157" s="82" t="n"/>
      <c r="O157" s="82" t="n"/>
      <c r="P157" s="82" t="n"/>
      <c r="Q157" s="82" t="n"/>
      <c r="R157" s="82" t="n"/>
      <c r="S157" s="82" t="n"/>
      <c r="T157" s="82" t="n"/>
      <c r="U157" s="82" t="n"/>
    </row>
    <row r="158">
      <c r="A158" s="82" t="n"/>
      <c r="B158" s="82" t="n"/>
      <c r="C158" s="82" t="n"/>
      <c r="D158" s="82" t="n"/>
      <c r="E158" s="82" t="n"/>
      <c r="F158" s="82" t="n"/>
      <c r="G158" s="82" t="n"/>
      <c r="H158" s="82" t="n"/>
      <c r="I158" s="82" t="n"/>
      <c r="J158" s="82" t="n"/>
      <c r="L158" s="82" t="n"/>
      <c r="M158" s="82" t="n"/>
      <c r="N158" s="82" t="n"/>
      <c r="O158" s="82" t="n"/>
      <c r="P158" s="82" t="n"/>
      <c r="Q158" s="82" t="n"/>
      <c r="R158" s="82" t="n"/>
      <c r="S158" s="82" t="n"/>
      <c r="T158" s="82" t="n"/>
      <c r="U158" s="82" t="n"/>
    </row>
    <row r="159">
      <c r="A159" s="82" t="n"/>
      <c r="B159" s="82" t="n"/>
      <c r="C159" s="82" t="n"/>
      <c r="D159" s="82" t="n"/>
      <c r="E159" s="82" t="n"/>
      <c r="F159" s="82" t="n"/>
      <c r="G159" s="82" t="n"/>
      <c r="H159" s="82" t="n"/>
      <c r="I159" s="82" t="n"/>
      <c r="J159" s="82" t="n"/>
      <c r="L159" s="82" t="n"/>
      <c r="M159" s="82" t="n"/>
      <c r="N159" s="82" t="n"/>
      <c r="O159" s="82" t="n"/>
      <c r="P159" s="82" t="n"/>
      <c r="Q159" s="82" t="n"/>
      <c r="R159" s="82" t="n"/>
      <c r="S159" s="82" t="n"/>
      <c r="T159" s="82" t="n"/>
      <c r="U159" s="82" t="n"/>
    </row>
    <row r="160">
      <c r="A160" s="82" t="n"/>
      <c r="B160" s="82" t="n"/>
      <c r="C160" s="82" t="n"/>
      <c r="D160" s="82" t="n"/>
      <c r="E160" s="82" t="n"/>
      <c r="F160" s="82" t="n"/>
      <c r="G160" s="82" t="n"/>
      <c r="H160" s="82" t="n"/>
      <c r="I160" s="82" t="n"/>
      <c r="J160" s="82" t="n"/>
      <c r="L160" s="82" t="n"/>
      <c r="M160" s="82" t="n"/>
      <c r="N160" s="82" t="n"/>
      <c r="O160" s="82" t="n"/>
      <c r="P160" s="82" t="n"/>
      <c r="Q160" s="82" t="n"/>
      <c r="R160" s="82" t="n"/>
      <c r="S160" s="82" t="n"/>
      <c r="T160" s="82" t="n"/>
      <c r="U160" s="82" t="n"/>
    </row>
    <row r="161">
      <c r="A161" s="82" t="n"/>
      <c r="B161" s="82" t="n"/>
      <c r="C161" s="82" t="n"/>
      <c r="D161" s="82" t="n"/>
      <c r="E161" s="82" t="n"/>
      <c r="F161" s="82" t="n"/>
      <c r="G161" s="82" t="n"/>
      <c r="H161" s="82" t="n"/>
      <c r="I161" s="82" t="n"/>
      <c r="J161" s="82" t="n"/>
      <c r="L161" s="82" t="n"/>
      <c r="M161" s="82" t="n"/>
      <c r="N161" s="82" t="n"/>
      <c r="O161" s="82" t="n"/>
      <c r="P161" s="82" t="n"/>
      <c r="Q161" s="82" t="n"/>
      <c r="R161" s="82" t="n"/>
      <c r="S161" s="82" t="n"/>
      <c r="T161" s="82" t="n"/>
      <c r="U161" s="82" t="n"/>
    </row>
    <row r="162">
      <c r="A162" s="82" t="n"/>
      <c r="B162" s="82" t="n"/>
      <c r="C162" s="82" t="n"/>
      <c r="D162" s="82" t="n"/>
      <c r="E162" s="82" t="n"/>
      <c r="F162" s="82" t="n"/>
      <c r="G162" s="82" t="n"/>
      <c r="H162" s="82" t="n"/>
      <c r="I162" s="82" t="n"/>
      <c r="J162" s="82" t="n"/>
      <c r="L162" s="82" t="n"/>
      <c r="M162" s="82" t="n"/>
      <c r="N162" s="82" t="n"/>
      <c r="O162" s="82" t="n"/>
      <c r="P162" s="82" t="n"/>
      <c r="Q162" s="82" t="n"/>
      <c r="R162" s="82" t="n"/>
      <c r="S162" s="82" t="n"/>
      <c r="T162" s="82" t="n"/>
      <c r="U162" s="82" t="n"/>
    </row>
    <row r="163">
      <c r="A163" s="82" t="n"/>
      <c r="B163" s="82" t="n"/>
      <c r="C163" s="82" t="n"/>
      <c r="D163" s="82" t="n"/>
      <c r="E163" s="82" t="n"/>
      <c r="F163" s="82" t="n"/>
      <c r="G163" s="82" t="n"/>
      <c r="H163" s="82" t="n"/>
      <c r="I163" s="82" t="n"/>
      <c r="J163" s="82" t="n"/>
      <c r="L163" s="82" t="n"/>
      <c r="M163" s="82" t="n"/>
      <c r="N163" s="82" t="n"/>
      <c r="O163" s="82" t="n"/>
      <c r="P163" s="82" t="n"/>
      <c r="Q163" s="82" t="n"/>
      <c r="R163" s="82" t="n"/>
      <c r="S163" s="82" t="n"/>
      <c r="T163" s="82" t="n"/>
      <c r="U163" s="82" t="n"/>
    </row>
    <row r="164">
      <c r="A164" s="82" t="n"/>
      <c r="B164" s="82" t="n"/>
      <c r="C164" s="82" t="n"/>
      <c r="D164" s="82" t="n"/>
      <c r="E164" s="82" t="n"/>
      <c r="F164" s="82" t="n"/>
      <c r="G164" s="82" t="n"/>
      <c r="H164" s="82" t="n"/>
      <c r="I164" s="82" t="n"/>
      <c r="J164" s="82" t="n"/>
      <c r="L164" s="82" t="n"/>
      <c r="M164" s="82" t="n"/>
      <c r="N164" s="82" t="n"/>
      <c r="O164" s="82" t="n"/>
      <c r="P164" s="82" t="n"/>
      <c r="Q164" s="82" t="n"/>
      <c r="R164" s="82" t="n"/>
      <c r="S164" s="82" t="n"/>
      <c r="T164" s="82" t="n"/>
      <c r="U164" s="82" t="n"/>
    </row>
    <row r="165">
      <c r="A165" s="82" t="n"/>
      <c r="B165" s="82" t="n"/>
      <c r="C165" s="82" t="n"/>
      <c r="D165" s="82" t="n"/>
      <c r="E165" s="82" t="n"/>
      <c r="F165" s="82" t="n"/>
      <c r="G165" s="82" t="n"/>
      <c r="H165" s="82" t="n"/>
      <c r="I165" s="82" t="n"/>
      <c r="J165" s="82" t="n"/>
      <c r="L165" s="82" t="n"/>
      <c r="M165" s="82" t="n"/>
      <c r="N165" s="82" t="n"/>
      <c r="O165" s="82" t="n"/>
      <c r="P165" s="82" t="n"/>
      <c r="Q165" s="82" t="n"/>
      <c r="R165" s="82" t="n"/>
      <c r="S165" s="82" t="n"/>
      <c r="T165" s="82" t="n"/>
      <c r="U165" s="82" t="n"/>
    </row>
    <row r="166">
      <c r="A166" s="82" t="n"/>
      <c r="B166" s="82" t="n"/>
      <c r="C166" s="82" t="n"/>
      <c r="D166" s="82" t="n"/>
      <c r="E166" s="82" t="n"/>
      <c r="F166" s="82" t="n"/>
      <c r="G166" s="82" t="n"/>
      <c r="H166" s="82" t="n"/>
      <c r="I166" s="82" t="n"/>
      <c r="J166" s="82" t="n"/>
      <c r="L166" s="82" t="n"/>
      <c r="M166" s="82" t="n"/>
      <c r="N166" s="82" t="n"/>
      <c r="O166" s="82" t="n"/>
      <c r="P166" s="82" t="n"/>
      <c r="Q166" s="82" t="n"/>
      <c r="R166" s="82" t="n"/>
      <c r="S166" s="82" t="n"/>
      <c r="T166" s="82" t="n"/>
      <c r="U166" s="82" t="n"/>
    </row>
    <row r="167">
      <c r="A167" s="82" t="n"/>
      <c r="B167" s="82" t="n"/>
      <c r="C167" s="82" t="n"/>
      <c r="D167" s="82" t="n"/>
      <c r="E167" s="82" t="n"/>
      <c r="F167" s="82" t="n"/>
      <c r="G167" s="82" t="n"/>
      <c r="H167" s="82" t="n"/>
      <c r="I167" s="82" t="n"/>
      <c r="J167" s="82" t="n"/>
      <c r="L167" s="82" t="n"/>
      <c r="M167" s="82" t="n"/>
      <c r="N167" s="82" t="n"/>
      <c r="O167" s="82" t="n"/>
      <c r="P167" s="82" t="n"/>
      <c r="Q167" s="82" t="n"/>
      <c r="R167" s="82" t="n"/>
      <c r="S167" s="82" t="n"/>
      <c r="T167" s="82" t="n"/>
      <c r="U167" s="82" t="n"/>
    </row>
    <row r="168">
      <c r="A168" s="82" t="n"/>
      <c r="B168" s="82" t="n"/>
      <c r="C168" s="82" t="n"/>
      <c r="D168" s="82" t="n"/>
      <c r="E168" s="82" t="n"/>
      <c r="F168" s="82" t="n"/>
      <c r="G168" s="82" t="n"/>
      <c r="H168" s="82" t="n"/>
      <c r="I168" s="82" t="n"/>
      <c r="J168" s="82" t="n"/>
      <c r="L168" s="82" t="n"/>
      <c r="M168" s="82" t="n"/>
      <c r="N168" s="82" t="n"/>
      <c r="O168" s="82" t="n"/>
      <c r="P168" s="82" t="n"/>
      <c r="Q168" s="82" t="n"/>
      <c r="R168" s="82" t="n"/>
      <c r="S168" s="82" t="n"/>
      <c r="T168" s="82" t="n"/>
      <c r="U168" s="82" t="n"/>
    </row>
    <row r="169">
      <c r="A169" s="82" t="n"/>
      <c r="B169" s="82" t="n"/>
      <c r="C169" s="82" t="n"/>
      <c r="D169" s="82" t="n"/>
      <c r="E169" s="82" t="n"/>
      <c r="F169" s="82" t="n"/>
      <c r="G169" s="82" t="n"/>
      <c r="H169" s="82" t="n"/>
      <c r="I169" s="82" t="n"/>
      <c r="J169" s="82" t="n"/>
      <c r="L169" s="82" t="n"/>
      <c r="M169" s="82" t="n"/>
      <c r="N169" s="82" t="n"/>
      <c r="O169" s="82" t="n"/>
      <c r="P169" s="82" t="n"/>
      <c r="Q169" s="82" t="n"/>
      <c r="R169" s="82" t="n"/>
      <c r="S169" s="82" t="n"/>
      <c r="T169" s="82" t="n"/>
      <c r="U169" s="82" t="n"/>
    </row>
    <row r="170">
      <c r="A170" s="82" t="n"/>
      <c r="B170" s="82" t="n"/>
      <c r="C170" s="82" t="n"/>
      <c r="D170" s="82" t="n"/>
      <c r="E170" s="82" t="n"/>
      <c r="F170" s="82" t="n"/>
      <c r="G170" s="82" t="n"/>
      <c r="H170" s="82" t="n"/>
      <c r="I170" s="82" t="n"/>
      <c r="J170" s="82" t="n"/>
      <c r="L170" s="82" t="n"/>
      <c r="M170" s="82" t="n"/>
      <c r="N170" s="82" t="n"/>
      <c r="O170" s="82" t="n"/>
      <c r="P170" s="82" t="n"/>
      <c r="Q170" s="82" t="n"/>
      <c r="R170" s="82" t="n"/>
      <c r="S170" s="82" t="n"/>
      <c r="T170" s="82" t="n"/>
      <c r="U170" s="82" t="n"/>
    </row>
    <row r="171">
      <c r="A171" s="82" t="n"/>
      <c r="B171" s="82" t="n"/>
      <c r="C171" s="82" t="n"/>
      <c r="D171" s="82" t="n"/>
      <c r="E171" s="82" t="n"/>
      <c r="F171" s="82" t="n"/>
      <c r="G171" s="82" t="n"/>
      <c r="H171" s="82" t="n"/>
      <c r="I171" s="82" t="n"/>
      <c r="J171" s="82" t="n"/>
      <c r="L171" s="82" t="n"/>
      <c r="M171" s="82" t="n"/>
      <c r="N171" s="82" t="n"/>
      <c r="O171" s="82" t="n"/>
      <c r="P171" s="82" t="n"/>
      <c r="Q171" s="82" t="n"/>
      <c r="R171" s="82" t="n"/>
      <c r="S171" s="82" t="n"/>
      <c r="T171" s="82" t="n"/>
      <c r="U171" s="82" t="n"/>
    </row>
    <row r="172">
      <c r="A172" s="82" t="n"/>
      <c r="B172" s="82" t="n"/>
      <c r="C172" s="82" t="n"/>
      <c r="D172" s="82" t="n"/>
      <c r="E172" s="82" t="n"/>
      <c r="F172" s="82" t="n"/>
      <c r="G172" s="82" t="n"/>
      <c r="H172" s="82" t="n"/>
      <c r="I172" s="82" t="n"/>
      <c r="J172" s="82" t="n"/>
      <c r="L172" s="82" t="n"/>
      <c r="M172" s="82" t="n"/>
      <c r="N172" s="82" t="n"/>
      <c r="O172" s="82" t="n"/>
      <c r="P172" s="82" t="n"/>
      <c r="Q172" s="82" t="n"/>
      <c r="R172" s="82" t="n"/>
      <c r="S172" s="82" t="n"/>
      <c r="T172" s="82" t="n"/>
      <c r="U172" s="82" t="n"/>
    </row>
    <row r="173">
      <c r="A173" s="82" t="n"/>
      <c r="B173" s="82" t="n"/>
      <c r="C173" s="82" t="n"/>
      <c r="D173" s="82" t="n"/>
      <c r="E173" s="82" t="n"/>
      <c r="F173" s="82" t="n"/>
      <c r="G173" s="82" t="n"/>
      <c r="H173" s="82" t="n"/>
      <c r="I173" s="82" t="n"/>
      <c r="J173" s="82" t="n"/>
      <c r="L173" s="82" t="n"/>
      <c r="M173" s="82" t="n"/>
      <c r="N173" s="82" t="n"/>
      <c r="O173" s="82" t="n"/>
      <c r="P173" s="82" t="n"/>
      <c r="Q173" s="82" t="n"/>
      <c r="R173" s="82" t="n"/>
      <c r="S173" s="82" t="n"/>
      <c r="T173" s="82" t="n"/>
      <c r="U173" s="82" t="n"/>
    </row>
    <row r="174">
      <c r="A174" s="82" t="n"/>
      <c r="B174" s="82" t="n"/>
      <c r="C174" s="82" t="n"/>
      <c r="D174" s="82" t="n"/>
      <c r="E174" s="82" t="n"/>
      <c r="F174" s="82" t="n"/>
      <c r="G174" s="82" t="n"/>
      <c r="H174" s="82" t="n"/>
      <c r="I174" s="82" t="n"/>
      <c r="J174" s="82" t="n"/>
      <c r="L174" s="82" t="n"/>
      <c r="M174" s="82" t="n"/>
      <c r="N174" s="82" t="n"/>
      <c r="O174" s="82" t="n"/>
      <c r="P174" s="82" t="n"/>
      <c r="Q174" s="82" t="n"/>
      <c r="R174" s="82" t="n"/>
      <c r="S174" s="82" t="n"/>
      <c r="T174" s="82" t="n"/>
      <c r="U174" s="82" t="n"/>
    </row>
    <row r="175">
      <c r="A175" s="82" t="n"/>
      <c r="B175" s="82" t="n"/>
      <c r="C175" s="82" t="n"/>
      <c r="D175" s="82" t="n"/>
      <c r="E175" s="82" t="n"/>
      <c r="F175" s="82" t="n"/>
      <c r="G175" s="82" t="n"/>
      <c r="H175" s="82" t="n"/>
      <c r="I175" s="82" t="n"/>
      <c r="J175" s="82" t="n"/>
      <c r="L175" s="82" t="n"/>
      <c r="M175" s="82" t="n"/>
      <c r="N175" s="82" t="n"/>
      <c r="O175" s="82" t="n"/>
      <c r="P175" s="82" t="n"/>
      <c r="Q175" s="82" t="n"/>
      <c r="R175" s="82" t="n"/>
      <c r="S175" s="82" t="n"/>
      <c r="T175" s="82" t="n"/>
      <c r="U175" s="82" t="n"/>
    </row>
    <row r="176">
      <c r="A176" s="82" t="n"/>
      <c r="B176" s="82" t="n"/>
      <c r="C176" s="82" t="n"/>
      <c r="D176" s="82" t="n"/>
      <c r="E176" s="82" t="n"/>
      <c r="F176" s="82" t="n"/>
      <c r="G176" s="82" t="n"/>
      <c r="H176" s="82" t="n"/>
      <c r="I176" s="82" t="n"/>
      <c r="J176" s="82" t="n"/>
      <c r="L176" s="82" t="n"/>
      <c r="M176" s="82" t="n"/>
      <c r="N176" s="82" t="n"/>
      <c r="O176" s="82" t="n"/>
      <c r="P176" s="82" t="n"/>
      <c r="Q176" s="82" t="n"/>
      <c r="R176" s="82" t="n"/>
      <c r="S176" s="82" t="n"/>
      <c r="T176" s="82" t="n"/>
      <c r="U176" s="82" t="n"/>
    </row>
    <row r="177">
      <c r="A177" s="82" t="n"/>
      <c r="B177" s="82" t="n"/>
      <c r="C177" s="82" t="n"/>
      <c r="D177" s="82" t="n"/>
      <c r="E177" s="82" t="n"/>
      <c r="F177" s="82" t="n"/>
      <c r="G177" s="82" t="n"/>
      <c r="H177" s="82" t="n"/>
      <c r="I177" s="82" t="n"/>
      <c r="J177" s="82" t="n"/>
      <c r="L177" s="82" t="n"/>
      <c r="M177" s="82" t="n"/>
      <c r="N177" s="82" t="n"/>
      <c r="O177" s="82" t="n"/>
      <c r="P177" s="82" t="n"/>
      <c r="Q177" s="82" t="n"/>
      <c r="R177" s="82" t="n"/>
      <c r="S177" s="82" t="n"/>
      <c r="T177" s="82" t="n"/>
      <c r="U177" s="82" t="n"/>
    </row>
    <row r="178">
      <c r="A178" s="82" t="n"/>
      <c r="B178" s="82" t="n"/>
      <c r="C178" s="82" t="n"/>
      <c r="D178" s="82" t="n"/>
      <c r="E178" s="82" t="n"/>
      <c r="F178" s="82" t="n"/>
      <c r="G178" s="82" t="n"/>
      <c r="H178" s="82" t="n"/>
      <c r="I178" s="82" t="n"/>
      <c r="J178" s="82" t="n"/>
      <c r="L178" s="82" t="n"/>
      <c r="M178" s="82" t="n"/>
      <c r="N178" s="82" t="n"/>
      <c r="O178" s="82" t="n"/>
      <c r="P178" s="82" t="n"/>
      <c r="Q178" s="82" t="n"/>
      <c r="R178" s="82" t="n"/>
      <c r="S178" s="82" t="n"/>
      <c r="T178" s="82" t="n"/>
      <c r="U178" s="82" t="n"/>
    </row>
    <row r="179">
      <c r="A179" s="82" t="n"/>
      <c r="B179" s="82" t="n"/>
      <c r="C179" s="82" t="n"/>
      <c r="D179" s="82" t="n"/>
      <c r="E179" s="82" t="n"/>
      <c r="F179" s="82" t="n"/>
      <c r="G179" s="82" t="n"/>
      <c r="H179" s="82" t="n"/>
      <c r="I179" s="82" t="n"/>
      <c r="J179" s="82" t="n"/>
      <c r="L179" s="82" t="n"/>
      <c r="M179" s="82" t="n"/>
      <c r="N179" s="82" t="n"/>
      <c r="O179" s="82" t="n"/>
      <c r="P179" s="82" t="n"/>
      <c r="Q179" s="82" t="n"/>
      <c r="R179" s="82" t="n"/>
      <c r="S179" s="82" t="n"/>
      <c r="T179" s="82" t="n"/>
      <c r="U179" s="82" t="n"/>
    </row>
    <row r="180">
      <c r="A180" s="82" t="n"/>
      <c r="B180" s="82" t="n"/>
      <c r="C180" s="82" t="n"/>
      <c r="D180" s="82" t="n"/>
      <c r="E180" s="82" t="n"/>
      <c r="F180" s="82" t="n"/>
      <c r="G180" s="82" t="n"/>
      <c r="H180" s="82" t="n"/>
      <c r="I180" s="82" t="n"/>
      <c r="J180" s="82" t="n"/>
      <c r="L180" s="82" t="n"/>
      <c r="M180" s="82" t="n"/>
      <c r="N180" s="82" t="n"/>
      <c r="O180" s="82" t="n"/>
      <c r="P180" s="82" t="n"/>
      <c r="Q180" s="82" t="n"/>
      <c r="R180" s="82" t="n"/>
      <c r="S180" s="82" t="n"/>
      <c r="T180" s="82" t="n"/>
      <c r="U180" s="82" t="n"/>
    </row>
    <row r="181">
      <c r="A181" s="82" t="n"/>
      <c r="B181" s="82" t="n"/>
      <c r="C181" s="82" t="n"/>
      <c r="D181" s="82" t="n"/>
      <c r="E181" s="82" t="n"/>
      <c r="F181" s="82" t="n"/>
      <c r="G181" s="82" t="n"/>
      <c r="H181" s="82" t="n"/>
      <c r="I181" s="82" t="n"/>
      <c r="J181" s="82" t="n"/>
      <c r="L181" s="82" t="n"/>
      <c r="M181" s="82" t="n"/>
      <c r="N181" s="82" t="n"/>
      <c r="O181" s="82" t="n"/>
      <c r="P181" s="82" t="n"/>
      <c r="Q181" s="82" t="n"/>
      <c r="R181" s="82" t="n"/>
      <c r="S181" s="82" t="n"/>
      <c r="T181" s="82" t="n"/>
      <c r="U181" s="82" t="n"/>
    </row>
    <row r="182">
      <c r="A182" s="82" t="n"/>
      <c r="B182" s="82" t="n"/>
      <c r="C182" s="82" t="n"/>
      <c r="D182" s="82" t="n"/>
      <c r="E182" s="82" t="n"/>
      <c r="F182" s="82" t="n"/>
      <c r="G182" s="82" t="n"/>
      <c r="H182" s="82" t="n"/>
      <c r="I182" s="82" t="n"/>
      <c r="J182" s="82" t="n"/>
      <c r="L182" s="82" t="n"/>
      <c r="M182" s="82" t="n"/>
      <c r="N182" s="82" t="n"/>
      <c r="O182" s="82" t="n"/>
      <c r="P182" s="82" t="n"/>
      <c r="Q182" s="82" t="n"/>
      <c r="R182" s="82" t="n"/>
      <c r="S182" s="82" t="n"/>
      <c r="T182" s="82" t="n"/>
      <c r="U182" s="82" t="n"/>
    </row>
    <row r="183">
      <c r="A183" s="82" t="n"/>
      <c r="B183" s="82" t="n"/>
      <c r="C183" s="82" t="n"/>
      <c r="D183" s="82" t="n"/>
      <c r="E183" s="82" t="n"/>
      <c r="F183" s="82" t="n"/>
      <c r="G183" s="82" t="n"/>
      <c r="H183" s="82" t="n"/>
      <c r="I183" s="82" t="n"/>
      <c r="J183" s="82" t="n"/>
      <c r="L183" s="82" t="n"/>
      <c r="M183" s="82" t="n"/>
      <c r="N183" s="82" t="n"/>
      <c r="O183" s="82" t="n"/>
      <c r="P183" s="82" t="n"/>
      <c r="Q183" s="82" t="n"/>
      <c r="R183" s="82" t="n"/>
      <c r="S183" s="82" t="n"/>
      <c r="T183" s="82" t="n"/>
      <c r="U183" s="82" t="n"/>
    </row>
    <row r="184">
      <c r="A184" s="82" t="n"/>
      <c r="B184" s="82" t="n"/>
      <c r="C184" s="82" t="n"/>
      <c r="D184" s="82" t="n"/>
      <c r="E184" s="82" t="n"/>
      <c r="F184" s="82" t="n"/>
      <c r="G184" s="82" t="n"/>
      <c r="H184" s="82" t="n"/>
      <c r="I184" s="82" t="n"/>
      <c r="J184" s="82" t="n"/>
      <c r="L184" s="82" t="n"/>
      <c r="M184" s="82" t="n"/>
      <c r="N184" s="82" t="n"/>
      <c r="O184" s="82" t="n"/>
      <c r="P184" s="82" t="n"/>
      <c r="Q184" s="82" t="n"/>
      <c r="R184" s="82" t="n"/>
      <c r="S184" s="82" t="n"/>
      <c r="T184" s="82" t="n"/>
      <c r="U184" s="82" t="n"/>
    </row>
    <row r="185">
      <c r="A185" s="82" t="n"/>
      <c r="B185" s="82" t="n"/>
      <c r="C185" s="82" t="n"/>
      <c r="D185" s="82" t="n"/>
      <c r="E185" s="82" t="n"/>
      <c r="F185" s="82" t="n"/>
      <c r="G185" s="82" t="n"/>
      <c r="H185" s="82" t="n"/>
      <c r="I185" s="82" t="n"/>
      <c r="J185" s="82" t="n"/>
      <c r="L185" s="82" t="n"/>
      <c r="M185" s="82" t="n"/>
      <c r="N185" s="82" t="n"/>
      <c r="O185" s="82" t="n"/>
      <c r="P185" s="82" t="n"/>
      <c r="Q185" s="82" t="n"/>
      <c r="R185" s="82" t="n"/>
      <c r="S185" s="82" t="n"/>
      <c r="T185" s="82" t="n"/>
      <c r="U185" s="82" t="n"/>
    </row>
    <row r="186">
      <c r="A186" s="82" t="n"/>
      <c r="B186" s="82" t="n"/>
      <c r="C186" s="82" t="n"/>
      <c r="D186" s="82" t="n"/>
      <c r="E186" s="82" t="n"/>
      <c r="F186" s="82" t="n"/>
      <c r="G186" s="82" t="n"/>
      <c r="H186" s="82" t="n"/>
      <c r="I186" s="82" t="n"/>
      <c r="J186" s="82" t="n"/>
      <c r="L186" s="82" t="n"/>
      <c r="M186" s="82" t="n"/>
      <c r="N186" s="82" t="n"/>
      <c r="O186" s="82" t="n"/>
      <c r="P186" s="82" t="n"/>
      <c r="Q186" s="82" t="n"/>
      <c r="R186" s="82" t="n"/>
      <c r="S186" s="82" t="n"/>
      <c r="T186" s="82" t="n"/>
      <c r="U186" s="82" t="n"/>
    </row>
    <row r="187">
      <c r="A187" s="82" t="n"/>
      <c r="B187" s="82" t="n"/>
      <c r="C187" s="82" t="n"/>
      <c r="D187" s="82" t="n"/>
      <c r="E187" s="82" t="n"/>
      <c r="F187" s="82" t="n"/>
      <c r="G187" s="82" t="n"/>
      <c r="H187" s="82" t="n"/>
      <c r="I187" s="82" t="n"/>
      <c r="J187" s="82" t="n"/>
      <c r="L187" s="82" t="n"/>
      <c r="M187" s="82" t="n"/>
      <c r="N187" s="82" t="n"/>
      <c r="O187" s="82" t="n"/>
      <c r="P187" s="82" t="n"/>
      <c r="Q187" s="82" t="n"/>
      <c r="R187" s="82" t="n"/>
      <c r="S187" s="82" t="n"/>
      <c r="T187" s="82" t="n"/>
      <c r="U187" s="82" t="n"/>
    </row>
    <row r="188">
      <c r="A188" s="82" t="n"/>
      <c r="B188" s="82" t="n"/>
      <c r="C188" s="82" t="n"/>
      <c r="D188" s="82" t="n"/>
      <c r="E188" s="82" t="n"/>
      <c r="F188" s="82" t="n"/>
      <c r="G188" s="82" t="n"/>
      <c r="H188" s="82" t="n"/>
      <c r="I188" s="82" t="n"/>
      <c r="J188" s="82" t="n"/>
      <c r="L188" s="82" t="n"/>
      <c r="M188" s="82" t="n"/>
      <c r="N188" s="82" t="n"/>
      <c r="O188" s="82" t="n"/>
      <c r="P188" s="82" t="n"/>
      <c r="Q188" s="82" t="n"/>
      <c r="R188" s="82" t="n"/>
      <c r="S188" s="82" t="n"/>
      <c r="T188" s="82" t="n"/>
      <c r="U188" s="82" t="n"/>
    </row>
    <row r="189">
      <c r="A189" s="82" t="n"/>
      <c r="B189" s="82" t="n"/>
      <c r="C189" s="82" t="n"/>
      <c r="D189" s="82" t="n"/>
      <c r="E189" s="82" t="n"/>
      <c r="F189" s="82" t="n"/>
      <c r="G189" s="82" t="n"/>
      <c r="H189" s="82" t="n"/>
      <c r="I189" s="82" t="n"/>
      <c r="J189" s="82" t="n"/>
      <c r="L189" s="82" t="n"/>
      <c r="M189" s="82" t="n"/>
      <c r="N189" s="82" t="n"/>
      <c r="O189" s="82" t="n"/>
      <c r="P189" s="82" t="n"/>
      <c r="Q189" s="82" t="n"/>
      <c r="R189" s="82" t="n"/>
      <c r="S189" s="82" t="n"/>
      <c r="T189" s="82" t="n"/>
      <c r="U189" s="82" t="n"/>
    </row>
    <row r="190">
      <c r="A190" s="82" t="n"/>
      <c r="B190" s="82" t="n"/>
      <c r="C190" s="82" t="n"/>
      <c r="D190" s="82" t="n"/>
      <c r="E190" s="82" t="n"/>
      <c r="F190" s="82" t="n"/>
      <c r="G190" s="82" t="n"/>
      <c r="H190" s="82" t="n"/>
      <c r="I190" s="82" t="n"/>
      <c r="J190" s="82" t="n"/>
      <c r="L190" s="82" t="n"/>
      <c r="M190" s="82" t="n"/>
      <c r="N190" s="82" t="n"/>
      <c r="O190" s="82" t="n"/>
      <c r="P190" s="82" t="n"/>
      <c r="Q190" s="82" t="n"/>
      <c r="R190" s="82" t="n"/>
      <c r="S190" s="82" t="n"/>
      <c r="T190" s="82" t="n"/>
      <c r="U190" s="82" t="n"/>
    </row>
    <row r="191">
      <c r="A191" s="82" t="n"/>
      <c r="B191" s="82" t="n"/>
      <c r="C191" s="82" t="n"/>
      <c r="D191" s="82" t="n"/>
      <c r="E191" s="82" t="n"/>
      <c r="F191" s="82" t="n"/>
      <c r="G191" s="82" t="n"/>
      <c r="H191" s="82" t="n"/>
      <c r="I191" s="82" t="n"/>
      <c r="J191" s="82" t="n"/>
      <c r="L191" s="82" t="n"/>
      <c r="M191" s="82" t="n"/>
      <c r="N191" s="82" t="n"/>
      <c r="O191" s="82" t="n"/>
      <c r="P191" s="82" t="n"/>
      <c r="Q191" s="82" t="n"/>
      <c r="R191" s="82" t="n"/>
      <c r="S191" s="82" t="n"/>
      <c r="T191" s="82" t="n"/>
      <c r="U191" s="82" t="n"/>
    </row>
    <row r="192">
      <c r="A192" s="82" t="n"/>
      <c r="B192" s="82" t="n"/>
      <c r="C192" s="82" t="n"/>
      <c r="D192" s="82" t="n"/>
      <c r="E192" s="82" t="n"/>
      <c r="F192" s="82" t="n"/>
      <c r="G192" s="82" t="n"/>
      <c r="H192" s="82" t="n"/>
      <c r="I192" s="82" t="n"/>
      <c r="J192" s="82" t="n"/>
      <c r="L192" s="82" t="n"/>
      <c r="M192" s="82" t="n"/>
      <c r="N192" s="82" t="n"/>
      <c r="O192" s="82" t="n"/>
      <c r="P192" s="82" t="n"/>
      <c r="Q192" s="82" t="n"/>
      <c r="R192" s="82" t="n"/>
      <c r="S192" s="82" t="n"/>
      <c r="T192" s="82" t="n"/>
      <c r="U192" s="82" t="n"/>
    </row>
    <row r="193">
      <c r="A193" s="82" t="n"/>
      <c r="B193" s="82" t="n"/>
      <c r="C193" s="82" t="n"/>
      <c r="D193" s="82" t="n"/>
      <c r="E193" s="82" t="n"/>
      <c r="F193" s="82" t="n"/>
      <c r="G193" s="82" t="n"/>
      <c r="H193" s="82" t="n"/>
      <c r="I193" s="82" t="n"/>
      <c r="J193" s="82" t="n"/>
      <c r="L193" s="82" t="n"/>
      <c r="M193" s="82" t="n"/>
      <c r="N193" s="82" t="n"/>
      <c r="O193" s="82" t="n"/>
      <c r="P193" s="82" t="n"/>
      <c r="Q193" s="82" t="n"/>
      <c r="R193" s="82" t="n"/>
      <c r="S193" s="82" t="n"/>
      <c r="T193" s="82" t="n"/>
      <c r="U193" s="82" t="n"/>
    </row>
    <row r="194">
      <c r="A194" s="82" t="n"/>
      <c r="B194" s="82" t="n"/>
      <c r="C194" s="82" t="n"/>
      <c r="D194" s="82" t="n"/>
      <c r="E194" s="82" t="n"/>
      <c r="F194" s="82" t="n"/>
      <c r="G194" s="82" t="n"/>
      <c r="H194" s="82" t="n"/>
      <c r="I194" s="82" t="n"/>
      <c r="J194" s="82" t="n"/>
      <c r="L194" s="82" t="n"/>
      <c r="M194" s="82" t="n"/>
      <c r="N194" s="82" t="n"/>
      <c r="O194" s="82" t="n"/>
      <c r="P194" s="82" t="n"/>
      <c r="Q194" s="82" t="n"/>
      <c r="R194" s="82" t="n"/>
      <c r="S194" s="82" t="n"/>
      <c r="T194" s="82" t="n"/>
      <c r="U194" s="82" t="n"/>
    </row>
    <row r="195">
      <c r="A195" s="82" t="n"/>
      <c r="B195" s="82" t="n"/>
      <c r="C195" s="82" t="n"/>
      <c r="D195" s="82" t="n"/>
      <c r="E195" s="82" t="n"/>
      <c r="F195" s="82" t="n"/>
      <c r="G195" s="82" t="n"/>
      <c r="H195" s="82" t="n"/>
      <c r="I195" s="82" t="n"/>
      <c r="J195" s="82" t="n"/>
      <c r="L195" s="82" t="n"/>
      <c r="M195" s="82" t="n"/>
      <c r="N195" s="82" t="n"/>
      <c r="O195" s="82" t="n"/>
      <c r="P195" s="82" t="n"/>
      <c r="Q195" s="82" t="n"/>
      <c r="R195" s="82" t="n"/>
      <c r="S195" s="82" t="n"/>
      <c r="T195" s="82" t="n"/>
      <c r="U195" s="82" t="n"/>
    </row>
    <row r="196">
      <c r="A196" s="82" t="n"/>
      <c r="B196" s="82" t="n"/>
      <c r="C196" s="82" t="n"/>
      <c r="D196" s="82" t="n"/>
      <c r="E196" s="82" t="n"/>
      <c r="F196" s="82" t="n"/>
      <c r="G196" s="82" t="n"/>
      <c r="H196" s="82" t="n"/>
      <c r="I196" s="82" t="n"/>
      <c r="J196" s="82" t="n"/>
      <c r="L196" s="82" t="n"/>
      <c r="M196" s="82" t="n"/>
      <c r="N196" s="82" t="n"/>
      <c r="O196" s="82" t="n"/>
      <c r="P196" s="82" t="n"/>
      <c r="Q196" s="82" t="n"/>
      <c r="R196" s="82" t="n"/>
      <c r="S196" s="82" t="n"/>
      <c r="T196" s="82" t="n"/>
      <c r="U196" s="82" t="n"/>
    </row>
    <row r="197">
      <c r="A197" s="82" t="n"/>
      <c r="B197" s="82" t="n"/>
      <c r="C197" s="82" t="n"/>
      <c r="D197" s="82" t="n"/>
      <c r="E197" s="82" t="n"/>
      <c r="F197" s="82" t="n"/>
      <c r="G197" s="82" t="n"/>
      <c r="H197" s="82" t="n"/>
      <c r="I197" s="82" t="n"/>
      <c r="J197" s="82" t="n"/>
      <c r="L197" s="82" t="n"/>
      <c r="M197" s="82" t="n"/>
      <c r="N197" s="82" t="n"/>
      <c r="O197" s="82" t="n"/>
      <c r="P197" s="82" t="n"/>
      <c r="Q197" s="82" t="n"/>
      <c r="R197" s="82" t="n"/>
      <c r="S197" s="82" t="n"/>
      <c r="T197" s="82" t="n"/>
      <c r="U197" s="82" t="n"/>
    </row>
    <row r="198">
      <c r="A198" s="82" t="n"/>
      <c r="B198" s="82" t="n"/>
      <c r="C198" s="82" t="n"/>
      <c r="D198" s="82" t="n"/>
      <c r="E198" s="82" t="n"/>
      <c r="F198" s="82" t="n"/>
      <c r="G198" s="82" t="n"/>
      <c r="H198" s="82" t="n"/>
      <c r="I198" s="82" t="n"/>
      <c r="J198" s="82" t="n"/>
      <c r="L198" s="82" t="n"/>
      <c r="M198" s="82" t="n"/>
      <c r="N198" s="82" t="n"/>
      <c r="O198" s="82" t="n"/>
      <c r="P198" s="82" t="n"/>
      <c r="Q198" s="82" t="n"/>
      <c r="R198" s="82" t="n"/>
      <c r="S198" s="82" t="n"/>
      <c r="T198" s="82" t="n"/>
      <c r="U198" s="82" t="n"/>
    </row>
    <row r="199">
      <c r="A199" s="82" t="n"/>
      <c r="B199" s="82" t="n"/>
      <c r="C199" s="82" t="n"/>
      <c r="D199" s="82" t="n"/>
      <c r="E199" s="82" t="n"/>
      <c r="F199" s="82" t="n"/>
      <c r="G199" s="82" t="n"/>
      <c r="H199" s="82" t="n"/>
      <c r="I199" s="82" t="n"/>
      <c r="J199" s="82" t="n"/>
      <c r="L199" s="82" t="n"/>
      <c r="M199" s="82" t="n"/>
      <c r="N199" s="82" t="n"/>
      <c r="O199" s="82" t="n"/>
      <c r="P199" s="82" t="n"/>
      <c r="Q199" s="82" t="n"/>
      <c r="R199" s="82" t="n"/>
      <c r="S199" s="82" t="n"/>
      <c r="T199" s="82" t="n"/>
      <c r="U199" s="82" t="n"/>
    </row>
    <row r="200">
      <c r="A200" s="82" t="n"/>
      <c r="B200" s="82" t="n"/>
      <c r="C200" s="82" t="n"/>
      <c r="D200" s="82" t="n"/>
      <c r="E200" s="82" t="n"/>
      <c r="F200" s="82" t="n"/>
      <c r="G200" s="82" t="n"/>
      <c r="H200" s="82" t="n"/>
      <c r="I200" s="82" t="n"/>
      <c r="J200" s="82" t="n"/>
      <c r="L200" s="82" t="n"/>
      <c r="M200" s="82" t="n"/>
      <c r="N200" s="82" t="n"/>
      <c r="O200" s="82" t="n"/>
      <c r="P200" s="82" t="n"/>
      <c r="Q200" s="82" t="n"/>
      <c r="R200" s="82" t="n"/>
      <c r="S200" s="82" t="n"/>
      <c r="T200" s="82" t="n"/>
      <c r="U200" s="82" t="n"/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autoFilter ref="A4:V29"/>
  <mergeCells count="2">
    <mergeCell ref="A2:V2"/>
    <mergeCell ref="A1:V1"/>
  </mergeCells>
  <conditionalFormatting sqref="P5:P80">
    <cfRule type="expression" priority="1" dxfId="8">
      <formula>P5="Required"</formula>
    </cfRule>
    <cfRule type="expression" priority="2" dxfId="1">
      <formula>P5="Quoted"</formula>
    </cfRule>
    <cfRule type="expression" priority="3" dxfId="0">
      <formula>P5="Approved"</formula>
    </cfRule>
    <cfRule type="expression" priority="4" dxfId="2">
      <formula>P5="Ordered"</formula>
    </cfRule>
    <cfRule type="expression" priority="5" dxfId="9">
      <formula>P5="Shipped"</formula>
    </cfRule>
    <cfRule type="expression" priority="6" dxfId="1">
      <formula>P5="Delivered"</formula>
    </cfRule>
    <cfRule type="expression" priority="7" dxfId="0">
      <formula>P5="Installed"</formula>
    </cfRule>
    <cfRule type="expression" priority="8" dxfId="4">
      <formula>P5="Returned"</formula>
    </cfRule>
    <cfRule type="expression" priority="9" dxfId="4">
      <formula>P5="Backordered"</formula>
    </cfRule>
  </conditionalFormatting>
  <dataValidations count="1">
    <dataValidation sqref="P5:P200" showDropDown="0" showInputMessage="0" showErrorMessage="1" allowBlank="1" errorTitle="Invalid value" error="Pick a value from the list." type="list">
      <formula1>=Material_Status</formula1>
    </dataValidation>
  </dataValidations>
  <pageMargins left="0.4" right="0.4" top="0.6" bottom="0.5" header="0.25" footer="0.25"/>
  <pageSetup orientation="landscape" paperSize="3" fitToHeight="0" fitToWidth="1"/>
  <headerFooter>
    <oddHeader>&amp;LNovality Store  ·  Home Renovation System&amp;RMaterials</oddHeader>
    <oddFooter>&amp;LConfidential  ·  Digital twin of the home&amp;RPage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C86B4A"/>
    <outlinePr summaryBelow="1" summaryRight="1"/>
    <pageSetUpPr fitToPage="1"/>
  </sheetPr>
  <dimension ref="A1:J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10" customWidth="1" min="4" max="4"/>
    <col width="8" customWidth="1" min="5" max="5"/>
    <col width="12" customWidth="1" min="6" max="6"/>
    <col width="12" customWidth="1" min="7" max="7"/>
    <col width="24" customWidth="1" min="8" max="8"/>
    <col width="12" customWidth="1" min="9" max="9"/>
    <col width="12" customWidth="1" min="10" max="10"/>
  </cols>
  <sheetData>
    <row r="1" ht="28" customHeight="1">
      <c r="A1" s="1" t="inlineStr">
        <is>
          <t>SHOPPING LIST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8" customHeight="1">
      <c r="A2" s="3" t="inlineStr">
        <is>
          <t>Auto-built from Materials still Required / Quoted / Approved  ·  refresh by editing Materials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22" customHeight="1">
      <c r="A4" s="66" t="inlineStr">
        <is>
          <t>SKU / QR</t>
        </is>
      </c>
      <c r="B4" s="66" t="inlineStr">
        <is>
          <t>Product</t>
        </is>
      </c>
      <c r="C4" s="66" t="inlineStr">
        <is>
          <t>Room</t>
        </is>
      </c>
      <c r="D4" s="66" t="inlineStr">
        <is>
          <t>Qty</t>
        </is>
      </c>
      <c r="E4" s="66" t="inlineStr">
        <is>
          <t>Unit</t>
        </is>
      </c>
      <c r="F4" s="66" t="inlineStr">
        <is>
          <t>Est. Unit $</t>
        </is>
      </c>
      <c r="G4" s="66" t="inlineStr">
        <is>
          <t>Est. Total</t>
        </is>
      </c>
      <c r="H4" s="66" t="inlineStr">
        <is>
          <t>Supplier</t>
        </is>
      </c>
      <c r="I4" s="66" t="inlineStr">
        <is>
          <t>Status</t>
        </is>
      </c>
      <c r="J4" s="66" t="inlineStr">
        <is>
          <t>Project</t>
        </is>
      </c>
    </row>
    <row r="5">
      <c r="A5" s="114">
        <f>IFERROR(FILTER(Materials!F5:F200,(Materials!P5:P200="Required")+(Materials!P5:P200="Quoted")+(Materials!P5:P200="Approved")),"")</f>
        <v/>
      </c>
      <c r="B5" s="114">
        <f>IFERROR(FILTER(Materials!D5:D200,(Materials!P5:P200="Required")+(Materials!P5:P200="Quoted")+(Materials!P5:P200="Approved")),"")</f>
        <v/>
      </c>
      <c r="C5" s="114">
        <f>IFERROR(FILTER(Materials!C5:C200,(Materials!P5:P200="Required")+(Materials!P5:P200="Quoted")+(Materials!P5:P200="Approved")),"")</f>
        <v/>
      </c>
      <c r="D5" s="114">
        <f>IFERROR(FILTER(Materials!H5:H200,(Materials!P5:P200="Required")+(Materials!P5:P200="Quoted")+(Materials!P5:P200="Approved")),"")</f>
        <v/>
      </c>
      <c r="E5" s="114">
        <f>IFERROR(FILTER(Materials!I5:I200,(Materials!P5:P200="Required")+(Materials!P5:P200="Quoted")+(Materials!P5:P200="Approved")),"")</f>
        <v/>
      </c>
      <c r="F5" s="114">
        <f>IFERROR(FILTER(Materials!J5:J200,(Materials!P5:P200="Required")+(Materials!P5:P200="Quoted")+(Materials!P5:P200="Approved")),"")</f>
        <v/>
      </c>
      <c r="G5" s="114">
        <f>IFERROR(FILTER(Materials!K5:K200,(Materials!P5:P200="Required")+(Materials!P5:P200="Quoted")+(Materials!P5:P200="Approved")),"")</f>
        <v/>
      </c>
      <c r="H5" s="114">
        <f>IFERROR(FILTER(Materials!L5:L200,(Materials!P5:P200="Required")+(Materials!P5:P200="Quoted")+(Materials!P5:P200="Approved")),"")</f>
        <v/>
      </c>
      <c r="I5" s="114">
        <f>IFERROR(FILTER(Materials!P5:P200,(Materials!P5:P200="Required")+(Materials!P5:P200="Quoted")+(Materials!P5:P200="Approved")),"")</f>
        <v/>
      </c>
      <c r="J5" s="114">
        <f>IFERROR(FILTER(Materials!B5:B200,(Materials!P5:P200="Required")+(Materials!P5:P200="Quoted")+(Materials!P5:P200="Approved")),"")</f>
        <v/>
      </c>
    </row>
    <row r="6">
      <c r="A6" s="100" t="n"/>
      <c r="B6" s="100" t="n"/>
      <c r="C6" s="100" t="n"/>
      <c r="D6" s="100" t="n"/>
      <c r="E6" s="100" t="n"/>
      <c r="F6" s="100" t="n"/>
      <c r="G6" s="100" t="n"/>
      <c r="H6" s="100" t="n"/>
      <c r="I6" s="100" t="n"/>
      <c r="J6" s="100" t="n"/>
    </row>
    <row r="7">
      <c r="A7" s="97" t="n"/>
      <c r="B7" s="97" t="n"/>
      <c r="C7" s="97" t="n"/>
      <c r="D7" s="97" t="n"/>
      <c r="E7" s="97" t="n"/>
      <c r="F7" s="97" t="n"/>
      <c r="G7" s="97" t="n"/>
      <c r="H7" s="97" t="n"/>
      <c r="I7" s="97" t="n"/>
      <c r="J7" s="97" t="n"/>
    </row>
    <row r="8">
      <c r="A8" s="100" t="n"/>
      <c r="B8" s="100" t="n"/>
      <c r="C8" s="100" t="n"/>
      <c r="D8" s="100" t="n"/>
      <c r="E8" s="100" t="n"/>
      <c r="F8" s="100" t="n"/>
      <c r="G8" s="100" t="n"/>
      <c r="H8" s="100" t="n"/>
      <c r="I8" s="100" t="n"/>
      <c r="J8" s="100" t="n"/>
    </row>
    <row r="9">
      <c r="A9" s="97" t="n"/>
      <c r="B9" s="97" t="n"/>
      <c r="C9" s="97" t="n"/>
      <c r="D9" s="97" t="n"/>
      <c r="E9" s="97" t="n"/>
      <c r="F9" s="97" t="n"/>
      <c r="G9" s="97" t="n"/>
      <c r="H9" s="97" t="n"/>
      <c r="I9" s="97" t="n"/>
      <c r="J9" s="97" t="n"/>
    </row>
    <row r="10">
      <c r="A10" s="100" t="n"/>
      <c r="B10" s="100" t="n"/>
      <c r="C10" s="100" t="n"/>
      <c r="D10" s="100" t="n"/>
      <c r="E10" s="100" t="n"/>
      <c r="F10" s="100" t="n"/>
      <c r="G10" s="100" t="n"/>
      <c r="H10" s="100" t="n"/>
      <c r="I10" s="100" t="n"/>
      <c r="J10" s="100" t="n"/>
    </row>
    <row r="11">
      <c r="A11" s="97" t="n"/>
      <c r="B11" s="97" t="n"/>
      <c r="C11" s="97" t="n"/>
      <c r="D11" s="97" t="n"/>
      <c r="E11" s="97" t="n"/>
      <c r="F11" s="97" t="n"/>
      <c r="G11" s="97" t="n"/>
      <c r="H11" s="97" t="n"/>
      <c r="I11" s="97" t="n"/>
      <c r="J11" s="97" t="n"/>
    </row>
    <row r="12">
      <c r="A12" s="100" t="n"/>
      <c r="B12" s="100" t="n"/>
      <c r="C12" s="100" t="n"/>
      <c r="D12" s="100" t="n"/>
      <c r="E12" s="100" t="n"/>
      <c r="F12" s="100" t="n"/>
      <c r="G12" s="100" t="n"/>
      <c r="H12" s="100" t="n"/>
      <c r="I12" s="100" t="n"/>
      <c r="J12" s="100" t="n"/>
    </row>
    <row r="13">
      <c r="A13" s="97" t="n"/>
      <c r="B13" s="97" t="n"/>
      <c r="C13" s="97" t="n"/>
      <c r="D13" s="97" t="n"/>
      <c r="E13" s="97" t="n"/>
      <c r="F13" s="97" t="n"/>
      <c r="G13" s="97" t="n"/>
      <c r="H13" s="97" t="n"/>
      <c r="I13" s="97" t="n"/>
      <c r="J13" s="97" t="n"/>
    </row>
    <row r="14">
      <c r="A14" s="100" t="n"/>
      <c r="B14" s="100" t="n"/>
      <c r="C14" s="100" t="n"/>
      <c r="D14" s="100" t="n"/>
      <c r="E14" s="100" t="n"/>
      <c r="F14" s="100" t="n"/>
      <c r="G14" s="100" t="n"/>
      <c r="H14" s="100" t="n"/>
      <c r="I14" s="100" t="n"/>
      <c r="J14" s="100" t="n"/>
    </row>
    <row r="15">
      <c r="A15" s="97" t="n"/>
      <c r="B15" s="97" t="n"/>
      <c r="C15" s="97" t="n"/>
      <c r="D15" s="97" t="n"/>
      <c r="E15" s="97" t="n"/>
      <c r="F15" s="97" t="n"/>
      <c r="G15" s="97" t="n"/>
      <c r="H15" s="97" t="n"/>
      <c r="I15" s="97" t="n"/>
      <c r="J15" s="97" t="n"/>
    </row>
    <row r="16">
      <c r="A16" s="100" t="n"/>
      <c r="B16" s="100" t="n"/>
      <c r="C16" s="100" t="n"/>
      <c r="D16" s="100" t="n"/>
      <c r="E16" s="100" t="n"/>
      <c r="F16" s="100" t="n"/>
      <c r="G16" s="100" t="n"/>
      <c r="H16" s="100" t="n"/>
      <c r="I16" s="100" t="n"/>
      <c r="J16" s="100" t="n"/>
    </row>
    <row r="17">
      <c r="A17" s="97" t="n"/>
      <c r="B17" s="97" t="n"/>
      <c r="C17" s="97" t="n"/>
      <c r="D17" s="97" t="n"/>
      <c r="E17" s="97" t="n"/>
      <c r="F17" s="97" t="n"/>
      <c r="G17" s="97" t="n"/>
      <c r="H17" s="97" t="n"/>
      <c r="I17" s="97" t="n"/>
      <c r="J17" s="97" t="n"/>
    </row>
    <row r="18">
      <c r="A18" s="100" t="n"/>
      <c r="B18" s="100" t="n"/>
      <c r="C18" s="100" t="n"/>
      <c r="D18" s="100" t="n"/>
      <c r="E18" s="100" t="n"/>
      <c r="F18" s="100" t="n"/>
      <c r="G18" s="100" t="n"/>
      <c r="H18" s="100" t="n"/>
      <c r="I18" s="100" t="n"/>
      <c r="J18" s="100" t="n"/>
    </row>
    <row r="19">
      <c r="A19" s="97" t="n"/>
      <c r="B19" s="97" t="n"/>
      <c r="C19" s="97" t="n"/>
      <c r="D19" s="97" t="n"/>
      <c r="E19" s="97" t="n"/>
      <c r="F19" s="97" t="n"/>
      <c r="G19" s="97" t="n"/>
      <c r="H19" s="97" t="n"/>
      <c r="I19" s="97" t="n"/>
      <c r="J19" s="97" t="n"/>
    </row>
    <row r="20">
      <c r="A20" s="100" t="n"/>
      <c r="B20" s="100" t="n"/>
      <c r="C20" s="100" t="n"/>
      <c r="D20" s="100" t="n"/>
      <c r="E20" s="100" t="n"/>
      <c r="F20" s="100" t="n"/>
      <c r="G20" s="100" t="n"/>
      <c r="H20" s="100" t="n"/>
      <c r="I20" s="100" t="n"/>
      <c r="J20" s="100" t="n"/>
    </row>
    <row r="21">
      <c r="A21" s="97" t="n"/>
      <c r="B21" s="97" t="n"/>
      <c r="C21" s="97" t="n"/>
      <c r="D21" s="97" t="n"/>
      <c r="E21" s="97" t="n"/>
      <c r="F21" s="97" t="n"/>
      <c r="G21" s="97" t="n"/>
      <c r="H21" s="97" t="n"/>
      <c r="I21" s="97" t="n"/>
      <c r="J21" s="97" t="n"/>
    </row>
    <row r="22">
      <c r="A22" s="100" t="n"/>
      <c r="B22" s="100" t="n"/>
      <c r="C22" s="100" t="n"/>
      <c r="D22" s="100" t="n"/>
      <c r="E22" s="100" t="n"/>
      <c r="F22" s="100" t="n"/>
      <c r="G22" s="100" t="n"/>
      <c r="H22" s="100" t="n"/>
      <c r="I22" s="100" t="n"/>
      <c r="J22" s="100" t="n"/>
    </row>
    <row r="23">
      <c r="A23" s="97" t="n"/>
      <c r="B23" s="97" t="n"/>
      <c r="C23" s="97" t="n"/>
      <c r="D23" s="97" t="n"/>
      <c r="E23" s="97" t="n"/>
      <c r="F23" s="97" t="n"/>
      <c r="G23" s="97" t="n"/>
      <c r="H23" s="97" t="n"/>
      <c r="I23" s="97" t="n"/>
      <c r="J23" s="97" t="n"/>
    </row>
    <row r="24">
      <c r="A24" s="100" t="n"/>
      <c r="B24" s="100" t="n"/>
      <c r="C24" s="100" t="n"/>
      <c r="D24" s="100" t="n"/>
      <c r="E24" s="100" t="n"/>
      <c r="F24" s="100" t="n"/>
      <c r="G24" s="100" t="n"/>
      <c r="H24" s="100" t="n"/>
      <c r="I24" s="100" t="n"/>
      <c r="J24" s="100" t="n"/>
    </row>
    <row r="25">
      <c r="A25" s="97" t="n"/>
      <c r="B25" s="97" t="n"/>
      <c r="C25" s="97" t="n"/>
      <c r="D25" s="97" t="n"/>
      <c r="E25" s="97" t="n"/>
      <c r="F25" s="97" t="n"/>
      <c r="G25" s="97" t="n"/>
      <c r="H25" s="97" t="n"/>
      <c r="I25" s="97" t="n"/>
      <c r="J25" s="97" t="n"/>
    </row>
    <row r="26">
      <c r="A26" s="100" t="n"/>
      <c r="B26" s="100" t="n"/>
      <c r="C26" s="100" t="n"/>
      <c r="D26" s="100" t="n"/>
      <c r="E26" s="100" t="n"/>
      <c r="F26" s="100" t="n"/>
      <c r="G26" s="100" t="n"/>
      <c r="H26" s="100" t="n"/>
      <c r="I26" s="100" t="n"/>
      <c r="J26" s="100" t="n"/>
    </row>
    <row r="27">
      <c r="A27" s="97" t="n"/>
      <c r="B27" s="97" t="n"/>
      <c r="C27" s="97" t="n"/>
      <c r="D27" s="97" t="n"/>
      <c r="E27" s="97" t="n"/>
      <c r="F27" s="97" t="n"/>
      <c r="G27" s="97" t="n"/>
      <c r="H27" s="97" t="n"/>
      <c r="I27" s="97" t="n"/>
      <c r="J27" s="97" t="n"/>
    </row>
    <row r="28">
      <c r="A28" s="100" t="n"/>
      <c r="B28" s="100" t="n"/>
      <c r="C28" s="100" t="n"/>
      <c r="D28" s="100" t="n"/>
      <c r="E28" s="100" t="n"/>
      <c r="F28" s="100" t="n"/>
      <c r="G28" s="100" t="n"/>
      <c r="H28" s="100" t="n"/>
      <c r="I28" s="100" t="n"/>
      <c r="J28" s="100" t="n"/>
    </row>
    <row r="29">
      <c r="A29" s="97" t="n"/>
      <c r="B29" s="97" t="n"/>
      <c r="C29" s="97" t="n"/>
      <c r="D29" s="97" t="n"/>
      <c r="E29" s="97" t="n"/>
      <c r="F29" s="97" t="n"/>
      <c r="G29" s="97" t="n"/>
      <c r="H29" s="97" t="n"/>
      <c r="I29" s="97" t="n"/>
      <c r="J29" s="97" t="n"/>
    </row>
    <row r="30"/>
    <row r="31"/>
    <row r="32">
      <c r="A32" s="115" t="inlineStr">
        <is>
          <t>Excel 365 and Google Sheets will spill the shopping list from row 5. If you are on Excel 2019 or earlier, filter the Materials sheet for Status = Required / Quoted / Approved and copy those rows here.</t>
        </is>
      </c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mergeCells count="3">
    <mergeCell ref="A1:J1"/>
    <mergeCell ref="A32:J32"/>
    <mergeCell ref="A2:J2"/>
  </mergeCells>
  <pageMargins left="0.4" right="0.4" top="0.6" bottom="0.5" header="0.25" footer="0.25"/>
  <pageSetup orientation="landscape" paperSize="3" fitToHeight="0" fitToWidth="1"/>
  <headerFooter>
    <oddHeader>&amp;LNovality Store  ·  Home Renovation System&amp;RShopping List</oddHeader>
    <oddFooter>&amp;LConfidential  ·  Digital twin of the home&amp;RPage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2D5C52"/>
    <outlinePr summaryBelow="1" summaryRight="1"/>
    <pageSetUpPr fitToPage="1"/>
  </sheetPr>
  <dimension ref="A1:K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6" customWidth="1" min="4" max="4"/>
    <col width="18" customWidth="1" min="5" max="5"/>
    <col width="32" customWidth="1" min="6" max="6"/>
    <col width="24" customWidth="1" min="7" max="7"/>
    <col width="10" customWidth="1" min="8" max="8"/>
    <col width="14" customWidth="1" min="9" max="9"/>
    <col width="16" customWidth="1" min="10" max="10"/>
    <col width="28" customWidth="1" min="11" max="11"/>
  </cols>
  <sheetData>
    <row r="1" ht="28" customHeight="1">
      <c r="A1" s="1" t="inlineStr">
        <is>
          <t>SUPPLIERS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8" customHeight="1">
      <c r="A2" s="3" t="inlineStr">
        <is>
          <t>Vendor book  ·  lead times drive the prediction engine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 ht="22" customHeight="1">
      <c r="A4" s="66" t="inlineStr">
        <is>
          <t>Supplier ID</t>
        </is>
      </c>
      <c r="B4" s="66" t="inlineStr">
        <is>
          <t>Name</t>
        </is>
      </c>
      <c r="C4" s="66" t="inlineStr">
        <is>
          <t>Category</t>
        </is>
      </c>
      <c r="D4" s="66" t="inlineStr">
        <is>
          <t>Contact</t>
        </is>
      </c>
      <c r="E4" s="66" t="inlineStr">
        <is>
          <t>Phone</t>
        </is>
      </c>
      <c r="F4" s="66" t="inlineStr">
        <is>
          <t>Email</t>
        </is>
      </c>
      <c r="G4" s="66" t="inlineStr">
        <is>
          <t>Website</t>
        </is>
      </c>
      <c r="H4" s="66" t="inlineStr">
        <is>
          <t>Rating</t>
        </is>
      </c>
      <c r="I4" s="66" t="inlineStr">
        <is>
          <t>Payment Terms</t>
        </is>
      </c>
      <c r="J4" s="66" t="inlineStr">
        <is>
          <t>Lead Time (days)</t>
        </is>
      </c>
      <c r="K4" s="66" t="inlineStr">
        <is>
          <t>Notes</t>
        </is>
      </c>
    </row>
    <row r="5" ht="18" customHeight="1">
      <c r="A5" s="67" t="inlineStr">
        <is>
          <t>SUP-001</t>
        </is>
      </c>
      <c r="B5" s="67" t="inlineStr">
        <is>
          <t>Tile &amp; Timber Co.</t>
        </is>
      </c>
      <c r="C5" s="67" t="inlineStr">
        <is>
          <t>Tile / flooring</t>
        </is>
      </c>
      <c r="D5" s="67" t="inlineStr">
        <is>
          <t>Harper Quinn</t>
        </is>
      </c>
      <c r="E5" s="68" t="inlineStr">
        <is>
          <t>+1-503-555-0160</t>
        </is>
      </c>
      <c r="F5" s="68" t="inlineStr">
        <is>
          <t>orders@tileandtimber.example</t>
        </is>
      </c>
      <c r="G5" s="68" t="inlineStr">
        <is>
          <t>tileandtimber.example</t>
        </is>
      </c>
      <c r="H5" s="67" t="n">
        <v>4.7</v>
      </c>
      <c r="I5" s="67" t="inlineStr">
        <is>
          <t>Net 15</t>
        </is>
      </c>
      <c r="J5" s="67" t="n">
        <v>7</v>
      </c>
      <c r="K5" s="68" t="inlineStr">
        <is>
          <t>Preferred tile house</t>
        </is>
      </c>
    </row>
    <row r="6" ht="18" customHeight="1">
      <c r="A6" s="75" t="inlineStr">
        <is>
          <t>SUP-002</t>
        </is>
      </c>
      <c r="B6" s="75" t="inlineStr">
        <is>
          <t>Ferguson</t>
        </is>
      </c>
      <c r="C6" s="75" t="inlineStr">
        <is>
          <t>Plumbing fixtures</t>
        </is>
      </c>
      <c r="D6" s="75" t="inlineStr">
        <is>
          <t>Counter desk</t>
        </is>
      </c>
      <c r="E6" s="76" t="inlineStr">
        <is>
          <t>+1-503-555-2000</t>
        </is>
      </c>
      <c r="F6" s="76" t="inlineStr">
        <is>
          <t>pdx@ferguson.example</t>
        </is>
      </c>
      <c r="G6" s="76" t="inlineStr">
        <is>
          <t>ferguson.com</t>
        </is>
      </c>
      <c r="H6" s="75" t="n">
        <v>4.5</v>
      </c>
      <c r="I6" s="75" t="inlineStr">
        <is>
          <t>Net 30</t>
        </is>
      </c>
      <c r="J6" s="75" t="n">
        <v>10</v>
      </c>
      <c r="K6" s="76" t="inlineStr">
        <is>
          <t>Will-call available</t>
        </is>
      </c>
    </row>
    <row r="7" ht="18" customHeight="1">
      <c r="A7" s="67" t="inlineStr">
        <is>
          <t>SUP-003</t>
        </is>
      </c>
      <c r="B7" s="67" t="inlineStr">
        <is>
          <t>Caesarstone</t>
        </is>
      </c>
      <c r="C7" s="67" t="inlineStr">
        <is>
          <t>Counters</t>
        </is>
      </c>
      <c r="D7" s="67" t="inlineStr">
        <is>
          <t>West desk</t>
        </is>
      </c>
      <c r="E7" s="68" t="inlineStr">
        <is>
          <t>+1-800-555-0199</t>
        </is>
      </c>
      <c r="F7" s="68" t="inlineStr">
        <is>
          <t>west@caesarstone.example</t>
        </is>
      </c>
      <c r="G7" s="68" t="inlineStr">
        <is>
          <t>caesarstoneus.com</t>
        </is>
      </c>
      <c r="H7" s="67" t="n">
        <v>4.6</v>
      </c>
      <c r="I7" s="67" t="inlineStr">
        <is>
          <t>Prepaid</t>
        </is>
      </c>
      <c r="J7" s="67" t="n">
        <v>14</v>
      </c>
      <c r="K7" s="68" t="inlineStr">
        <is>
          <t>Frost 5110 in stock</t>
        </is>
      </c>
    </row>
    <row r="8" ht="18" customHeight="1">
      <c r="A8" s="75" t="inlineStr">
        <is>
          <t>SUP-004</t>
        </is>
      </c>
      <c r="B8" s="75" t="inlineStr">
        <is>
          <t>Sub-Zero / Wolf dealer</t>
        </is>
      </c>
      <c r="C8" s="75" t="inlineStr">
        <is>
          <t>Appliances</t>
        </is>
      </c>
      <c r="D8" s="75" t="inlineStr">
        <is>
          <t>Aiden Brooks</t>
        </is>
      </c>
      <c r="E8" s="76" t="inlineStr">
        <is>
          <t>+1-503-555-2111</t>
        </is>
      </c>
      <c r="F8" s="76" t="inlineStr">
        <is>
          <t>aiden@swdealer.example</t>
        </is>
      </c>
      <c r="G8" s="76" t="inlineStr">
        <is>
          <t>subzero-wolf.com</t>
        </is>
      </c>
      <c r="H8" s="75" t="n">
        <v>4.8</v>
      </c>
      <c r="I8" s="75" t="inlineStr">
        <is>
          <t>50% deposit</t>
        </is>
      </c>
      <c r="J8" s="75" t="n">
        <v>28</v>
      </c>
      <c r="K8" s="76" t="inlineStr">
        <is>
          <t>Delivery window Sep 12</t>
        </is>
      </c>
    </row>
    <row r="9" ht="18" customHeight="1">
      <c r="A9" s="67" t="inlineStr">
        <is>
          <t>SUP-005</t>
        </is>
      </c>
      <c r="B9" s="67" t="inlineStr">
        <is>
          <t>Rejuvenation</t>
        </is>
      </c>
      <c r="C9" s="67" t="inlineStr">
        <is>
          <t>Hardware / lighting</t>
        </is>
      </c>
      <c r="D9" s="67" t="inlineStr">
        <is>
          <t>Online + Pearl</t>
        </is>
      </c>
      <c r="E9" s="68" t="inlineStr">
        <is>
          <t>+1-888-401-1900</t>
        </is>
      </c>
      <c r="F9" s="68" t="inlineStr">
        <is>
          <t>hello@rejuvenation.example</t>
        </is>
      </c>
      <c r="G9" s="68" t="inlineStr">
        <is>
          <t>rejuvenation.com</t>
        </is>
      </c>
      <c r="H9" s="67" t="n">
        <v>4.6</v>
      </c>
      <c r="I9" s="67" t="inlineStr">
        <is>
          <t>Card</t>
        </is>
      </c>
      <c r="J9" s="67" t="n">
        <v>12</v>
      </c>
      <c r="K9" s="68" t="inlineStr">
        <is>
          <t>Hardware in transit</t>
        </is>
      </c>
    </row>
    <row r="10" ht="18" customHeight="1">
      <c r="A10" s="75" t="inlineStr">
        <is>
          <t>SUP-006</t>
        </is>
      </c>
      <c r="B10" s="75" t="inlineStr">
        <is>
          <t>Sherwin-Williams</t>
        </is>
      </c>
      <c r="C10" s="75" t="inlineStr">
        <is>
          <t>Paint</t>
        </is>
      </c>
      <c r="D10" s="75" t="inlineStr">
        <is>
          <t>Hawthorne store</t>
        </is>
      </c>
      <c r="E10" s="76" t="inlineStr">
        <is>
          <t>+1-503-555-2220</t>
        </is>
      </c>
      <c r="F10" s="76" t="inlineStr">
        <is>
          <t>store@sw.example</t>
        </is>
      </c>
      <c r="G10" s="76" t="inlineStr">
        <is>
          <t>sherwin-williams.com</t>
        </is>
      </c>
      <c r="H10" s="75" t="n">
        <v>4.4</v>
      </c>
      <c r="I10" s="75" t="inlineStr">
        <is>
          <t>Card</t>
        </is>
      </c>
      <c r="J10" s="75" t="n">
        <v>1</v>
      </c>
      <c r="K10" s="76" t="inlineStr">
        <is>
          <t>Color match BM</t>
        </is>
      </c>
    </row>
    <row r="11" ht="18" customHeight="1">
      <c r="A11" s="67" t="inlineStr">
        <is>
          <t>SUP-007</t>
        </is>
      </c>
      <c r="B11" s="67" t="inlineStr">
        <is>
          <t>Article</t>
        </is>
      </c>
      <c r="C11" s="67" t="inlineStr">
        <is>
          <t>Furniture</t>
        </is>
      </c>
      <c r="D11" s="67" t="inlineStr">
        <is>
          <t>Wholesale desk</t>
        </is>
      </c>
      <c r="E11" s="68" t="inlineStr">
        <is>
          <t>+1-888-746-3455</t>
        </is>
      </c>
      <c r="F11" s="68" t="inlineStr">
        <is>
          <t>trade@article.example</t>
        </is>
      </c>
      <c r="G11" s="68" t="inlineStr">
        <is>
          <t>article.com</t>
        </is>
      </c>
      <c r="H11" s="67" t="n">
        <v>4.3</v>
      </c>
      <c r="I11" s="67" t="inlineStr">
        <is>
          <t>Prepaid</t>
        </is>
      </c>
      <c r="J11" s="67" t="n">
        <v>42</v>
      </c>
      <c r="K11" s="68" t="inlineStr">
        <is>
          <t>Order by Sep 1</t>
        </is>
      </c>
    </row>
    <row r="12" ht="18" customHeight="1">
      <c r="A12" s="75" t="inlineStr">
        <is>
          <t>SUP-008</t>
        </is>
      </c>
      <c r="B12" s="75" t="inlineStr">
        <is>
          <t>WarmFloor Co.</t>
        </is>
      </c>
      <c r="C12" s="75" t="inlineStr">
        <is>
          <t>Radiant</t>
        </is>
      </c>
      <c r="D12" s="75" t="inlineStr">
        <is>
          <t>Support</t>
        </is>
      </c>
      <c r="E12" s="76" t="inlineStr">
        <is>
          <t>+1-800-555-0182</t>
        </is>
      </c>
      <c r="F12" s="76" t="inlineStr">
        <is>
          <t>support@warmfloor.example</t>
        </is>
      </c>
      <c r="G12" s="76" t="inlineStr">
        <is>
          <t>warmfloor.example</t>
        </is>
      </c>
      <c r="H12" s="75" t="n">
        <v>4.5</v>
      </c>
      <c r="I12" s="75" t="inlineStr">
        <is>
          <t>Card</t>
        </is>
      </c>
      <c r="J12" s="75" t="n">
        <v>5</v>
      </c>
      <c r="K12" s="76" t="inlineStr">
        <is>
          <t>10yr warranty</t>
        </is>
      </c>
    </row>
    <row r="13" ht="18" customHeight="1">
      <c r="A13" s="67" t="inlineStr">
        <is>
          <t>SUP-009</t>
        </is>
      </c>
      <c r="B13" s="67" t="inlineStr">
        <is>
          <t>BrightPath Lighting</t>
        </is>
      </c>
      <c r="C13" s="67" t="inlineStr">
        <is>
          <t>Lighting</t>
        </is>
      </c>
      <c r="D13" s="67" t="inlineStr">
        <is>
          <t>Nina Cho</t>
        </is>
      </c>
      <c r="E13" s="68" t="inlineStr">
        <is>
          <t>+1-503-555-0180</t>
        </is>
      </c>
      <c r="F13" s="68" t="inlineStr">
        <is>
          <t>nina@brightpath.example</t>
        </is>
      </c>
      <c r="G13" s="68" t="inlineStr">
        <is>
          <t>brightpath.example</t>
        </is>
      </c>
      <c r="H13" s="67" t="n">
        <v>4.6</v>
      </c>
      <c r="I13" s="67" t="inlineStr">
        <is>
          <t>Net 15</t>
        </is>
      </c>
      <c r="J13" s="67" t="n">
        <v>21</v>
      </c>
      <c r="K13" s="68" t="inlineStr">
        <is>
          <t>Also a contractor</t>
        </is>
      </c>
    </row>
    <row r="14" ht="18" customHeight="1">
      <c r="A14" s="75" t="inlineStr">
        <is>
          <t>SUP-010</t>
        </is>
      </c>
      <c r="B14" s="75" t="inlineStr">
        <is>
          <t>Garden &amp; Gate Yard</t>
        </is>
      </c>
      <c r="C14" s="75" t="inlineStr">
        <is>
          <t>Hardscape</t>
        </is>
      </c>
      <c r="D14" s="75" t="inlineStr">
        <is>
          <t>Theo Brooks</t>
        </is>
      </c>
      <c r="E14" s="76" t="inlineStr">
        <is>
          <t>+1-503-555-0199</t>
        </is>
      </c>
      <c r="F14" s="76" t="inlineStr">
        <is>
          <t>yard@gardengate.example</t>
        </is>
      </c>
      <c r="G14" s="76" t="inlineStr">
        <is>
          <t>gardengate.example</t>
        </is>
      </c>
      <c r="H14" s="75" t="n">
        <v>4.4</v>
      </c>
      <c r="I14" s="75" t="inlineStr">
        <is>
          <t>50% deposit</t>
        </is>
      </c>
      <c r="J14" s="75" t="n">
        <v>14</v>
      </c>
      <c r="K14" s="76" t="inlineStr">
        <is>
          <t>Bluestone seasonal</t>
        </is>
      </c>
    </row>
    <row r="15">
      <c r="A15" s="82" t="n"/>
      <c r="B15" s="82" t="n"/>
      <c r="C15" s="82" t="n"/>
      <c r="D15" s="82" t="n"/>
      <c r="E15" s="82" t="n"/>
      <c r="F15" s="82" t="n"/>
      <c r="G15" s="82" t="n"/>
      <c r="H15" s="82" t="n"/>
      <c r="I15" s="82" t="n"/>
      <c r="J15" s="82" t="n"/>
      <c r="K15" s="82" t="n"/>
    </row>
    <row r="16">
      <c r="A16" s="82" t="n"/>
      <c r="B16" s="82" t="n"/>
      <c r="C16" s="82" t="n"/>
      <c r="D16" s="82" t="n"/>
      <c r="E16" s="82" t="n"/>
      <c r="F16" s="82" t="n"/>
      <c r="G16" s="82" t="n"/>
      <c r="H16" s="82" t="n"/>
      <c r="I16" s="82" t="n"/>
      <c r="J16" s="82" t="n"/>
      <c r="K16" s="82" t="n"/>
    </row>
    <row r="17">
      <c r="A17" s="82" t="n"/>
      <c r="B17" s="82" t="n"/>
      <c r="C17" s="82" t="n"/>
      <c r="D17" s="82" t="n"/>
      <c r="E17" s="82" t="n"/>
      <c r="F17" s="82" t="n"/>
      <c r="G17" s="82" t="n"/>
      <c r="H17" s="82" t="n"/>
      <c r="I17" s="82" t="n"/>
      <c r="J17" s="82" t="n"/>
      <c r="K17" s="82" t="n"/>
    </row>
    <row r="18">
      <c r="A18" s="82" t="n"/>
      <c r="B18" s="82" t="n"/>
      <c r="C18" s="82" t="n"/>
      <c r="D18" s="82" t="n"/>
      <c r="E18" s="82" t="n"/>
      <c r="F18" s="82" t="n"/>
      <c r="G18" s="82" t="n"/>
      <c r="H18" s="82" t="n"/>
      <c r="I18" s="82" t="n"/>
      <c r="J18" s="82" t="n"/>
      <c r="K18" s="82" t="n"/>
    </row>
    <row r="19">
      <c r="A19" s="82" t="n"/>
      <c r="B19" s="82" t="n"/>
      <c r="C19" s="82" t="n"/>
      <c r="D19" s="82" t="n"/>
      <c r="E19" s="82" t="n"/>
      <c r="F19" s="82" t="n"/>
      <c r="G19" s="82" t="n"/>
      <c r="H19" s="82" t="n"/>
      <c r="I19" s="82" t="n"/>
      <c r="J19" s="82" t="n"/>
      <c r="K19" s="82" t="n"/>
    </row>
    <row r="20">
      <c r="A20" s="82" t="n"/>
      <c r="B20" s="82" t="n"/>
      <c r="C20" s="82" t="n"/>
      <c r="D20" s="82" t="n"/>
      <c r="E20" s="82" t="n"/>
      <c r="F20" s="82" t="n"/>
      <c r="G20" s="82" t="n"/>
      <c r="H20" s="82" t="n"/>
      <c r="I20" s="82" t="n"/>
      <c r="J20" s="82" t="n"/>
      <c r="K20" s="82" t="n"/>
    </row>
    <row r="21">
      <c r="A21" s="82" t="n"/>
      <c r="B21" s="82" t="n"/>
      <c r="C21" s="82" t="n"/>
      <c r="D21" s="82" t="n"/>
      <c r="E21" s="82" t="n"/>
      <c r="F21" s="82" t="n"/>
      <c r="G21" s="82" t="n"/>
      <c r="H21" s="82" t="n"/>
      <c r="I21" s="82" t="n"/>
      <c r="J21" s="82" t="n"/>
      <c r="K21" s="82" t="n"/>
    </row>
    <row r="22">
      <c r="A22" s="82" t="n"/>
      <c r="B22" s="82" t="n"/>
      <c r="C22" s="82" t="n"/>
      <c r="D22" s="82" t="n"/>
      <c r="E22" s="82" t="n"/>
      <c r="F22" s="82" t="n"/>
      <c r="G22" s="82" t="n"/>
      <c r="H22" s="82" t="n"/>
      <c r="I22" s="82" t="n"/>
      <c r="J22" s="82" t="n"/>
      <c r="K22" s="82" t="n"/>
    </row>
    <row r="23">
      <c r="A23" s="82" t="n"/>
      <c r="B23" s="82" t="n"/>
      <c r="C23" s="82" t="n"/>
      <c r="D23" s="82" t="n"/>
      <c r="E23" s="82" t="n"/>
      <c r="F23" s="82" t="n"/>
      <c r="G23" s="82" t="n"/>
      <c r="H23" s="82" t="n"/>
      <c r="I23" s="82" t="n"/>
      <c r="J23" s="82" t="n"/>
      <c r="K23" s="82" t="n"/>
    </row>
    <row r="24">
      <c r="A24" s="82" t="n"/>
      <c r="B24" s="82" t="n"/>
      <c r="C24" s="82" t="n"/>
      <c r="D24" s="82" t="n"/>
      <c r="E24" s="82" t="n"/>
      <c r="F24" s="82" t="n"/>
      <c r="G24" s="82" t="n"/>
      <c r="H24" s="82" t="n"/>
      <c r="I24" s="82" t="n"/>
      <c r="J24" s="82" t="n"/>
      <c r="K24" s="82" t="n"/>
    </row>
    <row r="25">
      <c r="A25" s="82" t="n"/>
      <c r="B25" s="82" t="n"/>
      <c r="C25" s="82" t="n"/>
      <c r="D25" s="82" t="n"/>
      <c r="E25" s="82" t="n"/>
      <c r="F25" s="82" t="n"/>
      <c r="G25" s="82" t="n"/>
      <c r="H25" s="82" t="n"/>
      <c r="I25" s="82" t="n"/>
      <c r="J25" s="82" t="n"/>
      <c r="K25" s="82" t="n"/>
    </row>
    <row r="26">
      <c r="A26" s="82" t="n"/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</row>
    <row r="27">
      <c r="A27" s="82" t="n"/>
      <c r="B27" s="82" t="n"/>
      <c r="C27" s="82" t="n"/>
      <c r="D27" s="82" t="n"/>
      <c r="E27" s="82" t="n"/>
      <c r="F27" s="82" t="n"/>
      <c r="G27" s="82" t="n"/>
      <c r="H27" s="82" t="n"/>
      <c r="I27" s="82" t="n"/>
      <c r="J27" s="82" t="n"/>
      <c r="K27" s="82" t="n"/>
    </row>
    <row r="28">
      <c r="A28" s="82" t="n"/>
      <c r="B28" s="82" t="n"/>
      <c r="C28" s="82" t="n"/>
      <c r="D28" s="82" t="n"/>
      <c r="E28" s="82" t="n"/>
      <c r="F28" s="82" t="n"/>
      <c r="G28" s="82" t="n"/>
      <c r="H28" s="82" t="n"/>
      <c r="I28" s="82" t="n"/>
      <c r="J28" s="82" t="n"/>
      <c r="K28" s="82" t="n"/>
    </row>
    <row r="29">
      <c r="A29" s="82" t="n"/>
      <c r="B29" s="82" t="n"/>
      <c r="C29" s="82" t="n"/>
      <c r="D29" s="82" t="n"/>
      <c r="E29" s="82" t="n"/>
      <c r="F29" s="82" t="n"/>
      <c r="G29" s="82" t="n"/>
      <c r="H29" s="82" t="n"/>
      <c r="I29" s="82" t="n"/>
      <c r="J29" s="82" t="n"/>
      <c r="K29" s="82" t="n"/>
    </row>
    <row r="30">
      <c r="A30" s="82" t="n"/>
      <c r="B30" s="82" t="n"/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</row>
    <row r="31">
      <c r="A31" s="82" t="n"/>
      <c r="B31" s="82" t="n"/>
      <c r="C31" s="82" t="n"/>
      <c r="D31" s="82" t="n"/>
      <c r="E31" s="82" t="n"/>
      <c r="F31" s="82" t="n"/>
      <c r="G31" s="82" t="n"/>
      <c r="H31" s="82" t="n"/>
      <c r="I31" s="82" t="n"/>
      <c r="J31" s="82" t="n"/>
      <c r="K31" s="82" t="n"/>
    </row>
    <row r="32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</row>
    <row r="33">
      <c r="A33" s="82" t="n"/>
      <c r="B33" s="82" t="n"/>
      <c r="C33" s="82" t="n"/>
      <c r="D33" s="82" t="n"/>
      <c r="E33" s="82" t="n"/>
      <c r="F33" s="82" t="n"/>
      <c r="G33" s="82" t="n"/>
      <c r="H33" s="82" t="n"/>
      <c r="I33" s="82" t="n"/>
      <c r="J33" s="82" t="n"/>
      <c r="K33" s="82" t="n"/>
    </row>
    <row r="34">
      <c r="A34" s="82" t="n"/>
      <c r="B34" s="82" t="n"/>
      <c r="C34" s="82" t="n"/>
      <c r="D34" s="82" t="n"/>
      <c r="E34" s="82" t="n"/>
      <c r="F34" s="82" t="n"/>
      <c r="G34" s="82" t="n"/>
      <c r="H34" s="82" t="n"/>
      <c r="I34" s="82" t="n"/>
      <c r="J34" s="82" t="n"/>
      <c r="K34" s="82" t="n"/>
    </row>
    <row r="35">
      <c r="A35" s="82" t="n"/>
      <c r="B35" s="82" t="n"/>
      <c r="C35" s="82" t="n"/>
      <c r="D35" s="82" t="n"/>
      <c r="E35" s="82" t="n"/>
      <c r="F35" s="82" t="n"/>
      <c r="G35" s="82" t="n"/>
      <c r="H35" s="82" t="n"/>
      <c r="I35" s="82" t="n"/>
      <c r="J35" s="82" t="n"/>
      <c r="K35" s="82" t="n"/>
    </row>
    <row r="36">
      <c r="A36" s="82" t="n"/>
      <c r="B36" s="82" t="n"/>
      <c r="C36" s="82" t="n"/>
      <c r="D36" s="82" t="n"/>
      <c r="E36" s="82" t="n"/>
      <c r="F36" s="82" t="n"/>
      <c r="G36" s="82" t="n"/>
      <c r="H36" s="82" t="n"/>
      <c r="I36" s="82" t="n"/>
      <c r="J36" s="82" t="n"/>
      <c r="K36" s="82" t="n"/>
    </row>
    <row r="37">
      <c r="A37" s="82" t="n"/>
      <c r="B37" s="82" t="n"/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</row>
    <row r="38">
      <c r="A38" s="82" t="n"/>
      <c r="B38" s="82" t="n"/>
      <c r="C38" s="82" t="n"/>
      <c r="D38" s="82" t="n"/>
      <c r="E38" s="82" t="n"/>
      <c r="F38" s="82" t="n"/>
      <c r="G38" s="82" t="n"/>
      <c r="H38" s="82" t="n"/>
      <c r="I38" s="82" t="n"/>
      <c r="J38" s="82" t="n"/>
      <c r="K38" s="82" t="n"/>
    </row>
    <row r="39">
      <c r="A39" s="82" t="n"/>
      <c r="B39" s="82" t="n"/>
      <c r="C39" s="82" t="n"/>
      <c r="D39" s="82" t="n"/>
      <c r="E39" s="82" t="n"/>
      <c r="F39" s="82" t="n"/>
      <c r="G39" s="82" t="n"/>
      <c r="H39" s="82" t="n"/>
      <c r="I39" s="82" t="n"/>
      <c r="J39" s="82" t="n"/>
      <c r="K39" s="82" t="n"/>
    </row>
    <row r="40">
      <c r="A40" s="82" t="n"/>
      <c r="B40" s="82" t="n"/>
      <c r="C40" s="82" t="n"/>
      <c r="D40" s="82" t="n"/>
      <c r="E40" s="82" t="n"/>
      <c r="F40" s="82" t="n"/>
      <c r="G40" s="82" t="n"/>
      <c r="H40" s="82" t="n"/>
      <c r="I40" s="82" t="n"/>
      <c r="J40" s="82" t="n"/>
      <c r="K40" s="82" t="n"/>
    </row>
    <row r="41">
      <c r="A41" s="82" t="n"/>
      <c r="B41" s="82" t="n"/>
      <c r="C41" s="82" t="n"/>
      <c r="D41" s="82" t="n"/>
      <c r="E41" s="82" t="n"/>
      <c r="F41" s="82" t="n"/>
      <c r="G41" s="82" t="n"/>
      <c r="H41" s="82" t="n"/>
      <c r="I41" s="82" t="n"/>
      <c r="J41" s="82" t="n"/>
      <c r="K41" s="82" t="n"/>
    </row>
    <row r="42">
      <c r="A42" s="82" t="n"/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</row>
    <row r="43">
      <c r="A43" s="82" t="n"/>
      <c r="B43" s="82" t="n"/>
      <c r="C43" s="82" t="n"/>
      <c r="D43" s="82" t="n"/>
      <c r="E43" s="82" t="n"/>
      <c r="F43" s="82" t="n"/>
      <c r="G43" s="82" t="n"/>
      <c r="H43" s="82" t="n"/>
      <c r="I43" s="82" t="n"/>
      <c r="J43" s="82" t="n"/>
      <c r="K43" s="82" t="n"/>
    </row>
    <row r="44">
      <c r="A44" s="82" t="n"/>
      <c r="B44" s="82" t="n"/>
      <c r="C44" s="82" t="n"/>
      <c r="D44" s="82" t="n"/>
      <c r="E44" s="82" t="n"/>
      <c r="F44" s="82" t="n"/>
      <c r="G44" s="82" t="n"/>
      <c r="H44" s="82" t="n"/>
      <c r="I44" s="82" t="n"/>
      <c r="J44" s="82" t="n"/>
      <c r="K44" s="82" t="n"/>
    </row>
    <row r="45">
      <c r="A45" s="82" t="n"/>
      <c r="B45" s="82" t="n"/>
      <c r="C45" s="82" t="n"/>
      <c r="D45" s="82" t="n"/>
      <c r="E45" s="82" t="n"/>
      <c r="F45" s="82" t="n"/>
      <c r="G45" s="82" t="n"/>
      <c r="H45" s="82" t="n"/>
      <c r="I45" s="82" t="n"/>
      <c r="J45" s="82" t="n"/>
      <c r="K45" s="82" t="n"/>
    </row>
    <row r="46">
      <c r="A46" s="82" t="n"/>
      <c r="B46" s="82" t="n"/>
      <c r="C46" s="82" t="n"/>
      <c r="D46" s="82" t="n"/>
      <c r="E46" s="82" t="n"/>
      <c r="F46" s="82" t="n"/>
      <c r="G46" s="82" t="n"/>
      <c r="H46" s="82" t="n"/>
      <c r="I46" s="82" t="n"/>
      <c r="J46" s="82" t="n"/>
      <c r="K46" s="82" t="n"/>
    </row>
    <row r="47">
      <c r="A47" s="82" t="n"/>
      <c r="B47" s="82" t="n"/>
      <c r="C47" s="82" t="n"/>
      <c r="D47" s="82" t="n"/>
      <c r="E47" s="82" t="n"/>
      <c r="F47" s="82" t="n"/>
      <c r="G47" s="82" t="n"/>
      <c r="H47" s="82" t="n"/>
      <c r="I47" s="82" t="n"/>
      <c r="J47" s="82" t="n"/>
      <c r="K47" s="82" t="n"/>
    </row>
    <row r="48">
      <c r="A48" s="82" t="n"/>
      <c r="B48" s="82" t="n"/>
      <c r="C48" s="82" t="n"/>
      <c r="D48" s="82" t="n"/>
      <c r="E48" s="82" t="n"/>
      <c r="F48" s="82" t="n"/>
      <c r="G48" s="82" t="n"/>
      <c r="H48" s="82" t="n"/>
      <c r="I48" s="82" t="n"/>
      <c r="J48" s="82" t="n"/>
      <c r="K48" s="82" t="n"/>
    </row>
    <row r="49">
      <c r="A49" s="82" t="n"/>
      <c r="B49" s="82" t="n"/>
      <c r="C49" s="82" t="n"/>
      <c r="D49" s="82" t="n"/>
      <c r="E49" s="82" t="n"/>
      <c r="F49" s="82" t="n"/>
      <c r="G49" s="82" t="n"/>
      <c r="H49" s="82" t="n"/>
      <c r="I49" s="82" t="n"/>
      <c r="J49" s="82" t="n"/>
      <c r="K49" s="82" t="n"/>
    </row>
    <row r="50">
      <c r="A50" s="82" t="n"/>
      <c r="B50" s="82" t="n"/>
      <c r="C50" s="82" t="n"/>
      <c r="D50" s="82" t="n"/>
      <c r="E50" s="82" t="n"/>
      <c r="F50" s="82" t="n"/>
      <c r="G50" s="82" t="n"/>
      <c r="H50" s="82" t="n"/>
      <c r="I50" s="82" t="n"/>
      <c r="J50" s="82" t="n"/>
      <c r="K50" s="82" t="n"/>
    </row>
    <row r="51">
      <c r="A51" s="82" t="n"/>
      <c r="B51" s="82" t="n"/>
      <c r="C51" s="82" t="n"/>
      <c r="D51" s="82" t="n"/>
      <c r="E51" s="82" t="n"/>
      <c r="F51" s="82" t="n"/>
      <c r="G51" s="82" t="n"/>
      <c r="H51" s="82" t="n"/>
      <c r="I51" s="82" t="n"/>
      <c r="J51" s="82" t="n"/>
      <c r="K51" s="82" t="n"/>
    </row>
    <row r="52">
      <c r="A52" s="82" t="n"/>
      <c r="B52" s="82" t="n"/>
      <c r="C52" s="82" t="n"/>
      <c r="D52" s="82" t="n"/>
      <c r="E52" s="82" t="n"/>
      <c r="F52" s="82" t="n"/>
      <c r="G52" s="82" t="n"/>
      <c r="H52" s="82" t="n"/>
      <c r="I52" s="82" t="n"/>
      <c r="J52" s="82" t="n"/>
      <c r="K52" s="82" t="n"/>
    </row>
    <row r="53">
      <c r="A53" s="82" t="n"/>
      <c r="B53" s="82" t="n"/>
      <c r="C53" s="82" t="n"/>
      <c r="D53" s="82" t="n"/>
      <c r="E53" s="82" t="n"/>
      <c r="F53" s="82" t="n"/>
      <c r="G53" s="82" t="n"/>
      <c r="H53" s="82" t="n"/>
      <c r="I53" s="82" t="n"/>
      <c r="J53" s="82" t="n"/>
      <c r="K53" s="82" t="n"/>
    </row>
    <row r="54">
      <c r="A54" s="82" t="n"/>
      <c r="B54" s="82" t="n"/>
      <c r="C54" s="82" t="n"/>
      <c r="D54" s="82" t="n"/>
      <c r="E54" s="82" t="n"/>
      <c r="F54" s="82" t="n"/>
      <c r="G54" s="82" t="n"/>
      <c r="H54" s="82" t="n"/>
      <c r="I54" s="82" t="n"/>
      <c r="J54" s="82" t="n"/>
      <c r="K54" s="82" t="n"/>
    </row>
    <row r="55">
      <c r="A55" s="82" t="n"/>
      <c r="B55" s="82" t="n"/>
      <c r="C55" s="82" t="n"/>
      <c r="D55" s="82" t="n"/>
      <c r="E55" s="82" t="n"/>
      <c r="F55" s="82" t="n"/>
      <c r="G55" s="82" t="n"/>
      <c r="H55" s="82" t="n"/>
      <c r="I55" s="82" t="n"/>
      <c r="J55" s="82" t="n"/>
      <c r="K55" s="82" t="n"/>
    </row>
    <row r="56">
      <c r="A56" s="82" t="n"/>
      <c r="B56" s="82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2" t="n"/>
    </row>
    <row r="57">
      <c r="A57" s="82" t="n"/>
      <c r="B57" s="82" t="n"/>
      <c r="C57" s="82" t="n"/>
      <c r="D57" s="82" t="n"/>
      <c r="E57" s="82" t="n"/>
      <c r="F57" s="82" t="n"/>
      <c r="G57" s="82" t="n"/>
      <c r="H57" s="82" t="n"/>
      <c r="I57" s="82" t="n"/>
      <c r="J57" s="82" t="n"/>
      <c r="K57" s="82" t="n"/>
    </row>
    <row r="58">
      <c r="A58" s="82" t="n"/>
      <c r="B58" s="82" t="n"/>
      <c r="C58" s="82" t="n"/>
      <c r="D58" s="82" t="n"/>
      <c r="E58" s="82" t="n"/>
      <c r="F58" s="82" t="n"/>
      <c r="G58" s="82" t="n"/>
      <c r="H58" s="82" t="n"/>
      <c r="I58" s="82" t="n"/>
      <c r="J58" s="82" t="n"/>
      <c r="K58" s="82" t="n"/>
    </row>
    <row r="59">
      <c r="A59" s="82" t="n"/>
      <c r="B59" s="82" t="n"/>
      <c r="C59" s="82" t="n"/>
      <c r="D59" s="82" t="n"/>
      <c r="E59" s="82" t="n"/>
      <c r="F59" s="82" t="n"/>
      <c r="G59" s="82" t="n"/>
      <c r="H59" s="82" t="n"/>
      <c r="I59" s="82" t="n"/>
      <c r="J59" s="82" t="n"/>
      <c r="K59" s="82" t="n"/>
    </row>
    <row r="60">
      <c r="A60" s="82" t="n"/>
      <c r="B60" s="82" t="n"/>
      <c r="C60" s="82" t="n"/>
      <c r="D60" s="82" t="n"/>
      <c r="E60" s="82" t="n"/>
      <c r="F60" s="82" t="n"/>
      <c r="G60" s="82" t="n"/>
      <c r="H60" s="82" t="n"/>
      <c r="I60" s="82" t="n"/>
      <c r="J60" s="82" t="n"/>
      <c r="K60" s="82" t="n"/>
    </row>
    <row r="61">
      <c r="A61" s="82" t="n"/>
      <c r="B61" s="82" t="n"/>
      <c r="C61" s="82" t="n"/>
      <c r="D61" s="82" t="n"/>
      <c r="E61" s="82" t="n"/>
      <c r="F61" s="82" t="n"/>
      <c r="G61" s="82" t="n"/>
      <c r="H61" s="82" t="n"/>
      <c r="I61" s="82" t="n"/>
      <c r="J61" s="82" t="n"/>
      <c r="K61" s="82" t="n"/>
    </row>
    <row r="62">
      <c r="A62" s="82" t="n"/>
      <c r="B62" s="82" t="n"/>
      <c r="C62" s="82" t="n"/>
      <c r="D62" s="82" t="n"/>
      <c r="E62" s="82" t="n"/>
      <c r="F62" s="82" t="n"/>
      <c r="G62" s="82" t="n"/>
      <c r="H62" s="82" t="n"/>
      <c r="I62" s="82" t="n"/>
      <c r="J62" s="82" t="n"/>
      <c r="K62" s="82" t="n"/>
    </row>
    <row r="63">
      <c r="A63" s="82" t="n"/>
      <c r="B63" s="82" t="n"/>
      <c r="C63" s="82" t="n"/>
      <c r="D63" s="82" t="n"/>
      <c r="E63" s="82" t="n"/>
      <c r="F63" s="82" t="n"/>
      <c r="G63" s="82" t="n"/>
      <c r="H63" s="82" t="n"/>
      <c r="I63" s="82" t="n"/>
      <c r="J63" s="82" t="n"/>
      <c r="K63" s="82" t="n"/>
    </row>
    <row r="64">
      <c r="A64" s="82" t="n"/>
      <c r="B64" s="82" t="n"/>
      <c r="C64" s="82" t="n"/>
      <c r="D64" s="82" t="n"/>
      <c r="E64" s="82" t="n"/>
      <c r="F64" s="82" t="n"/>
      <c r="G64" s="82" t="n"/>
      <c r="H64" s="82" t="n"/>
      <c r="I64" s="82" t="n"/>
      <c r="J64" s="82" t="n"/>
      <c r="K64" s="82" t="n"/>
    </row>
    <row r="65">
      <c r="A65" s="82" t="n"/>
      <c r="B65" s="82" t="n"/>
      <c r="C65" s="82" t="n"/>
      <c r="D65" s="82" t="n"/>
      <c r="E65" s="82" t="n"/>
      <c r="F65" s="82" t="n"/>
      <c r="G65" s="82" t="n"/>
      <c r="H65" s="82" t="n"/>
      <c r="I65" s="82" t="n"/>
      <c r="J65" s="82" t="n"/>
      <c r="K65" s="82" t="n"/>
    </row>
    <row r="66">
      <c r="A66" s="82" t="n"/>
      <c r="B66" s="82" t="n"/>
      <c r="C66" s="82" t="n"/>
      <c r="D66" s="82" t="n"/>
      <c r="E66" s="82" t="n"/>
      <c r="F66" s="82" t="n"/>
      <c r="G66" s="82" t="n"/>
      <c r="H66" s="82" t="n"/>
      <c r="I66" s="82" t="n"/>
      <c r="J66" s="82" t="n"/>
      <c r="K66" s="82" t="n"/>
    </row>
    <row r="67">
      <c r="A67" s="82" t="n"/>
      <c r="B67" s="82" t="n"/>
      <c r="C67" s="82" t="n"/>
      <c r="D67" s="82" t="n"/>
      <c r="E67" s="82" t="n"/>
      <c r="F67" s="82" t="n"/>
      <c r="G67" s="82" t="n"/>
      <c r="H67" s="82" t="n"/>
      <c r="I67" s="82" t="n"/>
      <c r="J67" s="82" t="n"/>
      <c r="K67" s="82" t="n"/>
    </row>
    <row r="68">
      <c r="A68" s="82" t="n"/>
      <c r="B68" s="82" t="n"/>
      <c r="C68" s="82" t="n"/>
      <c r="D68" s="82" t="n"/>
      <c r="E68" s="82" t="n"/>
      <c r="F68" s="82" t="n"/>
      <c r="G68" s="82" t="n"/>
      <c r="H68" s="82" t="n"/>
      <c r="I68" s="82" t="n"/>
      <c r="J68" s="82" t="n"/>
      <c r="K68" s="82" t="n"/>
    </row>
    <row r="69">
      <c r="A69" s="82" t="n"/>
      <c r="B69" s="82" t="n"/>
      <c r="C69" s="82" t="n"/>
      <c r="D69" s="82" t="n"/>
      <c r="E69" s="82" t="n"/>
      <c r="F69" s="82" t="n"/>
      <c r="G69" s="82" t="n"/>
      <c r="H69" s="82" t="n"/>
      <c r="I69" s="82" t="n"/>
      <c r="J69" s="82" t="n"/>
      <c r="K69" s="82" t="n"/>
    </row>
    <row r="70">
      <c r="A70" s="82" t="n"/>
      <c r="B70" s="82" t="n"/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</row>
    <row r="71">
      <c r="A71" s="82" t="n"/>
      <c r="B71" s="82" t="n"/>
      <c r="C71" s="82" t="n"/>
      <c r="D71" s="82" t="n"/>
      <c r="E71" s="82" t="n"/>
      <c r="F71" s="82" t="n"/>
      <c r="G71" s="82" t="n"/>
      <c r="H71" s="82" t="n"/>
      <c r="I71" s="82" t="n"/>
      <c r="J71" s="82" t="n"/>
      <c r="K71" s="82" t="n"/>
    </row>
    <row r="72">
      <c r="A72" s="82" t="n"/>
      <c r="B72" s="82" t="n"/>
      <c r="C72" s="82" t="n"/>
      <c r="D72" s="82" t="n"/>
      <c r="E72" s="82" t="n"/>
      <c r="F72" s="82" t="n"/>
      <c r="G72" s="82" t="n"/>
      <c r="H72" s="82" t="n"/>
      <c r="I72" s="82" t="n"/>
      <c r="J72" s="82" t="n"/>
      <c r="K72" s="82" t="n"/>
    </row>
    <row r="73">
      <c r="A73" s="82" t="n"/>
      <c r="B73" s="82" t="n"/>
      <c r="C73" s="82" t="n"/>
      <c r="D73" s="82" t="n"/>
      <c r="E73" s="82" t="n"/>
      <c r="F73" s="82" t="n"/>
      <c r="G73" s="82" t="n"/>
      <c r="H73" s="82" t="n"/>
      <c r="I73" s="82" t="n"/>
      <c r="J73" s="82" t="n"/>
      <c r="K73" s="82" t="n"/>
    </row>
    <row r="74">
      <c r="A74" s="82" t="n"/>
      <c r="B74" s="82" t="n"/>
      <c r="C74" s="82" t="n"/>
      <c r="D74" s="82" t="n"/>
      <c r="E74" s="82" t="n"/>
      <c r="F74" s="82" t="n"/>
      <c r="G74" s="82" t="n"/>
      <c r="H74" s="82" t="n"/>
      <c r="I74" s="82" t="n"/>
      <c r="J74" s="82" t="n"/>
      <c r="K74" s="82" t="n"/>
    </row>
    <row r="75">
      <c r="A75" s="82" t="n"/>
      <c r="B75" s="82" t="n"/>
      <c r="C75" s="82" t="n"/>
      <c r="D75" s="82" t="n"/>
      <c r="E75" s="82" t="n"/>
      <c r="F75" s="82" t="n"/>
      <c r="G75" s="82" t="n"/>
      <c r="H75" s="82" t="n"/>
      <c r="I75" s="82" t="n"/>
      <c r="J75" s="82" t="n"/>
      <c r="K75" s="82" t="n"/>
    </row>
    <row r="76">
      <c r="A76" s="82" t="n"/>
      <c r="B76" s="82" t="n"/>
      <c r="C76" s="82" t="n"/>
      <c r="D76" s="82" t="n"/>
      <c r="E76" s="82" t="n"/>
      <c r="F76" s="82" t="n"/>
      <c r="G76" s="82" t="n"/>
      <c r="H76" s="82" t="n"/>
      <c r="I76" s="82" t="n"/>
      <c r="J76" s="82" t="n"/>
      <c r="K76" s="82" t="n"/>
    </row>
    <row r="77">
      <c r="A77" s="82" t="n"/>
      <c r="B77" s="82" t="n"/>
      <c r="C77" s="82" t="n"/>
      <c r="D77" s="82" t="n"/>
      <c r="E77" s="82" t="n"/>
      <c r="F77" s="82" t="n"/>
      <c r="G77" s="82" t="n"/>
      <c r="H77" s="82" t="n"/>
      <c r="I77" s="82" t="n"/>
      <c r="J77" s="82" t="n"/>
      <c r="K77" s="82" t="n"/>
    </row>
    <row r="78">
      <c r="A78" s="82" t="n"/>
      <c r="B78" s="82" t="n"/>
      <c r="C78" s="82" t="n"/>
      <c r="D78" s="82" t="n"/>
      <c r="E78" s="82" t="n"/>
      <c r="F78" s="82" t="n"/>
      <c r="G78" s="82" t="n"/>
      <c r="H78" s="82" t="n"/>
      <c r="I78" s="82" t="n"/>
      <c r="J78" s="82" t="n"/>
      <c r="K78" s="82" t="n"/>
    </row>
    <row r="79">
      <c r="A79" s="82" t="n"/>
      <c r="B79" s="82" t="n"/>
      <c r="C79" s="82" t="n"/>
      <c r="D79" s="82" t="n"/>
      <c r="E79" s="82" t="n"/>
      <c r="F79" s="82" t="n"/>
      <c r="G79" s="82" t="n"/>
      <c r="H79" s="82" t="n"/>
      <c r="I79" s="82" t="n"/>
      <c r="J79" s="82" t="n"/>
      <c r="K79" s="82" t="n"/>
    </row>
    <row r="80">
      <c r="A80" s="82" t="n"/>
      <c r="B80" s="82" t="n"/>
      <c r="C80" s="82" t="n"/>
      <c r="D80" s="82" t="n"/>
      <c r="E80" s="82" t="n"/>
      <c r="F80" s="82" t="n"/>
      <c r="G80" s="82" t="n"/>
      <c r="H80" s="82" t="n"/>
      <c r="I80" s="82" t="n"/>
      <c r="J80" s="82" t="n"/>
      <c r="K80" s="82" t="n"/>
    </row>
    <row r="81">
      <c r="A81" s="82" t="n"/>
      <c r="B81" s="82" t="n"/>
      <c r="C81" s="82" t="n"/>
      <c r="D81" s="82" t="n"/>
      <c r="E81" s="82" t="n"/>
      <c r="F81" s="82" t="n"/>
      <c r="G81" s="82" t="n"/>
      <c r="H81" s="82" t="n"/>
      <c r="I81" s="82" t="n"/>
      <c r="J81" s="82" t="n"/>
      <c r="K81" s="82" t="n"/>
    </row>
    <row r="82">
      <c r="A82" s="82" t="n"/>
      <c r="B82" s="82" t="n"/>
      <c r="C82" s="82" t="n"/>
      <c r="D82" s="82" t="n"/>
      <c r="E82" s="82" t="n"/>
      <c r="F82" s="82" t="n"/>
      <c r="G82" s="82" t="n"/>
      <c r="H82" s="82" t="n"/>
      <c r="I82" s="82" t="n"/>
      <c r="J82" s="82" t="n"/>
      <c r="K82" s="82" t="n"/>
    </row>
    <row r="83">
      <c r="A83" s="82" t="n"/>
      <c r="B83" s="82" t="n"/>
      <c r="C83" s="82" t="n"/>
      <c r="D83" s="82" t="n"/>
      <c r="E83" s="82" t="n"/>
      <c r="F83" s="82" t="n"/>
      <c r="G83" s="82" t="n"/>
      <c r="H83" s="82" t="n"/>
      <c r="I83" s="82" t="n"/>
      <c r="J83" s="82" t="n"/>
      <c r="K83" s="82" t="n"/>
    </row>
    <row r="84">
      <c r="A84" s="82" t="n"/>
      <c r="B84" s="82" t="n"/>
      <c r="C84" s="82" t="n"/>
      <c r="D84" s="82" t="n"/>
      <c r="E84" s="82" t="n"/>
      <c r="F84" s="82" t="n"/>
      <c r="G84" s="82" t="n"/>
      <c r="H84" s="82" t="n"/>
      <c r="I84" s="82" t="n"/>
      <c r="J84" s="82" t="n"/>
      <c r="K84" s="82" t="n"/>
    </row>
    <row r="85">
      <c r="A85" s="82" t="n"/>
      <c r="B85" s="82" t="n"/>
      <c r="C85" s="82" t="n"/>
      <c r="D85" s="82" t="n"/>
      <c r="E85" s="82" t="n"/>
      <c r="F85" s="82" t="n"/>
      <c r="G85" s="82" t="n"/>
      <c r="H85" s="82" t="n"/>
      <c r="I85" s="82" t="n"/>
      <c r="J85" s="82" t="n"/>
      <c r="K85" s="82" t="n"/>
    </row>
    <row r="86">
      <c r="A86" s="82" t="n"/>
      <c r="B86" s="82" t="n"/>
      <c r="C86" s="82" t="n"/>
      <c r="D86" s="82" t="n"/>
      <c r="E86" s="82" t="n"/>
      <c r="F86" s="82" t="n"/>
      <c r="G86" s="82" t="n"/>
      <c r="H86" s="82" t="n"/>
      <c r="I86" s="82" t="n"/>
      <c r="J86" s="82" t="n"/>
      <c r="K86" s="82" t="n"/>
    </row>
    <row r="87">
      <c r="A87" s="82" t="n"/>
      <c r="B87" s="82" t="n"/>
      <c r="C87" s="82" t="n"/>
      <c r="D87" s="82" t="n"/>
      <c r="E87" s="82" t="n"/>
      <c r="F87" s="82" t="n"/>
      <c r="G87" s="82" t="n"/>
      <c r="H87" s="82" t="n"/>
      <c r="I87" s="82" t="n"/>
      <c r="J87" s="82" t="n"/>
      <c r="K87" s="82" t="n"/>
    </row>
    <row r="88">
      <c r="A88" s="82" t="n"/>
      <c r="B88" s="82" t="n"/>
      <c r="C88" s="82" t="n"/>
      <c r="D88" s="82" t="n"/>
      <c r="E88" s="82" t="n"/>
      <c r="F88" s="82" t="n"/>
      <c r="G88" s="82" t="n"/>
      <c r="H88" s="82" t="n"/>
      <c r="I88" s="82" t="n"/>
      <c r="J88" s="82" t="n"/>
      <c r="K88" s="82" t="n"/>
    </row>
    <row r="89">
      <c r="A89" s="82" t="n"/>
      <c r="B89" s="82" t="n"/>
      <c r="C89" s="82" t="n"/>
      <c r="D89" s="82" t="n"/>
      <c r="E89" s="82" t="n"/>
      <c r="F89" s="82" t="n"/>
      <c r="G89" s="82" t="n"/>
      <c r="H89" s="82" t="n"/>
      <c r="I89" s="82" t="n"/>
      <c r="J89" s="82" t="n"/>
      <c r="K89" s="82" t="n"/>
    </row>
    <row r="90">
      <c r="A90" s="82" t="n"/>
      <c r="B90" s="82" t="n"/>
      <c r="C90" s="82" t="n"/>
      <c r="D90" s="82" t="n"/>
      <c r="E90" s="82" t="n"/>
      <c r="F90" s="82" t="n"/>
      <c r="G90" s="82" t="n"/>
      <c r="H90" s="82" t="n"/>
      <c r="I90" s="82" t="n"/>
      <c r="J90" s="82" t="n"/>
      <c r="K90" s="82" t="n"/>
    </row>
    <row r="91">
      <c r="A91" s="82" t="n"/>
      <c r="B91" s="82" t="n"/>
      <c r="C91" s="82" t="n"/>
      <c r="D91" s="82" t="n"/>
      <c r="E91" s="82" t="n"/>
      <c r="F91" s="82" t="n"/>
      <c r="G91" s="82" t="n"/>
      <c r="H91" s="82" t="n"/>
      <c r="I91" s="82" t="n"/>
      <c r="J91" s="82" t="n"/>
      <c r="K91" s="82" t="n"/>
    </row>
    <row r="92">
      <c r="A92" s="82" t="n"/>
      <c r="B92" s="82" t="n"/>
      <c r="C92" s="82" t="n"/>
      <c r="D92" s="82" t="n"/>
      <c r="E92" s="82" t="n"/>
      <c r="F92" s="82" t="n"/>
      <c r="G92" s="82" t="n"/>
      <c r="H92" s="82" t="n"/>
      <c r="I92" s="82" t="n"/>
      <c r="J92" s="82" t="n"/>
      <c r="K92" s="82" t="n"/>
    </row>
    <row r="93">
      <c r="A93" s="82" t="n"/>
      <c r="B93" s="82" t="n"/>
      <c r="C93" s="82" t="n"/>
      <c r="D93" s="82" t="n"/>
      <c r="E93" s="82" t="n"/>
      <c r="F93" s="82" t="n"/>
      <c r="G93" s="82" t="n"/>
      <c r="H93" s="82" t="n"/>
      <c r="I93" s="82" t="n"/>
      <c r="J93" s="82" t="n"/>
      <c r="K93" s="82" t="n"/>
    </row>
    <row r="94">
      <c r="A94" s="82" t="n"/>
      <c r="B94" s="82" t="n"/>
      <c r="C94" s="82" t="n"/>
      <c r="D94" s="82" t="n"/>
      <c r="E94" s="82" t="n"/>
      <c r="F94" s="82" t="n"/>
      <c r="G94" s="82" t="n"/>
      <c r="H94" s="82" t="n"/>
      <c r="I94" s="82" t="n"/>
      <c r="J94" s="82" t="n"/>
      <c r="K94" s="82" t="n"/>
    </row>
    <row r="95">
      <c r="A95" s="82" t="n"/>
      <c r="B95" s="82" t="n"/>
      <c r="C95" s="82" t="n"/>
      <c r="D95" s="82" t="n"/>
      <c r="E95" s="82" t="n"/>
      <c r="F95" s="82" t="n"/>
      <c r="G95" s="82" t="n"/>
      <c r="H95" s="82" t="n"/>
      <c r="I95" s="82" t="n"/>
      <c r="J95" s="82" t="n"/>
      <c r="K95" s="82" t="n"/>
    </row>
    <row r="96">
      <c r="A96" s="82" t="n"/>
      <c r="B96" s="82" t="n"/>
      <c r="C96" s="82" t="n"/>
      <c r="D96" s="82" t="n"/>
      <c r="E96" s="82" t="n"/>
      <c r="F96" s="82" t="n"/>
      <c r="G96" s="82" t="n"/>
      <c r="H96" s="82" t="n"/>
      <c r="I96" s="82" t="n"/>
      <c r="J96" s="82" t="n"/>
      <c r="K96" s="82" t="n"/>
    </row>
    <row r="97">
      <c r="A97" s="82" t="n"/>
      <c r="B97" s="82" t="n"/>
      <c r="C97" s="82" t="n"/>
      <c r="D97" s="82" t="n"/>
      <c r="E97" s="82" t="n"/>
      <c r="F97" s="82" t="n"/>
      <c r="G97" s="82" t="n"/>
      <c r="H97" s="82" t="n"/>
      <c r="I97" s="82" t="n"/>
      <c r="J97" s="82" t="n"/>
      <c r="K97" s="82" t="n"/>
    </row>
    <row r="98">
      <c r="A98" s="82" t="n"/>
      <c r="B98" s="82" t="n"/>
      <c r="C98" s="82" t="n"/>
      <c r="D98" s="82" t="n"/>
      <c r="E98" s="82" t="n"/>
      <c r="F98" s="82" t="n"/>
      <c r="G98" s="82" t="n"/>
      <c r="H98" s="82" t="n"/>
      <c r="I98" s="82" t="n"/>
      <c r="J98" s="82" t="n"/>
      <c r="K98" s="82" t="n"/>
    </row>
    <row r="99">
      <c r="A99" s="82" t="n"/>
      <c r="B99" s="82" t="n"/>
      <c r="C99" s="82" t="n"/>
      <c r="D99" s="82" t="n"/>
      <c r="E99" s="82" t="n"/>
      <c r="F99" s="82" t="n"/>
      <c r="G99" s="82" t="n"/>
      <c r="H99" s="82" t="n"/>
      <c r="I99" s="82" t="n"/>
      <c r="J99" s="82" t="n"/>
      <c r="K99" s="82" t="n"/>
    </row>
    <row r="100">
      <c r="A100" s="82" t="n"/>
      <c r="B100" s="82" t="n"/>
      <c r="C100" s="82" t="n"/>
      <c r="D100" s="82" t="n"/>
      <c r="E100" s="82" t="n"/>
      <c r="F100" s="82" t="n"/>
      <c r="G100" s="82" t="n"/>
      <c r="H100" s="82" t="n"/>
      <c r="I100" s="82" t="n"/>
      <c r="J100" s="82" t="n"/>
      <c r="K100" s="82" t="n"/>
    </row>
    <row r="101">
      <c r="A101" s="82" t="n"/>
      <c r="B101" s="82" t="n"/>
      <c r="C101" s="82" t="n"/>
      <c r="D101" s="82" t="n"/>
      <c r="E101" s="82" t="n"/>
      <c r="F101" s="82" t="n"/>
      <c r="G101" s="82" t="n"/>
      <c r="H101" s="82" t="n"/>
      <c r="I101" s="82" t="n"/>
      <c r="J101" s="82" t="n"/>
      <c r="K101" s="82" t="n"/>
    </row>
    <row r="102">
      <c r="A102" s="82" t="n"/>
      <c r="B102" s="82" t="n"/>
      <c r="C102" s="82" t="n"/>
      <c r="D102" s="82" t="n"/>
      <c r="E102" s="82" t="n"/>
      <c r="F102" s="82" t="n"/>
      <c r="G102" s="82" t="n"/>
      <c r="H102" s="82" t="n"/>
      <c r="I102" s="82" t="n"/>
      <c r="J102" s="82" t="n"/>
      <c r="K102" s="82" t="n"/>
    </row>
    <row r="103">
      <c r="A103" s="82" t="n"/>
      <c r="B103" s="82" t="n"/>
      <c r="C103" s="82" t="n"/>
      <c r="D103" s="82" t="n"/>
      <c r="E103" s="82" t="n"/>
      <c r="F103" s="82" t="n"/>
      <c r="G103" s="82" t="n"/>
      <c r="H103" s="82" t="n"/>
      <c r="I103" s="82" t="n"/>
      <c r="J103" s="82" t="n"/>
      <c r="K103" s="82" t="n"/>
    </row>
    <row r="104">
      <c r="A104" s="82" t="n"/>
      <c r="B104" s="82" t="n"/>
      <c r="C104" s="82" t="n"/>
      <c r="D104" s="82" t="n"/>
      <c r="E104" s="82" t="n"/>
      <c r="F104" s="82" t="n"/>
      <c r="G104" s="82" t="n"/>
      <c r="H104" s="82" t="n"/>
      <c r="I104" s="82" t="n"/>
      <c r="J104" s="82" t="n"/>
      <c r="K104" s="82" t="n"/>
    </row>
    <row r="105">
      <c r="A105" s="82" t="n"/>
      <c r="B105" s="82" t="n"/>
      <c r="C105" s="82" t="n"/>
      <c r="D105" s="82" t="n"/>
      <c r="E105" s="82" t="n"/>
      <c r="F105" s="82" t="n"/>
      <c r="G105" s="82" t="n"/>
      <c r="H105" s="82" t="n"/>
      <c r="I105" s="82" t="n"/>
      <c r="J105" s="82" t="n"/>
      <c r="K105" s="82" t="n"/>
    </row>
    <row r="106">
      <c r="A106" s="82" t="n"/>
      <c r="B106" s="82" t="n"/>
      <c r="C106" s="82" t="n"/>
      <c r="D106" s="82" t="n"/>
      <c r="E106" s="82" t="n"/>
      <c r="F106" s="82" t="n"/>
      <c r="G106" s="82" t="n"/>
      <c r="H106" s="82" t="n"/>
      <c r="I106" s="82" t="n"/>
      <c r="J106" s="82" t="n"/>
      <c r="K106" s="82" t="n"/>
    </row>
    <row r="107">
      <c r="A107" s="82" t="n"/>
      <c r="B107" s="82" t="n"/>
      <c r="C107" s="82" t="n"/>
      <c r="D107" s="82" t="n"/>
      <c r="E107" s="82" t="n"/>
      <c r="F107" s="82" t="n"/>
      <c r="G107" s="82" t="n"/>
      <c r="H107" s="82" t="n"/>
      <c r="I107" s="82" t="n"/>
      <c r="J107" s="82" t="n"/>
      <c r="K107" s="82" t="n"/>
    </row>
    <row r="108">
      <c r="A108" s="82" t="n"/>
      <c r="B108" s="82" t="n"/>
      <c r="C108" s="82" t="n"/>
      <c r="D108" s="82" t="n"/>
      <c r="E108" s="82" t="n"/>
      <c r="F108" s="82" t="n"/>
      <c r="G108" s="82" t="n"/>
      <c r="H108" s="82" t="n"/>
      <c r="I108" s="82" t="n"/>
      <c r="J108" s="82" t="n"/>
      <c r="K108" s="82" t="n"/>
    </row>
    <row r="109">
      <c r="A109" s="82" t="n"/>
      <c r="B109" s="82" t="n"/>
      <c r="C109" s="82" t="n"/>
      <c r="D109" s="82" t="n"/>
      <c r="E109" s="82" t="n"/>
      <c r="F109" s="82" t="n"/>
      <c r="G109" s="82" t="n"/>
      <c r="H109" s="82" t="n"/>
      <c r="I109" s="82" t="n"/>
      <c r="J109" s="82" t="n"/>
      <c r="K109" s="82" t="n"/>
    </row>
    <row r="110">
      <c r="A110" s="82" t="n"/>
      <c r="B110" s="82" t="n"/>
      <c r="C110" s="82" t="n"/>
      <c r="D110" s="82" t="n"/>
      <c r="E110" s="82" t="n"/>
      <c r="F110" s="82" t="n"/>
      <c r="G110" s="82" t="n"/>
      <c r="H110" s="82" t="n"/>
      <c r="I110" s="82" t="n"/>
      <c r="J110" s="82" t="n"/>
      <c r="K110" s="82" t="n"/>
    </row>
    <row r="111">
      <c r="A111" s="82" t="n"/>
      <c r="B111" s="82" t="n"/>
      <c r="C111" s="82" t="n"/>
      <c r="D111" s="82" t="n"/>
      <c r="E111" s="82" t="n"/>
      <c r="F111" s="82" t="n"/>
      <c r="G111" s="82" t="n"/>
      <c r="H111" s="82" t="n"/>
      <c r="I111" s="82" t="n"/>
      <c r="J111" s="82" t="n"/>
      <c r="K111" s="82" t="n"/>
    </row>
    <row r="112">
      <c r="A112" s="82" t="n"/>
      <c r="B112" s="82" t="n"/>
      <c r="C112" s="82" t="n"/>
      <c r="D112" s="82" t="n"/>
      <c r="E112" s="82" t="n"/>
      <c r="F112" s="82" t="n"/>
      <c r="G112" s="82" t="n"/>
      <c r="H112" s="82" t="n"/>
      <c r="I112" s="82" t="n"/>
      <c r="J112" s="82" t="n"/>
      <c r="K112" s="82" t="n"/>
    </row>
    <row r="113">
      <c r="A113" s="82" t="n"/>
      <c r="B113" s="82" t="n"/>
      <c r="C113" s="82" t="n"/>
      <c r="D113" s="82" t="n"/>
      <c r="E113" s="82" t="n"/>
      <c r="F113" s="82" t="n"/>
      <c r="G113" s="82" t="n"/>
      <c r="H113" s="82" t="n"/>
      <c r="I113" s="82" t="n"/>
      <c r="J113" s="82" t="n"/>
      <c r="K113" s="82" t="n"/>
    </row>
    <row r="114">
      <c r="A114" s="82" t="n"/>
      <c r="B114" s="82" t="n"/>
      <c r="C114" s="82" t="n"/>
      <c r="D114" s="82" t="n"/>
      <c r="E114" s="82" t="n"/>
      <c r="F114" s="82" t="n"/>
      <c r="G114" s="82" t="n"/>
      <c r="H114" s="82" t="n"/>
      <c r="I114" s="82" t="n"/>
      <c r="J114" s="82" t="n"/>
      <c r="K114" s="82" t="n"/>
    </row>
    <row r="115">
      <c r="A115" s="82" t="n"/>
      <c r="B115" s="82" t="n"/>
      <c r="C115" s="82" t="n"/>
      <c r="D115" s="82" t="n"/>
      <c r="E115" s="82" t="n"/>
      <c r="F115" s="82" t="n"/>
      <c r="G115" s="82" t="n"/>
      <c r="H115" s="82" t="n"/>
      <c r="I115" s="82" t="n"/>
      <c r="J115" s="82" t="n"/>
      <c r="K115" s="82" t="n"/>
    </row>
    <row r="116">
      <c r="A116" s="82" t="n"/>
      <c r="B116" s="82" t="n"/>
      <c r="C116" s="82" t="n"/>
      <c r="D116" s="82" t="n"/>
      <c r="E116" s="82" t="n"/>
      <c r="F116" s="82" t="n"/>
      <c r="G116" s="82" t="n"/>
      <c r="H116" s="82" t="n"/>
      <c r="I116" s="82" t="n"/>
      <c r="J116" s="82" t="n"/>
      <c r="K116" s="82" t="n"/>
    </row>
    <row r="117">
      <c r="A117" s="82" t="n"/>
      <c r="B117" s="82" t="n"/>
      <c r="C117" s="82" t="n"/>
      <c r="D117" s="82" t="n"/>
      <c r="E117" s="82" t="n"/>
      <c r="F117" s="82" t="n"/>
      <c r="G117" s="82" t="n"/>
      <c r="H117" s="82" t="n"/>
      <c r="I117" s="82" t="n"/>
      <c r="J117" s="82" t="n"/>
      <c r="K117" s="82" t="n"/>
    </row>
    <row r="118">
      <c r="A118" s="82" t="n"/>
      <c r="B118" s="82" t="n"/>
      <c r="C118" s="82" t="n"/>
      <c r="D118" s="82" t="n"/>
      <c r="E118" s="82" t="n"/>
      <c r="F118" s="82" t="n"/>
      <c r="G118" s="82" t="n"/>
      <c r="H118" s="82" t="n"/>
      <c r="I118" s="82" t="n"/>
      <c r="J118" s="82" t="n"/>
      <c r="K118" s="82" t="n"/>
    </row>
    <row r="119">
      <c r="A119" s="82" t="n"/>
      <c r="B119" s="82" t="n"/>
      <c r="C119" s="82" t="n"/>
      <c r="D119" s="82" t="n"/>
      <c r="E119" s="82" t="n"/>
      <c r="F119" s="82" t="n"/>
      <c r="G119" s="82" t="n"/>
      <c r="H119" s="82" t="n"/>
      <c r="I119" s="82" t="n"/>
      <c r="J119" s="82" t="n"/>
      <c r="K119" s="82" t="n"/>
    </row>
    <row r="120">
      <c r="A120" s="82" t="n"/>
      <c r="B120" s="82" t="n"/>
      <c r="C120" s="82" t="n"/>
      <c r="D120" s="82" t="n"/>
      <c r="E120" s="82" t="n"/>
      <c r="F120" s="82" t="n"/>
      <c r="G120" s="82" t="n"/>
      <c r="H120" s="82" t="n"/>
      <c r="I120" s="82" t="n"/>
      <c r="J120" s="82" t="n"/>
      <c r="K120" s="82" t="n"/>
    </row>
    <row r="121">
      <c r="A121" s="82" t="n"/>
      <c r="B121" s="82" t="n"/>
      <c r="C121" s="82" t="n"/>
      <c r="D121" s="82" t="n"/>
      <c r="E121" s="82" t="n"/>
      <c r="F121" s="82" t="n"/>
      <c r="G121" s="82" t="n"/>
      <c r="H121" s="82" t="n"/>
      <c r="I121" s="82" t="n"/>
      <c r="J121" s="82" t="n"/>
      <c r="K121" s="82" t="n"/>
    </row>
    <row r="122">
      <c r="A122" s="82" t="n"/>
      <c r="B122" s="82" t="n"/>
      <c r="C122" s="82" t="n"/>
      <c r="D122" s="82" t="n"/>
      <c r="E122" s="82" t="n"/>
      <c r="F122" s="82" t="n"/>
      <c r="G122" s="82" t="n"/>
      <c r="H122" s="82" t="n"/>
      <c r="I122" s="82" t="n"/>
      <c r="J122" s="82" t="n"/>
      <c r="K122" s="82" t="n"/>
    </row>
    <row r="123">
      <c r="A123" s="82" t="n"/>
      <c r="B123" s="82" t="n"/>
      <c r="C123" s="82" t="n"/>
      <c r="D123" s="82" t="n"/>
      <c r="E123" s="82" t="n"/>
      <c r="F123" s="82" t="n"/>
      <c r="G123" s="82" t="n"/>
      <c r="H123" s="82" t="n"/>
      <c r="I123" s="82" t="n"/>
      <c r="J123" s="82" t="n"/>
      <c r="K123" s="82" t="n"/>
    </row>
    <row r="124">
      <c r="A124" s="82" t="n"/>
      <c r="B124" s="82" t="n"/>
      <c r="C124" s="82" t="n"/>
      <c r="D124" s="82" t="n"/>
      <c r="E124" s="82" t="n"/>
      <c r="F124" s="82" t="n"/>
      <c r="G124" s="82" t="n"/>
      <c r="H124" s="82" t="n"/>
      <c r="I124" s="82" t="n"/>
      <c r="J124" s="82" t="n"/>
      <c r="K124" s="82" t="n"/>
    </row>
    <row r="125">
      <c r="A125" s="82" t="n"/>
      <c r="B125" s="82" t="n"/>
      <c r="C125" s="82" t="n"/>
      <c r="D125" s="82" t="n"/>
      <c r="E125" s="82" t="n"/>
      <c r="F125" s="82" t="n"/>
      <c r="G125" s="82" t="n"/>
      <c r="H125" s="82" t="n"/>
      <c r="I125" s="82" t="n"/>
      <c r="J125" s="82" t="n"/>
      <c r="K125" s="82" t="n"/>
    </row>
    <row r="126">
      <c r="A126" s="82" t="n"/>
      <c r="B126" s="82" t="n"/>
      <c r="C126" s="82" t="n"/>
      <c r="D126" s="82" t="n"/>
      <c r="E126" s="82" t="n"/>
      <c r="F126" s="82" t="n"/>
      <c r="G126" s="82" t="n"/>
      <c r="H126" s="82" t="n"/>
      <c r="I126" s="82" t="n"/>
      <c r="J126" s="82" t="n"/>
      <c r="K126" s="82" t="n"/>
    </row>
    <row r="127">
      <c r="A127" s="82" t="n"/>
      <c r="B127" s="82" t="n"/>
      <c r="C127" s="82" t="n"/>
      <c r="D127" s="82" t="n"/>
      <c r="E127" s="82" t="n"/>
      <c r="F127" s="82" t="n"/>
      <c r="G127" s="82" t="n"/>
      <c r="H127" s="82" t="n"/>
      <c r="I127" s="82" t="n"/>
      <c r="J127" s="82" t="n"/>
      <c r="K127" s="82" t="n"/>
    </row>
    <row r="128">
      <c r="A128" s="82" t="n"/>
      <c r="B128" s="82" t="n"/>
      <c r="C128" s="82" t="n"/>
      <c r="D128" s="82" t="n"/>
      <c r="E128" s="82" t="n"/>
      <c r="F128" s="82" t="n"/>
      <c r="G128" s="82" t="n"/>
      <c r="H128" s="82" t="n"/>
      <c r="I128" s="82" t="n"/>
      <c r="J128" s="82" t="n"/>
      <c r="K128" s="82" t="n"/>
    </row>
    <row r="129">
      <c r="A129" s="82" t="n"/>
      <c r="B129" s="82" t="n"/>
      <c r="C129" s="82" t="n"/>
      <c r="D129" s="82" t="n"/>
      <c r="E129" s="82" t="n"/>
      <c r="F129" s="82" t="n"/>
      <c r="G129" s="82" t="n"/>
      <c r="H129" s="82" t="n"/>
      <c r="I129" s="82" t="n"/>
      <c r="J129" s="82" t="n"/>
      <c r="K129" s="82" t="n"/>
    </row>
    <row r="130">
      <c r="A130" s="82" t="n"/>
      <c r="B130" s="82" t="n"/>
      <c r="C130" s="82" t="n"/>
      <c r="D130" s="82" t="n"/>
      <c r="E130" s="82" t="n"/>
      <c r="F130" s="82" t="n"/>
      <c r="G130" s="82" t="n"/>
      <c r="H130" s="82" t="n"/>
      <c r="I130" s="82" t="n"/>
      <c r="J130" s="82" t="n"/>
      <c r="K130" s="82" t="n"/>
    </row>
    <row r="131">
      <c r="A131" s="82" t="n"/>
      <c r="B131" s="82" t="n"/>
      <c r="C131" s="82" t="n"/>
      <c r="D131" s="82" t="n"/>
      <c r="E131" s="82" t="n"/>
      <c r="F131" s="82" t="n"/>
      <c r="G131" s="82" t="n"/>
      <c r="H131" s="82" t="n"/>
      <c r="I131" s="82" t="n"/>
      <c r="J131" s="82" t="n"/>
      <c r="K131" s="82" t="n"/>
    </row>
    <row r="132">
      <c r="A132" s="82" t="n"/>
      <c r="B132" s="82" t="n"/>
      <c r="C132" s="82" t="n"/>
      <c r="D132" s="82" t="n"/>
      <c r="E132" s="82" t="n"/>
      <c r="F132" s="82" t="n"/>
      <c r="G132" s="82" t="n"/>
      <c r="H132" s="82" t="n"/>
      <c r="I132" s="82" t="n"/>
      <c r="J132" s="82" t="n"/>
      <c r="K132" s="82" t="n"/>
    </row>
    <row r="133">
      <c r="A133" s="82" t="n"/>
      <c r="B133" s="82" t="n"/>
      <c r="C133" s="82" t="n"/>
      <c r="D133" s="82" t="n"/>
      <c r="E133" s="82" t="n"/>
      <c r="F133" s="82" t="n"/>
      <c r="G133" s="82" t="n"/>
      <c r="H133" s="82" t="n"/>
      <c r="I133" s="82" t="n"/>
      <c r="J133" s="82" t="n"/>
      <c r="K133" s="82" t="n"/>
    </row>
    <row r="134">
      <c r="A134" s="82" t="n"/>
      <c r="B134" s="82" t="n"/>
      <c r="C134" s="82" t="n"/>
      <c r="D134" s="82" t="n"/>
      <c r="E134" s="82" t="n"/>
      <c r="F134" s="82" t="n"/>
      <c r="G134" s="82" t="n"/>
      <c r="H134" s="82" t="n"/>
      <c r="I134" s="82" t="n"/>
      <c r="J134" s="82" t="n"/>
      <c r="K134" s="82" t="n"/>
    </row>
    <row r="135">
      <c r="A135" s="82" t="n"/>
      <c r="B135" s="82" t="n"/>
      <c r="C135" s="82" t="n"/>
      <c r="D135" s="82" t="n"/>
      <c r="E135" s="82" t="n"/>
      <c r="F135" s="82" t="n"/>
      <c r="G135" s="82" t="n"/>
      <c r="H135" s="82" t="n"/>
      <c r="I135" s="82" t="n"/>
      <c r="J135" s="82" t="n"/>
      <c r="K135" s="82" t="n"/>
    </row>
    <row r="136">
      <c r="A136" s="82" t="n"/>
      <c r="B136" s="82" t="n"/>
      <c r="C136" s="82" t="n"/>
      <c r="D136" s="82" t="n"/>
      <c r="E136" s="82" t="n"/>
      <c r="F136" s="82" t="n"/>
      <c r="G136" s="82" t="n"/>
      <c r="H136" s="82" t="n"/>
      <c r="I136" s="82" t="n"/>
      <c r="J136" s="82" t="n"/>
      <c r="K136" s="82" t="n"/>
    </row>
    <row r="137">
      <c r="A137" s="82" t="n"/>
      <c r="B137" s="82" t="n"/>
      <c r="C137" s="82" t="n"/>
      <c r="D137" s="82" t="n"/>
      <c r="E137" s="82" t="n"/>
      <c r="F137" s="82" t="n"/>
      <c r="G137" s="82" t="n"/>
      <c r="H137" s="82" t="n"/>
      <c r="I137" s="82" t="n"/>
      <c r="J137" s="82" t="n"/>
      <c r="K137" s="82" t="n"/>
    </row>
    <row r="138">
      <c r="A138" s="82" t="n"/>
      <c r="B138" s="82" t="n"/>
      <c r="C138" s="82" t="n"/>
      <c r="D138" s="82" t="n"/>
      <c r="E138" s="82" t="n"/>
      <c r="F138" s="82" t="n"/>
      <c r="G138" s="82" t="n"/>
      <c r="H138" s="82" t="n"/>
      <c r="I138" s="82" t="n"/>
      <c r="J138" s="82" t="n"/>
      <c r="K138" s="82" t="n"/>
    </row>
    <row r="139">
      <c r="A139" s="82" t="n"/>
      <c r="B139" s="82" t="n"/>
      <c r="C139" s="82" t="n"/>
      <c r="D139" s="82" t="n"/>
      <c r="E139" s="82" t="n"/>
      <c r="F139" s="82" t="n"/>
      <c r="G139" s="82" t="n"/>
      <c r="H139" s="82" t="n"/>
      <c r="I139" s="82" t="n"/>
      <c r="J139" s="82" t="n"/>
      <c r="K139" s="82" t="n"/>
    </row>
    <row r="140">
      <c r="A140" s="82" t="n"/>
      <c r="B140" s="82" t="n"/>
      <c r="C140" s="82" t="n"/>
      <c r="D140" s="82" t="n"/>
      <c r="E140" s="82" t="n"/>
      <c r="F140" s="82" t="n"/>
      <c r="G140" s="82" t="n"/>
      <c r="H140" s="82" t="n"/>
      <c r="I140" s="82" t="n"/>
      <c r="J140" s="82" t="n"/>
      <c r="K140" s="82" t="n"/>
    </row>
    <row r="141">
      <c r="A141" s="82" t="n"/>
      <c r="B141" s="82" t="n"/>
      <c r="C141" s="82" t="n"/>
      <c r="D141" s="82" t="n"/>
      <c r="E141" s="82" t="n"/>
      <c r="F141" s="82" t="n"/>
      <c r="G141" s="82" t="n"/>
      <c r="H141" s="82" t="n"/>
      <c r="I141" s="82" t="n"/>
      <c r="J141" s="82" t="n"/>
      <c r="K141" s="82" t="n"/>
    </row>
    <row r="142">
      <c r="A142" s="82" t="n"/>
      <c r="B142" s="82" t="n"/>
      <c r="C142" s="82" t="n"/>
      <c r="D142" s="82" t="n"/>
      <c r="E142" s="82" t="n"/>
      <c r="F142" s="82" t="n"/>
      <c r="G142" s="82" t="n"/>
      <c r="H142" s="82" t="n"/>
      <c r="I142" s="82" t="n"/>
      <c r="J142" s="82" t="n"/>
      <c r="K142" s="82" t="n"/>
    </row>
    <row r="143">
      <c r="A143" s="82" t="n"/>
      <c r="B143" s="82" t="n"/>
      <c r="C143" s="82" t="n"/>
      <c r="D143" s="82" t="n"/>
      <c r="E143" s="82" t="n"/>
      <c r="F143" s="82" t="n"/>
      <c r="G143" s="82" t="n"/>
      <c r="H143" s="82" t="n"/>
      <c r="I143" s="82" t="n"/>
      <c r="J143" s="82" t="n"/>
      <c r="K143" s="82" t="n"/>
    </row>
    <row r="144">
      <c r="A144" s="82" t="n"/>
      <c r="B144" s="82" t="n"/>
      <c r="C144" s="82" t="n"/>
      <c r="D144" s="82" t="n"/>
      <c r="E144" s="82" t="n"/>
      <c r="F144" s="82" t="n"/>
      <c r="G144" s="82" t="n"/>
      <c r="H144" s="82" t="n"/>
      <c r="I144" s="82" t="n"/>
      <c r="J144" s="82" t="n"/>
      <c r="K144" s="82" t="n"/>
    </row>
    <row r="145">
      <c r="A145" s="82" t="n"/>
      <c r="B145" s="82" t="n"/>
      <c r="C145" s="82" t="n"/>
      <c r="D145" s="82" t="n"/>
      <c r="E145" s="82" t="n"/>
      <c r="F145" s="82" t="n"/>
      <c r="G145" s="82" t="n"/>
      <c r="H145" s="82" t="n"/>
      <c r="I145" s="82" t="n"/>
      <c r="J145" s="82" t="n"/>
      <c r="K145" s="82" t="n"/>
    </row>
    <row r="146">
      <c r="A146" s="82" t="n"/>
      <c r="B146" s="82" t="n"/>
      <c r="C146" s="82" t="n"/>
      <c r="D146" s="82" t="n"/>
      <c r="E146" s="82" t="n"/>
      <c r="F146" s="82" t="n"/>
      <c r="G146" s="82" t="n"/>
      <c r="H146" s="82" t="n"/>
      <c r="I146" s="82" t="n"/>
      <c r="J146" s="82" t="n"/>
      <c r="K146" s="82" t="n"/>
    </row>
    <row r="147">
      <c r="A147" s="82" t="n"/>
      <c r="B147" s="82" t="n"/>
      <c r="C147" s="82" t="n"/>
      <c r="D147" s="82" t="n"/>
      <c r="E147" s="82" t="n"/>
      <c r="F147" s="82" t="n"/>
      <c r="G147" s="82" t="n"/>
      <c r="H147" s="82" t="n"/>
      <c r="I147" s="82" t="n"/>
      <c r="J147" s="82" t="n"/>
      <c r="K147" s="82" t="n"/>
    </row>
    <row r="148">
      <c r="A148" s="82" t="n"/>
      <c r="B148" s="82" t="n"/>
      <c r="C148" s="82" t="n"/>
      <c r="D148" s="82" t="n"/>
      <c r="E148" s="82" t="n"/>
      <c r="F148" s="82" t="n"/>
      <c r="G148" s="82" t="n"/>
      <c r="H148" s="82" t="n"/>
      <c r="I148" s="82" t="n"/>
      <c r="J148" s="82" t="n"/>
      <c r="K148" s="82" t="n"/>
    </row>
    <row r="149">
      <c r="A149" s="82" t="n"/>
      <c r="B149" s="82" t="n"/>
      <c r="C149" s="82" t="n"/>
      <c r="D149" s="82" t="n"/>
      <c r="E149" s="82" t="n"/>
      <c r="F149" s="82" t="n"/>
      <c r="G149" s="82" t="n"/>
      <c r="H149" s="82" t="n"/>
      <c r="I149" s="82" t="n"/>
      <c r="J149" s="82" t="n"/>
      <c r="K149" s="82" t="n"/>
    </row>
    <row r="150">
      <c r="A150" s="82" t="n"/>
      <c r="B150" s="82" t="n"/>
      <c r="C150" s="82" t="n"/>
      <c r="D150" s="82" t="n"/>
      <c r="E150" s="82" t="n"/>
      <c r="F150" s="82" t="n"/>
      <c r="G150" s="82" t="n"/>
      <c r="H150" s="82" t="n"/>
      <c r="I150" s="82" t="n"/>
      <c r="J150" s="82" t="n"/>
      <c r="K150" s="82" t="n"/>
    </row>
    <row r="151">
      <c r="A151" s="82" t="n"/>
      <c r="B151" s="82" t="n"/>
      <c r="C151" s="82" t="n"/>
      <c r="D151" s="82" t="n"/>
      <c r="E151" s="82" t="n"/>
      <c r="F151" s="82" t="n"/>
      <c r="G151" s="82" t="n"/>
      <c r="H151" s="82" t="n"/>
      <c r="I151" s="82" t="n"/>
      <c r="J151" s="82" t="n"/>
      <c r="K151" s="82" t="n"/>
    </row>
    <row r="152">
      <c r="A152" s="82" t="n"/>
      <c r="B152" s="82" t="n"/>
      <c r="C152" s="82" t="n"/>
      <c r="D152" s="82" t="n"/>
      <c r="E152" s="82" t="n"/>
      <c r="F152" s="82" t="n"/>
      <c r="G152" s="82" t="n"/>
      <c r="H152" s="82" t="n"/>
      <c r="I152" s="82" t="n"/>
      <c r="J152" s="82" t="n"/>
      <c r="K152" s="82" t="n"/>
    </row>
    <row r="153">
      <c r="A153" s="82" t="n"/>
      <c r="B153" s="82" t="n"/>
      <c r="C153" s="82" t="n"/>
      <c r="D153" s="82" t="n"/>
      <c r="E153" s="82" t="n"/>
      <c r="F153" s="82" t="n"/>
      <c r="G153" s="82" t="n"/>
      <c r="H153" s="82" t="n"/>
      <c r="I153" s="82" t="n"/>
      <c r="J153" s="82" t="n"/>
      <c r="K153" s="82" t="n"/>
    </row>
    <row r="154">
      <c r="A154" s="82" t="n"/>
      <c r="B154" s="82" t="n"/>
      <c r="C154" s="82" t="n"/>
      <c r="D154" s="82" t="n"/>
      <c r="E154" s="82" t="n"/>
      <c r="F154" s="82" t="n"/>
      <c r="G154" s="82" t="n"/>
      <c r="H154" s="82" t="n"/>
      <c r="I154" s="82" t="n"/>
      <c r="J154" s="82" t="n"/>
      <c r="K154" s="82" t="n"/>
    </row>
    <row r="155">
      <c r="A155" s="82" t="n"/>
      <c r="B155" s="82" t="n"/>
      <c r="C155" s="82" t="n"/>
      <c r="D155" s="82" t="n"/>
      <c r="E155" s="82" t="n"/>
      <c r="F155" s="82" t="n"/>
      <c r="G155" s="82" t="n"/>
      <c r="H155" s="82" t="n"/>
      <c r="I155" s="82" t="n"/>
      <c r="J155" s="82" t="n"/>
      <c r="K155" s="82" t="n"/>
    </row>
    <row r="156">
      <c r="A156" s="82" t="n"/>
      <c r="B156" s="82" t="n"/>
      <c r="C156" s="82" t="n"/>
      <c r="D156" s="82" t="n"/>
      <c r="E156" s="82" t="n"/>
      <c r="F156" s="82" t="n"/>
      <c r="G156" s="82" t="n"/>
      <c r="H156" s="82" t="n"/>
      <c r="I156" s="82" t="n"/>
      <c r="J156" s="82" t="n"/>
      <c r="K156" s="82" t="n"/>
    </row>
    <row r="157">
      <c r="A157" s="82" t="n"/>
      <c r="B157" s="82" t="n"/>
      <c r="C157" s="82" t="n"/>
      <c r="D157" s="82" t="n"/>
      <c r="E157" s="82" t="n"/>
      <c r="F157" s="82" t="n"/>
      <c r="G157" s="82" t="n"/>
      <c r="H157" s="82" t="n"/>
      <c r="I157" s="82" t="n"/>
      <c r="J157" s="82" t="n"/>
      <c r="K157" s="82" t="n"/>
    </row>
    <row r="158">
      <c r="A158" s="82" t="n"/>
      <c r="B158" s="82" t="n"/>
      <c r="C158" s="82" t="n"/>
      <c r="D158" s="82" t="n"/>
      <c r="E158" s="82" t="n"/>
      <c r="F158" s="82" t="n"/>
      <c r="G158" s="82" t="n"/>
      <c r="H158" s="82" t="n"/>
      <c r="I158" s="82" t="n"/>
      <c r="J158" s="82" t="n"/>
      <c r="K158" s="82" t="n"/>
    </row>
    <row r="159">
      <c r="A159" s="82" t="n"/>
      <c r="B159" s="82" t="n"/>
      <c r="C159" s="82" t="n"/>
      <c r="D159" s="82" t="n"/>
      <c r="E159" s="82" t="n"/>
      <c r="F159" s="82" t="n"/>
      <c r="G159" s="82" t="n"/>
      <c r="H159" s="82" t="n"/>
      <c r="I159" s="82" t="n"/>
      <c r="J159" s="82" t="n"/>
      <c r="K159" s="82" t="n"/>
    </row>
    <row r="160">
      <c r="A160" s="82" t="n"/>
      <c r="B160" s="82" t="n"/>
      <c r="C160" s="82" t="n"/>
      <c r="D160" s="82" t="n"/>
      <c r="E160" s="82" t="n"/>
      <c r="F160" s="82" t="n"/>
      <c r="G160" s="82" t="n"/>
      <c r="H160" s="82" t="n"/>
      <c r="I160" s="82" t="n"/>
      <c r="J160" s="82" t="n"/>
      <c r="K160" s="82" t="n"/>
    </row>
    <row r="161">
      <c r="A161" s="82" t="n"/>
      <c r="B161" s="82" t="n"/>
      <c r="C161" s="82" t="n"/>
      <c r="D161" s="82" t="n"/>
      <c r="E161" s="82" t="n"/>
      <c r="F161" s="82" t="n"/>
      <c r="G161" s="82" t="n"/>
      <c r="H161" s="82" t="n"/>
      <c r="I161" s="82" t="n"/>
      <c r="J161" s="82" t="n"/>
      <c r="K161" s="82" t="n"/>
    </row>
    <row r="162">
      <c r="A162" s="82" t="n"/>
      <c r="B162" s="82" t="n"/>
      <c r="C162" s="82" t="n"/>
      <c r="D162" s="82" t="n"/>
      <c r="E162" s="82" t="n"/>
      <c r="F162" s="82" t="n"/>
      <c r="G162" s="82" t="n"/>
      <c r="H162" s="82" t="n"/>
      <c r="I162" s="82" t="n"/>
      <c r="J162" s="82" t="n"/>
      <c r="K162" s="82" t="n"/>
    </row>
    <row r="163">
      <c r="A163" s="82" t="n"/>
      <c r="B163" s="82" t="n"/>
      <c r="C163" s="82" t="n"/>
      <c r="D163" s="82" t="n"/>
      <c r="E163" s="82" t="n"/>
      <c r="F163" s="82" t="n"/>
      <c r="G163" s="82" t="n"/>
      <c r="H163" s="82" t="n"/>
      <c r="I163" s="82" t="n"/>
      <c r="J163" s="82" t="n"/>
      <c r="K163" s="82" t="n"/>
    </row>
    <row r="164">
      <c r="A164" s="82" t="n"/>
      <c r="B164" s="82" t="n"/>
      <c r="C164" s="82" t="n"/>
      <c r="D164" s="82" t="n"/>
      <c r="E164" s="82" t="n"/>
      <c r="F164" s="82" t="n"/>
      <c r="G164" s="82" t="n"/>
      <c r="H164" s="82" t="n"/>
      <c r="I164" s="82" t="n"/>
      <c r="J164" s="82" t="n"/>
      <c r="K164" s="82" t="n"/>
    </row>
    <row r="165">
      <c r="A165" s="82" t="n"/>
      <c r="B165" s="82" t="n"/>
      <c r="C165" s="82" t="n"/>
      <c r="D165" s="82" t="n"/>
      <c r="E165" s="82" t="n"/>
      <c r="F165" s="82" t="n"/>
      <c r="G165" s="82" t="n"/>
      <c r="H165" s="82" t="n"/>
      <c r="I165" s="82" t="n"/>
      <c r="J165" s="82" t="n"/>
      <c r="K165" s="82" t="n"/>
    </row>
    <row r="166">
      <c r="A166" s="82" t="n"/>
      <c r="B166" s="82" t="n"/>
      <c r="C166" s="82" t="n"/>
      <c r="D166" s="82" t="n"/>
      <c r="E166" s="82" t="n"/>
      <c r="F166" s="82" t="n"/>
      <c r="G166" s="82" t="n"/>
      <c r="H166" s="82" t="n"/>
      <c r="I166" s="82" t="n"/>
      <c r="J166" s="82" t="n"/>
      <c r="K166" s="82" t="n"/>
    </row>
    <row r="167">
      <c r="A167" s="82" t="n"/>
      <c r="B167" s="82" t="n"/>
      <c r="C167" s="82" t="n"/>
      <c r="D167" s="82" t="n"/>
      <c r="E167" s="82" t="n"/>
      <c r="F167" s="82" t="n"/>
      <c r="G167" s="82" t="n"/>
      <c r="H167" s="82" t="n"/>
      <c r="I167" s="82" t="n"/>
      <c r="J167" s="82" t="n"/>
      <c r="K167" s="82" t="n"/>
    </row>
    <row r="168">
      <c r="A168" s="82" t="n"/>
      <c r="B168" s="82" t="n"/>
      <c r="C168" s="82" t="n"/>
      <c r="D168" s="82" t="n"/>
      <c r="E168" s="82" t="n"/>
      <c r="F168" s="82" t="n"/>
      <c r="G168" s="82" t="n"/>
      <c r="H168" s="82" t="n"/>
      <c r="I168" s="82" t="n"/>
      <c r="J168" s="82" t="n"/>
      <c r="K168" s="82" t="n"/>
    </row>
    <row r="169">
      <c r="A169" s="82" t="n"/>
      <c r="B169" s="82" t="n"/>
      <c r="C169" s="82" t="n"/>
      <c r="D169" s="82" t="n"/>
      <c r="E169" s="82" t="n"/>
      <c r="F169" s="82" t="n"/>
      <c r="G169" s="82" t="n"/>
      <c r="H169" s="82" t="n"/>
      <c r="I169" s="82" t="n"/>
      <c r="J169" s="82" t="n"/>
      <c r="K169" s="82" t="n"/>
    </row>
    <row r="170">
      <c r="A170" s="82" t="n"/>
      <c r="B170" s="82" t="n"/>
      <c r="C170" s="82" t="n"/>
      <c r="D170" s="82" t="n"/>
      <c r="E170" s="82" t="n"/>
      <c r="F170" s="82" t="n"/>
      <c r="G170" s="82" t="n"/>
      <c r="H170" s="82" t="n"/>
      <c r="I170" s="82" t="n"/>
      <c r="J170" s="82" t="n"/>
      <c r="K170" s="82" t="n"/>
    </row>
    <row r="171">
      <c r="A171" s="82" t="n"/>
      <c r="B171" s="82" t="n"/>
      <c r="C171" s="82" t="n"/>
      <c r="D171" s="82" t="n"/>
      <c r="E171" s="82" t="n"/>
      <c r="F171" s="82" t="n"/>
      <c r="G171" s="82" t="n"/>
      <c r="H171" s="82" t="n"/>
      <c r="I171" s="82" t="n"/>
      <c r="J171" s="82" t="n"/>
      <c r="K171" s="82" t="n"/>
    </row>
    <row r="172">
      <c r="A172" s="82" t="n"/>
      <c r="B172" s="82" t="n"/>
      <c r="C172" s="82" t="n"/>
      <c r="D172" s="82" t="n"/>
      <c r="E172" s="82" t="n"/>
      <c r="F172" s="82" t="n"/>
      <c r="G172" s="82" t="n"/>
      <c r="H172" s="82" t="n"/>
      <c r="I172" s="82" t="n"/>
      <c r="J172" s="82" t="n"/>
      <c r="K172" s="82" t="n"/>
    </row>
    <row r="173">
      <c r="A173" s="82" t="n"/>
      <c r="B173" s="82" t="n"/>
      <c r="C173" s="82" t="n"/>
      <c r="D173" s="82" t="n"/>
      <c r="E173" s="82" t="n"/>
      <c r="F173" s="82" t="n"/>
      <c r="G173" s="82" t="n"/>
      <c r="H173" s="82" t="n"/>
      <c r="I173" s="82" t="n"/>
      <c r="J173" s="82" t="n"/>
      <c r="K173" s="82" t="n"/>
    </row>
    <row r="174">
      <c r="A174" s="82" t="n"/>
      <c r="B174" s="82" t="n"/>
      <c r="C174" s="82" t="n"/>
      <c r="D174" s="82" t="n"/>
      <c r="E174" s="82" t="n"/>
      <c r="F174" s="82" t="n"/>
      <c r="G174" s="82" t="n"/>
      <c r="H174" s="82" t="n"/>
      <c r="I174" s="82" t="n"/>
      <c r="J174" s="82" t="n"/>
      <c r="K174" s="82" t="n"/>
    </row>
    <row r="175">
      <c r="A175" s="82" t="n"/>
      <c r="B175" s="82" t="n"/>
      <c r="C175" s="82" t="n"/>
      <c r="D175" s="82" t="n"/>
      <c r="E175" s="82" t="n"/>
      <c r="F175" s="82" t="n"/>
      <c r="G175" s="82" t="n"/>
      <c r="H175" s="82" t="n"/>
      <c r="I175" s="82" t="n"/>
      <c r="J175" s="82" t="n"/>
      <c r="K175" s="82" t="n"/>
    </row>
    <row r="176">
      <c r="A176" s="82" t="n"/>
      <c r="B176" s="82" t="n"/>
      <c r="C176" s="82" t="n"/>
      <c r="D176" s="82" t="n"/>
      <c r="E176" s="82" t="n"/>
      <c r="F176" s="82" t="n"/>
      <c r="G176" s="82" t="n"/>
      <c r="H176" s="82" t="n"/>
      <c r="I176" s="82" t="n"/>
      <c r="J176" s="82" t="n"/>
      <c r="K176" s="82" t="n"/>
    </row>
    <row r="177">
      <c r="A177" s="82" t="n"/>
      <c r="B177" s="82" t="n"/>
      <c r="C177" s="82" t="n"/>
      <c r="D177" s="82" t="n"/>
      <c r="E177" s="82" t="n"/>
      <c r="F177" s="82" t="n"/>
      <c r="G177" s="82" t="n"/>
      <c r="H177" s="82" t="n"/>
      <c r="I177" s="82" t="n"/>
      <c r="J177" s="82" t="n"/>
      <c r="K177" s="82" t="n"/>
    </row>
    <row r="178">
      <c r="A178" s="82" t="n"/>
      <c r="B178" s="82" t="n"/>
      <c r="C178" s="82" t="n"/>
      <c r="D178" s="82" t="n"/>
      <c r="E178" s="82" t="n"/>
      <c r="F178" s="82" t="n"/>
      <c r="G178" s="82" t="n"/>
      <c r="H178" s="82" t="n"/>
      <c r="I178" s="82" t="n"/>
      <c r="J178" s="82" t="n"/>
      <c r="K178" s="82" t="n"/>
    </row>
    <row r="179">
      <c r="A179" s="82" t="n"/>
      <c r="B179" s="82" t="n"/>
      <c r="C179" s="82" t="n"/>
      <c r="D179" s="82" t="n"/>
      <c r="E179" s="82" t="n"/>
      <c r="F179" s="82" t="n"/>
      <c r="G179" s="82" t="n"/>
      <c r="H179" s="82" t="n"/>
      <c r="I179" s="82" t="n"/>
      <c r="J179" s="82" t="n"/>
      <c r="K179" s="82" t="n"/>
    </row>
    <row r="180">
      <c r="A180" s="82" t="n"/>
      <c r="B180" s="82" t="n"/>
      <c r="C180" s="82" t="n"/>
      <c r="D180" s="82" t="n"/>
      <c r="E180" s="82" t="n"/>
      <c r="F180" s="82" t="n"/>
      <c r="G180" s="82" t="n"/>
      <c r="H180" s="82" t="n"/>
      <c r="I180" s="82" t="n"/>
      <c r="J180" s="82" t="n"/>
      <c r="K180" s="82" t="n"/>
    </row>
    <row r="181">
      <c r="A181" s="82" t="n"/>
      <c r="B181" s="82" t="n"/>
      <c r="C181" s="82" t="n"/>
      <c r="D181" s="82" t="n"/>
      <c r="E181" s="82" t="n"/>
      <c r="F181" s="82" t="n"/>
      <c r="G181" s="82" t="n"/>
      <c r="H181" s="82" t="n"/>
      <c r="I181" s="82" t="n"/>
      <c r="J181" s="82" t="n"/>
      <c r="K181" s="82" t="n"/>
    </row>
    <row r="182">
      <c r="A182" s="82" t="n"/>
      <c r="B182" s="82" t="n"/>
      <c r="C182" s="82" t="n"/>
      <c r="D182" s="82" t="n"/>
      <c r="E182" s="82" t="n"/>
      <c r="F182" s="82" t="n"/>
      <c r="G182" s="82" t="n"/>
      <c r="H182" s="82" t="n"/>
      <c r="I182" s="82" t="n"/>
      <c r="J182" s="82" t="n"/>
      <c r="K182" s="82" t="n"/>
    </row>
    <row r="183">
      <c r="A183" s="82" t="n"/>
      <c r="B183" s="82" t="n"/>
      <c r="C183" s="82" t="n"/>
      <c r="D183" s="82" t="n"/>
      <c r="E183" s="82" t="n"/>
      <c r="F183" s="82" t="n"/>
      <c r="G183" s="82" t="n"/>
      <c r="H183" s="82" t="n"/>
      <c r="I183" s="82" t="n"/>
      <c r="J183" s="82" t="n"/>
      <c r="K183" s="82" t="n"/>
    </row>
    <row r="184">
      <c r="A184" s="82" t="n"/>
      <c r="B184" s="82" t="n"/>
      <c r="C184" s="82" t="n"/>
      <c r="D184" s="82" t="n"/>
      <c r="E184" s="82" t="n"/>
      <c r="F184" s="82" t="n"/>
      <c r="G184" s="82" t="n"/>
      <c r="H184" s="82" t="n"/>
      <c r="I184" s="82" t="n"/>
      <c r="J184" s="82" t="n"/>
      <c r="K184" s="82" t="n"/>
    </row>
    <row r="185">
      <c r="A185" s="82" t="n"/>
      <c r="B185" s="82" t="n"/>
      <c r="C185" s="82" t="n"/>
      <c r="D185" s="82" t="n"/>
      <c r="E185" s="82" t="n"/>
      <c r="F185" s="82" t="n"/>
      <c r="G185" s="82" t="n"/>
      <c r="H185" s="82" t="n"/>
      <c r="I185" s="82" t="n"/>
      <c r="J185" s="82" t="n"/>
      <c r="K185" s="82" t="n"/>
    </row>
    <row r="186">
      <c r="A186" s="82" t="n"/>
      <c r="B186" s="82" t="n"/>
      <c r="C186" s="82" t="n"/>
      <c r="D186" s="82" t="n"/>
      <c r="E186" s="82" t="n"/>
      <c r="F186" s="82" t="n"/>
      <c r="G186" s="82" t="n"/>
      <c r="H186" s="82" t="n"/>
      <c r="I186" s="82" t="n"/>
      <c r="J186" s="82" t="n"/>
      <c r="K186" s="82" t="n"/>
    </row>
    <row r="187">
      <c r="A187" s="82" t="n"/>
      <c r="B187" s="82" t="n"/>
      <c r="C187" s="82" t="n"/>
      <c r="D187" s="82" t="n"/>
      <c r="E187" s="82" t="n"/>
      <c r="F187" s="82" t="n"/>
      <c r="G187" s="82" t="n"/>
      <c r="H187" s="82" t="n"/>
      <c r="I187" s="82" t="n"/>
      <c r="J187" s="82" t="n"/>
      <c r="K187" s="82" t="n"/>
    </row>
    <row r="188">
      <c r="A188" s="82" t="n"/>
      <c r="B188" s="82" t="n"/>
      <c r="C188" s="82" t="n"/>
      <c r="D188" s="82" t="n"/>
      <c r="E188" s="82" t="n"/>
      <c r="F188" s="82" t="n"/>
      <c r="G188" s="82" t="n"/>
      <c r="H188" s="82" t="n"/>
      <c r="I188" s="82" t="n"/>
      <c r="J188" s="82" t="n"/>
      <c r="K188" s="82" t="n"/>
    </row>
    <row r="189">
      <c r="A189" s="82" t="n"/>
      <c r="B189" s="82" t="n"/>
      <c r="C189" s="82" t="n"/>
      <c r="D189" s="82" t="n"/>
      <c r="E189" s="82" t="n"/>
      <c r="F189" s="82" t="n"/>
      <c r="G189" s="82" t="n"/>
      <c r="H189" s="82" t="n"/>
      <c r="I189" s="82" t="n"/>
      <c r="J189" s="82" t="n"/>
      <c r="K189" s="82" t="n"/>
    </row>
    <row r="190">
      <c r="A190" s="82" t="n"/>
      <c r="B190" s="82" t="n"/>
      <c r="C190" s="82" t="n"/>
      <c r="D190" s="82" t="n"/>
      <c r="E190" s="82" t="n"/>
      <c r="F190" s="82" t="n"/>
      <c r="G190" s="82" t="n"/>
      <c r="H190" s="82" t="n"/>
      <c r="I190" s="82" t="n"/>
      <c r="J190" s="82" t="n"/>
      <c r="K190" s="82" t="n"/>
    </row>
    <row r="191">
      <c r="A191" s="82" t="n"/>
      <c r="B191" s="82" t="n"/>
      <c r="C191" s="82" t="n"/>
      <c r="D191" s="82" t="n"/>
      <c r="E191" s="82" t="n"/>
      <c r="F191" s="82" t="n"/>
      <c r="G191" s="82" t="n"/>
      <c r="H191" s="82" t="n"/>
      <c r="I191" s="82" t="n"/>
      <c r="J191" s="82" t="n"/>
      <c r="K191" s="82" t="n"/>
    </row>
    <row r="192">
      <c r="A192" s="82" t="n"/>
      <c r="B192" s="82" t="n"/>
      <c r="C192" s="82" t="n"/>
      <c r="D192" s="82" t="n"/>
      <c r="E192" s="82" t="n"/>
      <c r="F192" s="82" t="n"/>
      <c r="G192" s="82" t="n"/>
      <c r="H192" s="82" t="n"/>
      <c r="I192" s="82" t="n"/>
      <c r="J192" s="82" t="n"/>
      <c r="K192" s="82" t="n"/>
    </row>
    <row r="193">
      <c r="A193" s="82" t="n"/>
      <c r="B193" s="82" t="n"/>
      <c r="C193" s="82" t="n"/>
      <c r="D193" s="82" t="n"/>
      <c r="E193" s="82" t="n"/>
      <c r="F193" s="82" t="n"/>
      <c r="G193" s="82" t="n"/>
      <c r="H193" s="82" t="n"/>
      <c r="I193" s="82" t="n"/>
      <c r="J193" s="82" t="n"/>
      <c r="K193" s="82" t="n"/>
    </row>
    <row r="194">
      <c r="A194" s="82" t="n"/>
      <c r="B194" s="82" t="n"/>
      <c r="C194" s="82" t="n"/>
      <c r="D194" s="82" t="n"/>
      <c r="E194" s="82" t="n"/>
      <c r="F194" s="82" t="n"/>
      <c r="G194" s="82" t="n"/>
      <c r="H194" s="82" t="n"/>
      <c r="I194" s="82" t="n"/>
      <c r="J194" s="82" t="n"/>
      <c r="K194" s="82" t="n"/>
    </row>
    <row r="195">
      <c r="A195" s="82" t="n"/>
      <c r="B195" s="82" t="n"/>
      <c r="C195" s="82" t="n"/>
      <c r="D195" s="82" t="n"/>
      <c r="E195" s="82" t="n"/>
      <c r="F195" s="82" t="n"/>
      <c r="G195" s="82" t="n"/>
      <c r="H195" s="82" t="n"/>
      <c r="I195" s="82" t="n"/>
      <c r="J195" s="82" t="n"/>
      <c r="K195" s="82" t="n"/>
    </row>
    <row r="196">
      <c r="A196" s="82" t="n"/>
      <c r="B196" s="82" t="n"/>
      <c r="C196" s="82" t="n"/>
      <c r="D196" s="82" t="n"/>
      <c r="E196" s="82" t="n"/>
      <c r="F196" s="82" t="n"/>
      <c r="G196" s="82" t="n"/>
      <c r="H196" s="82" t="n"/>
      <c r="I196" s="82" t="n"/>
      <c r="J196" s="82" t="n"/>
      <c r="K196" s="82" t="n"/>
    </row>
    <row r="197">
      <c r="A197" s="82" t="n"/>
      <c r="B197" s="82" t="n"/>
      <c r="C197" s="82" t="n"/>
      <c r="D197" s="82" t="n"/>
      <c r="E197" s="82" t="n"/>
      <c r="F197" s="82" t="n"/>
      <c r="G197" s="82" t="n"/>
      <c r="H197" s="82" t="n"/>
      <c r="I197" s="82" t="n"/>
      <c r="J197" s="82" t="n"/>
      <c r="K197" s="82" t="n"/>
    </row>
    <row r="198">
      <c r="A198" s="82" t="n"/>
      <c r="B198" s="82" t="n"/>
      <c r="C198" s="82" t="n"/>
      <c r="D198" s="82" t="n"/>
      <c r="E198" s="82" t="n"/>
      <c r="F198" s="82" t="n"/>
      <c r="G198" s="82" t="n"/>
      <c r="H198" s="82" t="n"/>
      <c r="I198" s="82" t="n"/>
      <c r="J198" s="82" t="n"/>
      <c r="K198" s="82" t="n"/>
    </row>
    <row r="199">
      <c r="A199" s="82" t="n"/>
      <c r="B199" s="82" t="n"/>
      <c r="C199" s="82" t="n"/>
      <c r="D199" s="82" t="n"/>
      <c r="E199" s="82" t="n"/>
      <c r="F199" s="82" t="n"/>
      <c r="G199" s="82" t="n"/>
      <c r="H199" s="82" t="n"/>
      <c r="I199" s="82" t="n"/>
      <c r="J199" s="82" t="n"/>
      <c r="K199" s="82" t="n"/>
    </row>
    <row r="200">
      <c r="A200" s="82" t="n"/>
      <c r="B200" s="82" t="n"/>
      <c r="C200" s="82" t="n"/>
      <c r="D200" s="82" t="n"/>
      <c r="E200" s="82" t="n"/>
      <c r="F200" s="82" t="n"/>
      <c r="G200" s="82" t="n"/>
      <c r="H200" s="82" t="n"/>
      <c r="I200" s="82" t="n"/>
      <c r="J200" s="82" t="n"/>
      <c r="K200" s="82" t="n"/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autoFilter ref="A4:K14"/>
  <mergeCells count="2">
    <mergeCell ref="A2:K2"/>
    <mergeCell ref="A1:K1"/>
  </mergeCells>
  <pageMargins left="0.4" right="0.4" top="0.6" bottom="0.5" header="0.25" footer="0.25"/>
  <pageSetup orientation="landscape" paperSize="3" fitToHeight="0" fitToWidth="1"/>
  <headerFooter>
    <oddHeader>&amp;LNovality Store  ·  Home Renovation System&amp;RSuppliers</oddHeader>
    <oddFooter>&amp;LConfidential  ·  Digital twin of the home&amp;RPage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16352F"/>
    <outlinePr summaryBelow="1" summaryRight="1"/>
    <pageSetUpPr fitToPage="1"/>
  </sheetPr>
  <dimension ref="A1:N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6" customWidth="1" min="4" max="4"/>
    <col width="36" customWidth="1" min="5" max="5"/>
    <col width="10" customWidth="1" min="6" max="6"/>
    <col width="32" customWidth="1" min="7" max="7"/>
    <col width="12" customWidth="1" min="8" max="8"/>
    <col width="12" customWidth="1" min="9" max="9"/>
    <col width="10" customWidth="1" min="10" max="10"/>
    <col width="16" customWidth="1" min="11" max="11"/>
    <col width="28" customWidth="1" min="12" max="12"/>
    <col width="14" customWidth="1" min="13" max="13"/>
    <col width="14" customWidth="1" min="14" max="14"/>
  </cols>
  <sheetData>
    <row r="1" ht="28" customHeight="1">
      <c r="A1" s="1" t="inlineStr">
        <is>
          <t>DOCUMENTS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8" customHeight="1">
      <c r="A2" s="3" t="inlineStr">
        <is>
          <t>Project vault  ·  contracts, permits, warranties, photos, signed agreements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 ht="22" customHeight="1">
      <c r="A4" s="66" t="inlineStr">
        <is>
          <t>Doc ID</t>
        </is>
      </c>
      <c r="B4" s="66" t="inlineStr">
        <is>
          <t>Project ID</t>
        </is>
      </c>
      <c r="C4" s="66" t="inlineStr">
        <is>
          <t>Room ID</t>
        </is>
      </c>
      <c r="D4" s="66" t="inlineStr">
        <is>
          <t>Category</t>
        </is>
      </c>
      <c r="E4" s="66" t="inlineStr">
        <is>
          <t>Title</t>
        </is>
      </c>
      <c r="F4" s="66" t="inlineStr">
        <is>
          <t>Version</t>
        </is>
      </c>
      <c r="G4" s="66" t="inlineStr">
        <is>
          <t>File Link</t>
        </is>
      </c>
      <c r="H4" s="66" t="inlineStr">
        <is>
          <t>Upload Date</t>
        </is>
      </c>
      <c r="I4" s="66" t="inlineStr">
        <is>
          <t>Expiration</t>
        </is>
      </c>
      <c r="J4" s="66" t="inlineStr">
        <is>
          <t>Signed</t>
        </is>
      </c>
      <c r="K4" s="66" t="inlineStr">
        <is>
          <t>Owner</t>
        </is>
      </c>
      <c r="L4" s="66" t="inlineStr">
        <is>
          <t>Notes</t>
        </is>
      </c>
      <c r="M4" s="66" t="inlineStr">
        <is>
          <t>Days to Expiry</t>
        </is>
      </c>
      <c r="N4" s="66" t="inlineStr">
        <is>
          <t>Expiry Alert</t>
        </is>
      </c>
    </row>
    <row r="5" ht="18" customHeight="1">
      <c r="A5" s="67" t="inlineStr">
        <is>
          <t>DOC-001</t>
        </is>
      </c>
      <c r="B5" s="67" t="inlineStr">
        <is>
          <t>PRJ-001</t>
        </is>
      </c>
      <c r="C5" s="67" t="inlineStr"/>
      <c r="D5" s="67" t="inlineStr">
        <is>
          <t>Contract</t>
        </is>
      </c>
      <c r="E5" s="68" t="inlineStr">
        <is>
          <t>Ironwood GC agreement</t>
        </is>
      </c>
      <c r="F5" s="68" t="inlineStr">
        <is>
          <t>1.2</t>
        </is>
      </c>
      <c r="G5" s="68" t="inlineStr">
        <is>
          <t>drive/docs/iw-contract.pdf</t>
        </is>
      </c>
      <c r="H5" s="70" t="n">
        <v>46085</v>
      </c>
      <c r="I5" s="70" t="n"/>
      <c r="J5" s="67" t="inlineStr">
        <is>
          <t>Yes</t>
        </is>
      </c>
      <c r="K5" s="68" t="inlineStr">
        <is>
          <t>Alex Rivera</t>
        </is>
      </c>
      <c r="L5" s="68" t="inlineStr">
        <is>
          <t>Signed via DocuSign</t>
        </is>
      </c>
      <c r="M5" s="113">
        <f>IF(OR($A5="",$I5=""),"",$I5-AsOfDate)</f>
        <v/>
      </c>
      <c r="N5" s="113">
        <f>IF(OR($A5="",$I5=""),"",IF($I5&lt;AsOfDate,"Expired",IF($I5&lt;=AsOfDate+30,"Expiring","OK")))</f>
        <v/>
      </c>
    </row>
    <row r="6" ht="18" customHeight="1">
      <c r="A6" s="75" t="inlineStr">
        <is>
          <t>DOC-002</t>
        </is>
      </c>
      <c r="B6" s="75" t="inlineStr">
        <is>
          <t>PRJ-001</t>
        </is>
      </c>
      <c r="C6" s="75" t="inlineStr"/>
      <c r="D6" s="75" t="inlineStr">
        <is>
          <t>Contract</t>
        </is>
      </c>
      <c r="E6" s="76" t="inlineStr">
        <is>
          <t>Luna Interiors design services</t>
        </is>
      </c>
      <c r="F6" s="76" t="inlineStr">
        <is>
          <t>1.0</t>
        </is>
      </c>
      <c r="G6" s="76" t="inlineStr">
        <is>
          <t>drive/docs/luna-contract.pdf</t>
        </is>
      </c>
      <c r="H6" s="78" t="n">
        <v>46087</v>
      </c>
      <c r="I6" s="78" t="n"/>
      <c r="J6" s="75" t="inlineStr">
        <is>
          <t>Yes</t>
        </is>
      </c>
      <c r="K6" s="76" t="inlineStr">
        <is>
          <t>Alex Rivera</t>
        </is>
      </c>
      <c r="L6" s="76" t="inlineStr"/>
      <c r="M6" s="113">
        <f>IF(OR($A6="",$I6=""),"",$I6-AsOfDate)</f>
        <v/>
      </c>
      <c r="N6" s="113">
        <f>IF(OR($A6="",$I6=""),"",IF($I6&lt;AsOfDate,"Expired",IF($I6&lt;=AsOfDate+30,"Expiring","OK")))</f>
        <v/>
      </c>
    </row>
    <row r="7" ht="18" customHeight="1">
      <c r="A7" s="67" t="inlineStr">
        <is>
          <t>DOC-003</t>
        </is>
      </c>
      <c r="B7" s="67" t="inlineStr">
        <is>
          <t>PRJ-001</t>
        </is>
      </c>
      <c r="C7" s="67" t="inlineStr">
        <is>
          <t>RM-01</t>
        </is>
      </c>
      <c r="D7" s="67" t="inlineStr">
        <is>
          <t>Contract</t>
        </is>
      </c>
      <c r="E7" s="68" t="inlineStr">
        <is>
          <t>Cascade Cabinets millwork</t>
        </is>
      </c>
      <c r="F7" s="68" t="inlineStr">
        <is>
          <t>1.1</t>
        </is>
      </c>
      <c r="G7" s="68" t="inlineStr">
        <is>
          <t>drive/docs/cascade-contract.pdf</t>
        </is>
      </c>
      <c r="H7" s="70" t="n">
        <v>46170</v>
      </c>
      <c r="I7" s="70" t="n"/>
      <c r="J7" s="67" t="inlineStr">
        <is>
          <t>Yes</t>
        </is>
      </c>
      <c r="K7" s="68" t="inlineStr">
        <is>
          <t>Alex Rivera</t>
        </is>
      </c>
      <c r="L7" s="68" t="inlineStr">
        <is>
          <t>Includes install</t>
        </is>
      </c>
      <c r="M7" s="113">
        <f>IF(OR($A7="",$I7=""),"",$I7-AsOfDate)</f>
        <v/>
      </c>
      <c r="N7" s="113">
        <f>IF(OR($A7="",$I7=""),"",IF($I7&lt;AsOfDate,"Expired",IF($I7&lt;=AsOfDate+30,"Expiring","OK")))</f>
        <v/>
      </c>
    </row>
    <row r="8" ht="18" customHeight="1">
      <c r="A8" s="75" t="inlineStr">
        <is>
          <t>DOC-004</t>
        </is>
      </c>
      <c r="B8" s="75" t="inlineStr">
        <is>
          <t>PRJ-001</t>
        </is>
      </c>
      <c r="C8" s="75" t="inlineStr"/>
      <c r="D8" s="75" t="inlineStr">
        <is>
          <t>Building Permit</t>
        </is>
      </c>
      <c r="E8" s="76" t="inlineStr">
        <is>
          <t>Residential remodel permit</t>
        </is>
      </c>
      <c r="F8" s="76" t="inlineStr">
        <is>
          <t>1.0</t>
        </is>
      </c>
      <c r="G8" s="76" t="inlineStr">
        <is>
          <t>drive/docs/permit-441.pdf</t>
        </is>
      </c>
      <c r="H8" s="78" t="n">
        <v>46124</v>
      </c>
      <c r="I8" s="78" t="n">
        <v>46489</v>
      </c>
      <c r="J8" s="75" t="inlineStr">
        <is>
          <t>Yes</t>
        </is>
      </c>
      <c r="K8" s="76" t="inlineStr">
        <is>
          <t>Marcus Webb</t>
        </is>
      </c>
      <c r="L8" s="76" t="inlineStr">
        <is>
          <t>Expires 12 months</t>
        </is>
      </c>
      <c r="M8" s="113">
        <f>IF(OR($A8="",$I8=""),"",$I8-AsOfDate)</f>
        <v/>
      </c>
      <c r="N8" s="113">
        <f>IF(OR($A8="",$I8=""),"",IF($I8&lt;AsOfDate,"Expired",IF($I8&lt;=AsOfDate+30,"Expiring","OK")))</f>
        <v/>
      </c>
    </row>
    <row r="9" ht="18" customHeight="1">
      <c r="A9" s="67" t="inlineStr">
        <is>
          <t>DOC-005</t>
        </is>
      </c>
      <c r="B9" s="67" t="inlineStr">
        <is>
          <t>PRJ-001</t>
        </is>
      </c>
      <c r="C9" s="67" t="inlineStr"/>
      <c r="D9" s="67" t="inlineStr">
        <is>
          <t>License</t>
        </is>
      </c>
      <c r="E9" s="68" t="inlineStr">
        <is>
          <t>Ironwood CCB + insurance cert</t>
        </is>
      </c>
      <c r="F9" s="68" t="inlineStr">
        <is>
          <t>2026</t>
        </is>
      </c>
      <c r="G9" s="68" t="inlineStr">
        <is>
          <t>drive/docs/iw-insurance.pdf</t>
        </is>
      </c>
      <c r="H9" s="70" t="n">
        <v>46085</v>
      </c>
      <c r="I9" s="70" t="n">
        <v>46507</v>
      </c>
      <c r="J9" s="67" t="inlineStr">
        <is>
          <t>No</t>
        </is>
      </c>
      <c r="K9" s="68" t="inlineStr">
        <is>
          <t>Marcus Webb</t>
        </is>
      </c>
      <c r="L9" s="68" t="inlineStr">
        <is>
          <t>Remind 30 days prior</t>
        </is>
      </c>
      <c r="M9" s="113">
        <f>IF(OR($A9="",$I9=""),"",$I9-AsOfDate)</f>
        <v/>
      </c>
      <c r="N9" s="113">
        <f>IF(OR($A9="",$I9=""),"",IF($I9&lt;AsOfDate,"Expired",IF($I9&lt;=AsOfDate+30,"Expiring","OK")))</f>
        <v/>
      </c>
    </row>
    <row r="10" ht="18" customHeight="1">
      <c r="A10" s="75" t="inlineStr">
        <is>
          <t>DOC-006</t>
        </is>
      </c>
      <c r="B10" s="75" t="inlineStr">
        <is>
          <t>PRJ-001</t>
        </is>
      </c>
      <c r="C10" s="75" t="inlineStr">
        <is>
          <t>RM-01</t>
        </is>
      </c>
      <c r="D10" s="75" t="inlineStr">
        <is>
          <t>Floor Plan</t>
        </is>
      </c>
      <c r="E10" s="76" t="inlineStr">
        <is>
          <t>Kitchen layout v4</t>
        </is>
      </c>
      <c r="F10" s="76" t="inlineStr">
        <is>
          <t>4.0</t>
        </is>
      </c>
      <c r="G10" s="76" t="inlineStr">
        <is>
          <t>drive/plans/kitchen-v4.pdf</t>
        </is>
      </c>
      <c r="H10" s="78" t="n">
        <v>46152</v>
      </c>
      <c r="I10" s="78" t="n"/>
      <c r="J10" s="75" t="inlineStr">
        <is>
          <t>Yes</t>
        </is>
      </c>
      <c r="K10" s="76" t="inlineStr">
        <is>
          <t>Sofia Alvarez</t>
        </is>
      </c>
      <c r="L10" s="76" t="inlineStr">
        <is>
          <t>Supersedes v3</t>
        </is>
      </c>
      <c r="M10" s="113">
        <f>IF(OR($A10="",$I10=""),"",$I10-AsOfDate)</f>
        <v/>
      </c>
      <c r="N10" s="113">
        <f>IF(OR($A10="",$I10=""),"",IF($I10&lt;AsOfDate,"Expired",IF($I10&lt;=AsOfDate+30,"Expiring","OK")))</f>
        <v/>
      </c>
    </row>
    <row r="11" ht="18" customHeight="1">
      <c r="A11" s="67" t="inlineStr">
        <is>
          <t>DOC-007</t>
        </is>
      </c>
      <c r="B11" s="67" t="inlineStr">
        <is>
          <t>PRJ-001</t>
        </is>
      </c>
      <c r="C11" s="67" t="inlineStr">
        <is>
          <t>RM-03</t>
        </is>
      </c>
      <c r="D11" s="67" t="inlineStr">
        <is>
          <t>Floor Plan</t>
        </is>
      </c>
      <c r="E11" s="68" t="inlineStr">
        <is>
          <t>Primary bath plan</t>
        </is>
      </c>
      <c r="F11" s="68" t="inlineStr">
        <is>
          <t>2.0</t>
        </is>
      </c>
      <c r="G11" s="68" t="inlineStr">
        <is>
          <t>drive/plans/bath-v2.pdf</t>
        </is>
      </c>
      <c r="H11" s="70" t="n">
        <v>46154</v>
      </c>
      <c r="I11" s="70" t="n"/>
      <c r="J11" s="67" t="inlineStr">
        <is>
          <t>Yes</t>
        </is>
      </c>
      <c r="K11" s="68" t="inlineStr">
        <is>
          <t>Sofia Alvarez</t>
        </is>
      </c>
      <c r="L11" s="68" t="inlineStr"/>
      <c r="M11" s="113">
        <f>IF(OR($A11="",$I11=""),"",$I11-AsOfDate)</f>
        <v/>
      </c>
      <c r="N11" s="113">
        <f>IF(OR($A11="",$I11=""),"",IF($I11&lt;AsOfDate,"Expired",IF($I11&lt;=AsOfDate+30,"Expiring","OK")))</f>
        <v/>
      </c>
    </row>
    <row r="12" ht="18" customHeight="1">
      <c r="A12" s="75" t="inlineStr">
        <is>
          <t>DOC-008</t>
        </is>
      </c>
      <c r="B12" s="75" t="inlineStr">
        <is>
          <t>PRJ-001</t>
        </is>
      </c>
      <c r="C12" s="75" t="inlineStr"/>
      <c r="D12" s="75" t="inlineStr">
        <is>
          <t>Inspection Report</t>
        </is>
      </c>
      <c r="E12" s="76" t="inlineStr">
        <is>
          <t>Plumbing rough inspection</t>
        </is>
      </c>
      <c r="F12" s="76" t="inlineStr">
        <is>
          <t>1.0</t>
        </is>
      </c>
      <c r="G12" s="76" t="inlineStr">
        <is>
          <t>drive/insp/plumb-rough.pdf</t>
        </is>
      </c>
      <c r="H12" s="78" t="n">
        <v>46203</v>
      </c>
      <c r="I12" s="78" t="n"/>
      <c r="J12" s="75" t="inlineStr">
        <is>
          <t>No</t>
        </is>
      </c>
      <c r="K12" s="76" t="inlineStr">
        <is>
          <t>Riley Grant</t>
        </is>
      </c>
      <c r="L12" s="76" t="inlineStr">
        <is>
          <t>Pass</t>
        </is>
      </c>
      <c r="M12" s="113">
        <f>IF(OR($A12="",$I12=""),"",$I12-AsOfDate)</f>
        <v/>
      </c>
      <c r="N12" s="113">
        <f>IF(OR($A12="",$I12=""),"",IF($I12&lt;AsOfDate,"Expired",IF($I12&lt;=AsOfDate+30,"Expiring","OK")))</f>
        <v/>
      </c>
    </row>
    <row r="13" ht="18" customHeight="1">
      <c r="A13" s="67" t="inlineStr">
        <is>
          <t>DOC-009</t>
        </is>
      </c>
      <c r="B13" s="67" t="inlineStr">
        <is>
          <t>PRJ-001</t>
        </is>
      </c>
      <c r="C13" s="67" t="inlineStr"/>
      <c r="D13" s="67" t="inlineStr">
        <is>
          <t>Inspection Report</t>
        </is>
      </c>
      <c r="E13" s="68" t="inlineStr">
        <is>
          <t>Electrical rough inspection</t>
        </is>
      </c>
      <c r="F13" s="68" t="inlineStr">
        <is>
          <t>1.0</t>
        </is>
      </c>
      <c r="G13" s="68" t="inlineStr">
        <is>
          <t>drive/insp/elec-rough.pdf</t>
        </is>
      </c>
      <c r="H13" s="70" t="n">
        <v>46205</v>
      </c>
      <c r="I13" s="70" t="n"/>
      <c r="J13" s="67" t="inlineStr">
        <is>
          <t>No</t>
        </is>
      </c>
      <c r="K13" s="68" t="inlineStr">
        <is>
          <t>Riley Grant</t>
        </is>
      </c>
      <c r="L13" s="68" t="inlineStr">
        <is>
          <t>Pass</t>
        </is>
      </c>
      <c r="M13" s="113">
        <f>IF(OR($A13="",$I13=""),"",$I13-AsOfDate)</f>
        <v/>
      </c>
      <c r="N13" s="113">
        <f>IF(OR($A13="",$I13=""),"",IF($I13&lt;AsOfDate,"Expired",IF($I13&lt;=AsOfDate+30,"Expiring","OK")))</f>
        <v/>
      </c>
    </row>
    <row r="14" ht="18" customHeight="1">
      <c r="A14" s="75" t="inlineStr">
        <is>
          <t>DOC-010</t>
        </is>
      </c>
      <c r="B14" s="75" t="inlineStr">
        <is>
          <t>PRJ-001</t>
        </is>
      </c>
      <c r="C14" s="75" t="inlineStr">
        <is>
          <t>RM-03</t>
        </is>
      </c>
      <c r="D14" s="75" t="inlineStr">
        <is>
          <t>Warranty</t>
        </is>
      </c>
      <c r="E14" s="76" t="inlineStr">
        <is>
          <t>Heritage tile labor + material</t>
        </is>
      </c>
      <c r="F14" s="76" t="inlineStr">
        <is>
          <t>1.0</t>
        </is>
      </c>
      <c r="G14" s="76" t="inlineStr">
        <is>
          <t>drive/warr/heritage.pdf</t>
        </is>
      </c>
      <c r="H14" s="78" t="n">
        <v>46246</v>
      </c>
      <c r="I14" s="78" t="n">
        <v>46977</v>
      </c>
      <c r="J14" s="75" t="inlineStr">
        <is>
          <t>No</t>
        </is>
      </c>
      <c r="K14" s="76" t="inlineStr">
        <is>
          <t>Priya Shah</t>
        </is>
      </c>
      <c r="L14" s="76" t="inlineStr">
        <is>
          <t>2 year labor</t>
        </is>
      </c>
      <c r="M14" s="113">
        <f>IF(OR($A14="",$I14=""),"",$I14-AsOfDate)</f>
        <v/>
      </c>
      <c r="N14" s="113">
        <f>IF(OR($A14="",$I14=""),"",IF($I14&lt;AsOfDate,"Expired",IF($I14&lt;=AsOfDate+30,"Expiring","OK")))</f>
        <v/>
      </c>
    </row>
    <row r="15" ht="18" customHeight="1">
      <c r="A15" s="67" t="inlineStr">
        <is>
          <t>DOC-011</t>
        </is>
      </c>
      <c r="B15" s="67" t="inlineStr">
        <is>
          <t>PRJ-001</t>
        </is>
      </c>
      <c r="C15" s="67" t="inlineStr">
        <is>
          <t>RM-03</t>
        </is>
      </c>
      <c r="D15" s="67" t="inlineStr">
        <is>
          <t>Product Manual</t>
        </is>
      </c>
      <c r="E15" s="68" t="inlineStr">
        <is>
          <t>WarmFloor thermostat</t>
        </is>
      </c>
      <c r="F15" s="68" t="inlineStr">
        <is>
          <t>1.0</t>
        </is>
      </c>
      <c r="G15" s="68" t="inlineStr">
        <is>
          <t>drive/manuals/wf.pdf</t>
        </is>
      </c>
      <c r="H15" s="70" t="n">
        <v>46209</v>
      </c>
      <c r="I15" s="70" t="n"/>
      <c r="J15" s="67" t="inlineStr">
        <is>
          <t>No</t>
        </is>
      </c>
      <c r="K15" s="68" t="inlineStr">
        <is>
          <t>Sam Ortiz</t>
        </is>
      </c>
      <c r="L15" s="68" t="inlineStr"/>
      <c r="M15" s="113">
        <f>IF(OR($A15="",$I15=""),"",$I15-AsOfDate)</f>
        <v/>
      </c>
      <c r="N15" s="113">
        <f>IF(OR($A15="",$I15=""),"",IF($I15&lt;AsOfDate,"Expired",IF($I15&lt;=AsOfDate+30,"Expiring","OK")))</f>
        <v/>
      </c>
    </row>
    <row r="16" ht="18" customHeight="1">
      <c r="A16" s="75" t="inlineStr">
        <is>
          <t>DOC-012</t>
        </is>
      </c>
      <c r="B16" s="75" t="inlineStr">
        <is>
          <t>PRJ-001</t>
        </is>
      </c>
      <c r="C16" s="75" t="inlineStr">
        <is>
          <t>RM-01</t>
        </is>
      </c>
      <c r="D16" s="75" t="inlineStr">
        <is>
          <t>Invoice</t>
        </is>
      </c>
      <c r="E16" s="76" t="inlineStr">
        <is>
          <t>Cascade deposit INV-CC-501</t>
        </is>
      </c>
      <c r="F16" s="76" t="inlineStr">
        <is>
          <t>1.0</t>
        </is>
      </c>
      <c r="G16" s="76" t="inlineStr">
        <is>
          <t>drive/inv/cc-501.pdf</t>
        </is>
      </c>
      <c r="H16" s="78" t="n">
        <v>46236</v>
      </c>
      <c r="I16" s="78" t="n"/>
      <c r="J16" s="75" t="inlineStr">
        <is>
          <t>No</t>
        </is>
      </c>
      <c r="K16" s="76" t="inlineStr">
        <is>
          <t>Jamie Cole</t>
        </is>
      </c>
      <c r="L16" s="76" t="inlineStr">
        <is>
          <t>Paid</t>
        </is>
      </c>
      <c r="M16" s="113">
        <f>IF(OR($A16="",$I16=""),"",$I16-AsOfDate)</f>
        <v/>
      </c>
      <c r="N16" s="113">
        <f>IF(OR($A16="",$I16=""),"",IF($I16&lt;AsOfDate,"Expired",IF($I16&lt;=AsOfDate+30,"Expiring","OK")))</f>
        <v/>
      </c>
    </row>
    <row r="17" ht="18" customHeight="1">
      <c r="A17" s="67" t="inlineStr">
        <is>
          <t>DOC-013</t>
        </is>
      </c>
      <c r="B17" s="67" t="inlineStr">
        <is>
          <t>PRJ-001</t>
        </is>
      </c>
      <c r="C17" s="67" t="inlineStr">
        <is>
          <t>RM-01</t>
        </is>
      </c>
      <c r="D17" s="67" t="inlineStr">
        <is>
          <t>Photo</t>
        </is>
      </c>
      <c r="E17" s="68" t="inlineStr">
        <is>
          <t>Kitchen before set</t>
        </is>
      </c>
      <c r="F17" s="68" t="inlineStr">
        <is>
          <t>1.0</t>
        </is>
      </c>
      <c r="G17" s="68" t="inlineStr">
        <is>
          <t>drive/photos/kitchen-before</t>
        </is>
      </c>
      <c r="H17" s="70" t="n">
        <v>46093</v>
      </c>
      <c r="I17" s="70" t="n"/>
      <c r="J17" s="67" t="inlineStr">
        <is>
          <t>No</t>
        </is>
      </c>
      <c r="K17" s="68" t="inlineStr">
        <is>
          <t>Alex Rivera</t>
        </is>
      </c>
      <c r="L17" s="68" t="inlineStr">
        <is>
          <t>20 images</t>
        </is>
      </c>
      <c r="M17" s="113">
        <f>IF(OR($A17="",$I17=""),"",$I17-AsOfDate)</f>
        <v/>
      </c>
      <c r="N17" s="113">
        <f>IF(OR($A17="",$I17=""),"",IF($I17&lt;AsOfDate,"Expired",IF($I17&lt;=AsOfDate+30,"Expiring","OK")))</f>
        <v/>
      </c>
    </row>
    <row r="18" ht="18" customHeight="1">
      <c r="A18" s="75" t="inlineStr">
        <is>
          <t>DOC-014</t>
        </is>
      </c>
      <c r="B18" s="75" t="inlineStr">
        <is>
          <t>PRJ-001</t>
        </is>
      </c>
      <c r="C18" s="75" t="inlineStr"/>
      <c r="D18" s="75" t="inlineStr">
        <is>
          <t>Insurance</t>
        </is>
      </c>
      <c r="E18" s="76" t="inlineStr">
        <is>
          <t>Homeowner policy declarations</t>
        </is>
      </c>
      <c r="F18" s="76" t="inlineStr">
        <is>
          <t>2026</t>
        </is>
      </c>
      <c r="G18" s="76" t="inlineStr">
        <is>
          <t>drive/docs/ho-policy.pdf</t>
        </is>
      </c>
      <c r="H18" s="78" t="n">
        <v>46027</v>
      </c>
      <c r="I18" s="78" t="n">
        <v>46392</v>
      </c>
      <c r="J18" s="75" t="inlineStr">
        <is>
          <t>No</t>
        </is>
      </c>
      <c r="K18" s="76" t="inlineStr">
        <is>
          <t>Alex Rivera</t>
        </is>
      </c>
      <c r="L18" s="76" t="inlineStr">
        <is>
          <t>Notify carrier of remodel</t>
        </is>
      </c>
      <c r="M18" s="113">
        <f>IF(OR($A18="",$I18=""),"",$I18-AsOfDate)</f>
        <v/>
      </c>
      <c r="N18" s="113">
        <f>IF(OR($A18="",$I18=""),"",IF($I18&lt;AsOfDate,"Expired",IF($I18&lt;=AsOfDate+30,"Expiring","OK")))</f>
        <v/>
      </c>
    </row>
    <row r="19" ht="18" customHeight="1">
      <c r="A19" s="67" t="inlineStr">
        <is>
          <t>DOC-015</t>
        </is>
      </c>
      <c r="B19" s="67" t="inlineStr">
        <is>
          <t>PRJ-001</t>
        </is>
      </c>
      <c r="C19" s="67" t="inlineStr"/>
      <c r="D19" s="67" t="inlineStr">
        <is>
          <t>Change Order</t>
        </is>
      </c>
      <c r="E19" s="68" t="inlineStr">
        <is>
          <t>CO-002 island porcelain</t>
        </is>
      </c>
      <c r="F19" s="68" t="inlineStr">
        <is>
          <t>1.0</t>
        </is>
      </c>
      <c r="G19" s="68" t="inlineStr">
        <is>
          <t>drive/co/co-002.pdf</t>
        </is>
      </c>
      <c r="H19" s="70" t="n">
        <v>46255</v>
      </c>
      <c r="I19" s="70" t="n"/>
      <c r="J19" s="67" t="inlineStr">
        <is>
          <t>No</t>
        </is>
      </c>
      <c r="K19" s="68" t="inlineStr">
        <is>
          <t>Alex Rivera</t>
        </is>
      </c>
      <c r="L19" s="68" t="inlineStr">
        <is>
          <t>Awaiting signature</t>
        </is>
      </c>
      <c r="M19" s="113">
        <f>IF(OR($A19="",$I19=""),"",$I19-AsOfDate)</f>
        <v/>
      </c>
      <c r="N19" s="113">
        <f>IF(OR($A19="",$I19=""),"",IF($I19&lt;AsOfDate,"Expired",IF($I19&lt;=AsOfDate+30,"Expiring","OK")))</f>
        <v/>
      </c>
    </row>
    <row r="20" ht="18" customHeight="1">
      <c r="A20" s="75" t="inlineStr">
        <is>
          <t>DOC-016</t>
        </is>
      </c>
      <c r="B20" s="75" t="inlineStr">
        <is>
          <t>PRJ-002</t>
        </is>
      </c>
      <c r="C20" s="75" t="inlineStr">
        <is>
          <t>RM-09</t>
        </is>
      </c>
      <c r="D20" s="75" t="inlineStr">
        <is>
          <t>Photo</t>
        </is>
      </c>
      <c r="E20" s="76" t="inlineStr">
        <is>
          <t>Cabin bath before</t>
        </is>
      </c>
      <c r="F20" s="76" t="inlineStr">
        <is>
          <t>1.0</t>
        </is>
      </c>
      <c r="G20" s="76" t="inlineStr">
        <is>
          <t>drive/photos/cabin-before</t>
        </is>
      </c>
      <c r="H20" s="78" t="n">
        <v>46233</v>
      </c>
      <c r="I20" s="78" t="n"/>
      <c r="J20" s="75" t="inlineStr">
        <is>
          <t>No</t>
        </is>
      </c>
      <c r="K20" s="76" t="inlineStr">
        <is>
          <t>Alex Rivera</t>
        </is>
      </c>
      <c r="L20" s="76" t="inlineStr"/>
      <c r="M20" s="113">
        <f>IF(OR($A20="",$I20=""),"",$I20-AsOfDate)</f>
        <v/>
      </c>
      <c r="N20" s="113">
        <f>IF(OR($A20="",$I20=""),"",IF($I20&lt;AsOfDate,"Expired",IF($I20&lt;=AsOfDate+30,"Expiring","OK")))</f>
        <v/>
      </c>
    </row>
    <row r="21">
      <c r="A21" s="82" t="n"/>
      <c r="B21" s="82" t="n"/>
      <c r="C21" s="82" t="n"/>
      <c r="D21" s="82" t="n"/>
      <c r="E21" s="82" t="n"/>
      <c r="F21" s="82" t="n"/>
      <c r="G21" s="82" t="n"/>
      <c r="H21" s="82" t="n"/>
      <c r="I21" s="82" t="n"/>
      <c r="J21" s="82" t="n"/>
      <c r="K21" s="82" t="n"/>
      <c r="L21" s="82" t="n"/>
    </row>
    <row r="22">
      <c r="A22" s="82" t="n"/>
      <c r="B22" s="82" t="n"/>
      <c r="C22" s="82" t="n"/>
      <c r="D22" s="82" t="n"/>
      <c r="E22" s="82" t="n"/>
      <c r="F22" s="82" t="n"/>
      <c r="G22" s="82" t="n"/>
      <c r="H22" s="82" t="n"/>
      <c r="I22" s="82" t="n"/>
      <c r="J22" s="82" t="n"/>
      <c r="K22" s="82" t="n"/>
      <c r="L22" s="82" t="n"/>
    </row>
    <row r="23">
      <c r="A23" s="82" t="n"/>
      <c r="B23" s="82" t="n"/>
      <c r="C23" s="82" t="n"/>
      <c r="D23" s="82" t="n"/>
      <c r="E23" s="82" t="n"/>
      <c r="F23" s="82" t="n"/>
      <c r="G23" s="82" t="n"/>
      <c r="H23" s="82" t="n"/>
      <c r="I23" s="82" t="n"/>
      <c r="J23" s="82" t="n"/>
      <c r="K23" s="82" t="n"/>
      <c r="L23" s="82" t="n"/>
    </row>
    <row r="24">
      <c r="A24" s="82" t="n"/>
      <c r="B24" s="82" t="n"/>
      <c r="C24" s="82" t="n"/>
      <c r="D24" s="82" t="n"/>
      <c r="E24" s="82" t="n"/>
      <c r="F24" s="82" t="n"/>
      <c r="G24" s="82" t="n"/>
      <c r="H24" s="82" t="n"/>
      <c r="I24" s="82" t="n"/>
      <c r="J24" s="82" t="n"/>
      <c r="K24" s="82" t="n"/>
      <c r="L24" s="82" t="n"/>
    </row>
    <row r="25">
      <c r="A25" s="82" t="n"/>
      <c r="B25" s="82" t="n"/>
      <c r="C25" s="82" t="n"/>
      <c r="D25" s="82" t="n"/>
      <c r="E25" s="82" t="n"/>
      <c r="F25" s="82" t="n"/>
      <c r="G25" s="82" t="n"/>
      <c r="H25" s="82" t="n"/>
      <c r="I25" s="82" t="n"/>
      <c r="J25" s="82" t="n"/>
      <c r="K25" s="82" t="n"/>
      <c r="L25" s="82" t="n"/>
    </row>
    <row r="26">
      <c r="A26" s="82" t="n"/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  <c r="L26" s="82" t="n"/>
    </row>
    <row r="27">
      <c r="A27" s="82" t="n"/>
      <c r="B27" s="82" t="n"/>
      <c r="C27" s="82" t="n"/>
      <c r="D27" s="82" t="n"/>
      <c r="E27" s="82" t="n"/>
      <c r="F27" s="82" t="n"/>
      <c r="G27" s="82" t="n"/>
      <c r="H27" s="82" t="n"/>
      <c r="I27" s="82" t="n"/>
      <c r="J27" s="82" t="n"/>
      <c r="K27" s="82" t="n"/>
      <c r="L27" s="82" t="n"/>
    </row>
    <row r="28">
      <c r="A28" s="82" t="n"/>
      <c r="B28" s="82" t="n"/>
      <c r="C28" s="82" t="n"/>
      <c r="D28" s="82" t="n"/>
      <c r="E28" s="82" t="n"/>
      <c r="F28" s="82" t="n"/>
      <c r="G28" s="82" t="n"/>
      <c r="H28" s="82" t="n"/>
      <c r="I28" s="82" t="n"/>
      <c r="J28" s="82" t="n"/>
      <c r="K28" s="82" t="n"/>
      <c r="L28" s="82" t="n"/>
    </row>
    <row r="29">
      <c r="A29" s="82" t="n"/>
      <c r="B29" s="82" t="n"/>
      <c r="C29" s="82" t="n"/>
      <c r="D29" s="82" t="n"/>
      <c r="E29" s="82" t="n"/>
      <c r="F29" s="82" t="n"/>
      <c r="G29" s="82" t="n"/>
      <c r="H29" s="82" t="n"/>
      <c r="I29" s="82" t="n"/>
      <c r="J29" s="82" t="n"/>
      <c r="K29" s="82" t="n"/>
      <c r="L29" s="82" t="n"/>
    </row>
    <row r="30">
      <c r="A30" s="82" t="n"/>
      <c r="B30" s="82" t="n"/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</row>
    <row r="31">
      <c r="A31" s="82" t="n"/>
      <c r="B31" s="82" t="n"/>
      <c r="C31" s="82" t="n"/>
      <c r="D31" s="82" t="n"/>
      <c r="E31" s="82" t="n"/>
      <c r="F31" s="82" t="n"/>
      <c r="G31" s="82" t="n"/>
      <c r="H31" s="82" t="n"/>
      <c r="I31" s="82" t="n"/>
      <c r="J31" s="82" t="n"/>
      <c r="K31" s="82" t="n"/>
      <c r="L31" s="82" t="n"/>
    </row>
    <row r="32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  <c r="L32" s="82" t="n"/>
    </row>
    <row r="33">
      <c r="A33" s="82" t="n"/>
      <c r="B33" s="82" t="n"/>
      <c r="C33" s="82" t="n"/>
      <c r="D33" s="82" t="n"/>
      <c r="E33" s="82" t="n"/>
      <c r="F33" s="82" t="n"/>
      <c r="G33" s="82" t="n"/>
      <c r="H33" s="82" t="n"/>
      <c r="I33" s="82" t="n"/>
      <c r="J33" s="82" t="n"/>
      <c r="K33" s="82" t="n"/>
      <c r="L33" s="82" t="n"/>
    </row>
    <row r="34">
      <c r="A34" s="82" t="n"/>
      <c r="B34" s="82" t="n"/>
      <c r="C34" s="82" t="n"/>
      <c r="D34" s="82" t="n"/>
      <c r="E34" s="82" t="n"/>
      <c r="F34" s="82" t="n"/>
      <c r="G34" s="82" t="n"/>
      <c r="H34" s="82" t="n"/>
      <c r="I34" s="82" t="n"/>
      <c r="J34" s="82" t="n"/>
      <c r="K34" s="82" t="n"/>
      <c r="L34" s="82" t="n"/>
    </row>
    <row r="35">
      <c r="A35" s="82" t="n"/>
      <c r="B35" s="82" t="n"/>
      <c r="C35" s="82" t="n"/>
      <c r="D35" s="82" t="n"/>
      <c r="E35" s="82" t="n"/>
      <c r="F35" s="82" t="n"/>
      <c r="G35" s="82" t="n"/>
      <c r="H35" s="82" t="n"/>
      <c r="I35" s="82" t="n"/>
      <c r="J35" s="82" t="n"/>
      <c r="K35" s="82" t="n"/>
      <c r="L35" s="82" t="n"/>
    </row>
    <row r="36">
      <c r="A36" s="82" t="n"/>
      <c r="B36" s="82" t="n"/>
      <c r="C36" s="82" t="n"/>
      <c r="D36" s="82" t="n"/>
      <c r="E36" s="82" t="n"/>
      <c r="F36" s="82" t="n"/>
      <c r="G36" s="82" t="n"/>
      <c r="H36" s="82" t="n"/>
      <c r="I36" s="82" t="n"/>
      <c r="J36" s="82" t="n"/>
      <c r="K36" s="82" t="n"/>
      <c r="L36" s="82" t="n"/>
    </row>
    <row r="37">
      <c r="A37" s="82" t="n"/>
      <c r="B37" s="82" t="n"/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  <c r="L37" s="82" t="n"/>
    </row>
    <row r="38">
      <c r="A38" s="82" t="n"/>
      <c r="B38" s="82" t="n"/>
      <c r="C38" s="82" t="n"/>
      <c r="D38" s="82" t="n"/>
      <c r="E38" s="82" t="n"/>
      <c r="F38" s="82" t="n"/>
      <c r="G38" s="82" t="n"/>
      <c r="H38" s="82" t="n"/>
      <c r="I38" s="82" t="n"/>
      <c r="J38" s="82" t="n"/>
      <c r="K38" s="82" t="n"/>
      <c r="L38" s="82" t="n"/>
    </row>
    <row r="39">
      <c r="A39" s="82" t="n"/>
      <c r="B39" s="82" t="n"/>
      <c r="C39" s="82" t="n"/>
      <c r="D39" s="82" t="n"/>
      <c r="E39" s="82" t="n"/>
      <c r="F39" s="82" t="n"/>
      <c r="G39" s="82" t="n"/>
      <c r="H39" s="82" t="n"/>
      <c r="I39" s="82" t="n"/>
      <c r="J39" s="82" t="n"/>
      <c r="K39" s="82" t="n"/>
      <c r="L39" s="82" t="n"/>
    </row>
    <row r="40">
      <c r="A40" s="82" t="n"/>
      <c r="B40" s="82" t="n"/>
      <c r="C40" s="82" t="n"/>
      <c r="D40" s="82" t="n"/>
      <c r="E40" s="82" t="n"/>
      <c r="F40" s="82" t="n"/>
      <c r="G40" s="82" t="n"/>
      <c r="H40" s="82" t="n"/>
      <c r="I40" s="82" t="n"/>
      <c r="J40" s="82" t="n"/>
      <c r="K40" s="82" t="n"/>
      <c r="L40" s="82" t="n"/>
    </row>
    <row r="41">
      <c r="A41" s="82" t="n"/>
      <c r="B41" s="82" t="n"/>
      <c r="C41" s="82" t="n"/>
      <c r="D41" s="82" t="n"/>
      <c r="E41" s="82" t="n"/>
      <c r="F41" s="82" t="n"/>
      <c r="G41" s="82" t="n"/>
      <c r="H41" s="82" t="n"/>
      <c r="I41" s="82" t="n"/>
      <c r="J41" s="82" t="n"/>
      <c r="K41" s="82" t="n"/>
      <c r="L41" s="82" t="n"/>
    </row>
    <row r="42">
      <c r="A42" s="82" t="n"/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  <c r="L42" s="82" t="n"/>
    </row>
    <row r="43">
      <c r="A43" s="82" t="n"/>
      <c r="B43" s="82" t="n"/>
      <c r="C43" s="82" t="n"/>
      <c r="D43" s="82" t="n"/>
      <c r="E43" s="82" t="n"/>
      <c r="F43" s="82" t="n"/>
      <c r="G43" s="82" t="n"/>
      <c r="H43" s="82" t="n"/>
      <c r="I43" s="82" t="n"/>
      <c r="J43" s="82" t="n"/>
      <c r="K43" s="82" t="n"/>
      <c r="L43" s="82" t="n"/>
    </row>
    <row r="44">
      <c r="A44" s="82" t="n"/>
      <c r="B44" s="82" t="n"/>
      <c r="C44" s="82" t="n"/>
      <c r="D44" s="82" t="n"/>
      <c r="E44" s="82" t="n"/>
      <c r="F44" s="82" t="n"/>
      <c r="G44" s="82" t="n"/>
      <c r="H44" s="82" t="n"/>
      <c r="I44" s="82" t="n"/>
      <c r="J44" s="82" t="n"/>
      <c r="K44" s="82" t="n"/>
      <c r="L44" s="82" t="n"/>
    </row>
    <row r="45">
      <c r="A45" s="82" t="n"/>
      <c r="B45" s="82" t="n"/>
      <c r="C45" s="82" t="n"/>
      <c r="D45" s="82" t="n"/>
      <c r="E45" s="82" t="n"/>
      <c r="F45" s="82" t="n"/>
      <c r="G45" s="82" t="n"/>
      <c r="H45" s="82" t="n"/>
      <c r="I45" s="82" t="n"/>
      <c r="J45" s="82" t="n"/>
      <c r="K45" s="82" t="n"/>
      <c r="L45" s="82" t="n"/>
    </row>
    <row r="46">
      <c r="A46" s="82" t="n"/>
      <c r="B46" s="82" t="n"/>
      <c r="C46" s="82" t="n"/>
      <c r="D46" s="82" t="n"/>
      <c r="E46" s="82" t="n"/>
      <c r="F46" s="82" t="n"/>
      <c r="G46" s="82" t="n"/>
      <c r="H46" s="82" t="n"/>
      <c r="I46" s="82" t="n"/>
      <c r="J46" s="82" t="n"/>
      <c r="K46" s="82" t="n"/>
      <c r="L46" s="82" t="n"/>
    </row>
    <row r="47">
      <c r="A47" s="82" t="n"/>
      <c r="B47" s="82" t="n"/>
      <c r="C47" s="82" t="n"/>
      <c r="D47" s="82" t="n"/>
      <c r="E47" s="82" t="n"/>
      <c r="F47" s="82" t="n"/>
      <c r="G47" s="82" t="n"/>
      <c r="H47" s="82" t="n"/>
      <c r="I47" s="82" t="n"/>
      <c r="J47" s="82" t="n"/>
      <c r="K47" s="82" t="n"/>
      <c r="L47" s="82" t="n"/>
    </row>
    <row r="48">
      <c r="A48" s="82" t="n"/>
      <c r="B48" s="82" t="n"/>
      <c r="C48" s="82" t="n"/>
      <c r="D48" s="82" t="n"/>
      <c r="E48" s="82" t="n"/>
      <c r="F48" s="82" t="n"/>
      <c r="G48" s="82" t="n"/>
      <c r="H48" s="82" t="n"/>
      <c r="I48" s="82" t="n"/>
      <c r="J48" s="82" t="n"/>
      <c r="K48" s="82" t="n"/>
      <c r="L48" s="82" t="n"/>
    </row>
    <row r="49">
      <c r="A49" s="82" t="n"/>
      <c r="B49" s="82" t="n"/>
      <c r="C49" s="82" t="n"/>
      <c r="D49" s="82" t="n"/>
      <c r="E49" s="82" t="n"/>
      <c r="F49" s="82" t="n"/>
      <c r="G49" s="82" t="n"/>
      <c r="H49" s="82" t="n"/>
      <c r="I49" s="82" t="n"/>
      <c r="J49" s="82" t="n"/>
      <c r="K49" s="82" t="n"/>
      <c r="L49" s="82" t="n"/>
    </row>
    <row r="50">
      <c r="A50" s="82" t="n"/>
      <c r="B50" s="82" t="n"/>
      <c r="C50" s="82" t="n"/>
      <c r="D50" s="82" t="n"/>
      <c r="E50" s="82" t="n"/>
      <c r="F50" s="82" t="n"/>
      <c r="G50" s="82" t="n"/>
      <c r="H50" s="82" t="n"/>
      <c r="I50" s="82" t="n"/>
      <c r="J50" s="82" t="n"/>
      <c r="K50" s="82" t="n"/>
      <c r="L50" s="82" t="n"/>
    </row>
    <row r="51">
      <c r="A51" s="82" t="n"/>
      <c r="B51" s="82" t="n"/>
      <c r="C51" s="82" t="n"/>
      <c r="D51" s="82" t="n"/>
      <c r="E51" s="82" t="n"/>
      <c r="F51" s="82" t="n"/>
      <c r="G51" s="82" t="n"/>
      <c r="H51" s="82" t="n"/>
      <c r="I51" s="82" t="n"/>
      <c r="J51" s="82" t="n"/>
      <c r="K51" s="82" t="n"/>
      <c r="L51" s="82" t="n"/>
    </row>
    <row r="52">
      <c r="A52" s="82" t="n"/>
      <c r="B52" s="82" t="n"/>
      <c r="C52" s="82" t="n"/>
      <c r="D52" s="82" t="n"/>
      <c r="E52" s="82" t="n"/>
      <c r="F52" s="82" t="n"/>
      <c r="G52" s="82" t="n"/>
      <c r="H52" s="82" t="n"/>
      <c r="I52" s="82" t="n"/>
      <c r="J52" s="82" t="n"/>
      <c r="K52" s="82" t="n"/>
      <c r="L52" s="82" t="n"/>
    </row>
    <row r="53">
      <c r="A53" s="82" t="n"/>
      <c r="B53" s="82" t="n"/>
      <c r="C53" s="82" t="n"/>
      <c r="D53" s="82" t="n"/>
      <c r="E53" s="82" t="n"/>
      <c r="F53" s="82" t="n"/>
      <c r="G53" s="82" t="n"/>
      <c r="H53" s="82" t="n"/>
      <c r="I53" s="82" t="n"/>
      <c r="J53" s="82" t="n"/>
      <c r="K53" s="82" t="n"/>
      <c r="L53" s="82" t="n"/>
    </row>
    <row r="54">
      <c r="A54" s="82" t="n"/>
      <c r="B54" s="82" t="n"/>
      <c r="C54" s="82" t="n"/>
      <c r="D54" s="82" t="n"/>
      <c r="E54" s="82" t="n"/>
      <c r="F54" s="82" t="n"/>
      <c r="G54" s="82" t="n"/>
      <c r="H54" s="82" t="n"/>
      <c r="I54" s="82" t="n"/>
      <c r="J54" s="82" t="n"/>
      <c r="K54" s="82" t="n"/>
      <c r="L54" s="82" t="n"/>
    </row>
    <row r="55">
      <c r="A55" s="82" t="n"/>
      <c r="B55" s="82" t="n"/>
      <c r="C55" s="82" t="n"/>
      <c r="D55" s="82" t="n"/>
      <c r="E55" s="82" t="n"/>
      <c r="F55" s="82" t="n"/>
      <c r="G55" s="82" t="n"/>
      <c r="H55" s="82" t="n"/>
      <c r="I55" s="82" t="n"/>
      <c r="J55" s="82" t="n"/>
      <c r="K55" s="82" t="n"/>
      <c r="L55" s="82" t="n"/>
    </row>
    <row r="56">
      <c r="A56" s="82" t="n"/>
      <c r="B56" s="82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2" t="n"/>
      <c r="L56" s="82" t="n"/>
    </row>
    <row r="57">
      <c r="A57" s="82" t="n"/>
      <c r="B57" s="82" t="n"/>
      <c r="C57" s="82" t="n"/>
      <c r="D57" s="82" t="n"/>
      <c r="E57" s="82" t="n"/>
      <c r="F57" s="82" t="n"/>
      <c r="G57" s="82" t="n"/>
      <c r="H57" s="82" t="n"/>
      <c r="I57" s="82" t="n"/>
      <c r="J57" s="82" t="n"/>
      <c r="K57" s="82" t="n"/>
      <c r="L57" s="82" t="n"/>
    </row>
    <row r="58">
      <c r="A58" s="82" t="n"/>
      <c r="B58" s="82" t="n"/>
      <c r="C58" s="82" t="n"/>
      <c r="D58" s="82" t="n"/>
      <c r="E58" s="82" t="n"/>
      <c r="F58" s="82" t="n"/>
      <c r="G58" s="82" t="n"/>
      <c r="H58" s="82" t="n"/>
      <c r="I58" s="82" t="n"/>
      <c r="J58" s="82" t="n"/>
      <c r="K58" s="82" t="n"/>
      <c r="L58" s="82" t="n"/>
    </row>
    <row r="59">
      <c r="A59" s="82" t="n"/>
      <c r="B59" s="82" t="n"/>
      <c r="C59" s="82" t="n"/>
      <c r="D59" s="82" t="n"/>
      <c r="E59" s="82" t="n"/>
      <c r="F59" s="82" t="n"/>
      <c r="G59" s="82" t="n"/>
      <c r="H59" s="82" t="n"/>
      <c r="I59" s="82" t="n"/>
      <c r="J59" s="82" t="n"/>
      <c r="K59" s="82" t="n"/>
      <c r="L59" s="82" t="n"/>
    </row>
    <row r="60">
      <c r="A60" s="82" t="n"/>
      <c r="B60" s="82" t="n"/>
      <c r="C60" s="82" t="n"/>
      <c r="D60" s="82" t="n"/>
      <c r="E60" s="82" t="n"/>
      <c r="F60" s="82" t="n"/>
      <c r="G60" s="82" t="n"/>
      <c r="H60" s="82" t="n"/>
      <c r="I60" s="82" t="n"/>
      <c r="J60" s="82" t="n"/>
      <c r="K60" s="82" t="n"/>
      <c r="L60" s="82" t="n"/>
    </row>
    <row r="61">
      <c r="A61" s="82" t="n"/>
      <c r="B61" s="82" t="n"/>
      <c r="C61" s="82" t="n"/>
      <c r="D61" s="82" t="n"/>
      <c r="E61" s="82" t="n"/>
      <c r="F61" s="82" t="n"/>
      <c r="G61" s="82" t="n"/>
      <c r="H61" s="82" t="n"/>
      <c r="I61" s="82" t="n"/>
      <c r="J61" s="82" t="n"/>
      <c r="K61" s="82" t="n"/>
      <c r="L61" s="82" t="n"/>
    </row>
    <row r="62">
      <c r="A62" s="82" t="n"/>
      <c r="B62" s="82" t="n"/>
      <c r="C62" s="82" t="n"/>
      <c r="D62" s="82" t="n"/>
      <c r="E62" s="82" t="n"/>
      <c r="F62" s="82" t="n"/>
      <c r="G62" s="82" t="n"/>
      <c r="H62" s="82" t="n"/>
      <c r="I62" s="82" t="n"/>
      <c r="J62" s="82" t="n"/>
      <c r="K62" s="82" t="n"/>
      <c r="L62" s="82" t="n"/>
    </row>
    <row r="63">
      <c r="A63" s="82" t="n"/>
      <c r="B63" s="82" t="n"/>
      <c r="C63" s="82" t="n"/>
      <c r="D63" s="82" t="n"/>
      <c r="E63" s="82" t="n"/>
      <c r="F63" s="82" t="n"/>
      <c r="G63" s="82" t="n"/>
      <c r="H63" s="82" t="n"/>
      <c r="I63" s="82" t="n"/>
      <c r="J63" s="82" t="n"/>
      <c r="K63" s="82" t="n"/>
      <c r="L63" s="82" t="n"/>
    </row>
    <row r="64">
      <c r="A64" s="82" t="n"/>
      <c r="B64" s="82" t="n"/>
      <c r="C64" s="82" t="n"/>
      <c r="D64" s="82" t="n"/>
      <c r="E64" s="82" t="n"/>
      <c r="F64" s="82" t="n"/>
      <c r="G64" s="82" t="n"/>
      <c r="H64" s="82" t="n"/>
      <c r="I64" s="82" t="n"/>
      <c r="J64" s="82" t="n"/>
      <c r="K64" s="82" t="n"/>
      <c r="L64" s="82" t="n"/>
    </row>
    <row r="65">
      <c r="A65" s="82" t="n"/>
      <c r="B65" s="82" t="n"/>
      <c r="C65" s="82" t="n"/>
      <c r="D65" s="82" t="n"/>
      <c r="E65" s="82" t="n"/>
      <c r="F65" s="82" t="n"/>
      <c r="G65" s="82" t="n"/>
      <c r="H65" s="82" t="n"/>
      <c r="I65" s="82" t="n"/>
      <c r="J65" s="82" t="n"/>
      <c r="K65" s="82" t="n"/>
      <c r="L65" s="82" t="n"/>
    </row>
    <row r="66">
      <c r="A66" s="82" t="n"/>
      <c r="B66" s="82" t="n"/>
      <c r="C66" s="82" t="n"/>
      <c r="D66" s="82" t="n"/>
      <c r="E66" s="82" t="n"/>
      <c r="F66" s="82" t="n"/>
      <c r="G66" s="82" t="n"/>
      <c r="H66" s="82" t="n"/>
      <c r="I66" s="82" t="n"/>
      <c r="J66" s="82" t="n"/>
      <c r="K66" s="82" t="n"/>
      <c r="L66" s="82" t="n"/>
    </row>
    <row r="67">
      <c r="A67" s="82" t="n"/>
      <c r="B67" s="82" t="n"/>
      <c r="C67" s="82" t="n"/>
      <c r="D67" s="82" t="n"/>
      <c r="E67" s="82" t="n"/>
      <c r="F67" s="82" t="n"/>
      <c r="G67" s="82" t="n"/>
      <c r="H67" s="82" t="n"/>
      <c r="I67" s="82" t="n"/>
      <c r="J67" s="82" t="n"/>
      <c r="K67" s="82" t="n"/>
      <c r="L67" s="82" t="n"/>
    </row>
    <row r="68">
      <c r="A68" s="82" t="n"/>
      <c r="B68" s="82" t="n"/>
      <c r="C68" s="82" t="n"/>
      <c r="D68" s="82" t="n"/>
      <c r="E68" s="82" t="n"/>
      <c r="F68" s="82" t="n"/>
      <c r="G68" s="82" t="n"/>
      <c r="H68" s="82" t="n"/>
      <c r="I68" s="82" t="n"/>
      <c r="J68" s="82" t="n"/>
      <c r="K68" s="82" t="n"/>
      <c r="L68" s="82" t="n"/>
    </row>
    <row r="69">
      <c r="A69" s="82" t="n"/>
      <c r="B69" s="82" t="n"/>
      <c r="C69" s="82" t="n"/>
      <c r="D69" s="82" t="n"/>
      <c r="E69" s="82" t="n"/>
      <c r="F69" s="82" t="n"/>
      <c r="G69" s="82" t="n"/>
      <c r="H69" s="82" t="n"/>
      <c r="I69" s="82" t="n"/>
      <c r="J69" s="82" t="n"/>
      <c r="K69" s="82" t="n"/>
      <c r="L69" s="82" t="n"/>
    </row>
    <row r="70">
      <c r="A70" s="82" t="n"/>
      <c r="B70" s="82" t="n"/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</row>
    <row r="71">
      <c r="A71" s="82" t="n"/>
      <c r="B71" s="82" t="n"/>
      <c r="C71" s="82" t="n"/>
      <c r="D71" s="82" t="n"/>
      <c r="E71" s="82" t="n"/>
      <c r="F71" s="82" t="n"/>
      <c r="G71" s="82" t="n"/>
      <c r="H71" s="82" t="n"/>
      <c r="I71" s="82" t="n"/>
      <c r="J71" s="82" t="n"/>
      <c r="K71" s="82" t="n"/>
      <c r="L71" s="82" t="n"/>
    </row>
    <row r="72">
      <c r="A72" s="82" t="n"/>
      <c r="B72" s="82" t="n"/>
      <c r="C72" s="82" t="n"/>
      <c r="D72" s="82" t="n"/>
      <c r="E72" s="82" t="n"/>
      <c r="F72" s="82" t="n"/>
      <c r="G72" s="82" t="n"/>
      <c r="H72" s="82" t="n"/>
      <c r="I72" s="82" t="n"/>
      <c r="J72" s="82" t="n"/>
      <c r="K72" s="82" t="n"/>
      <c r="L72" s="82" t="n"/>
    </row>
    <row r="73">
      <c r="A73" s="82" t="n"/>
      <c r="B73" s="82" t="n"/>
      <c r="C73" s="82" t="n"/>
      <c r="D73" s="82" t="n"/>
      <c r="E73" s="82" t="n"/>
      <c r="F73" s="82" t="n"/>
      <c r="G73" s="82" t="n"/>
      <c r="H73" s="82" t="n"/>
      <c r="I73" s="82" t="n"/>
      <c r="J73" s="82" t="n"/>
      <c r="K73" s="82" t="n"/>
      <c r="L73" s="82" t="n"/>
    </row>
    <row r="74">
      <c r="A74" s="82" t="n"/>
      <c r="B74" s="82" t="n"/>
      <c r="C74" s="82" t="n"/>
      <c r="D74" s="82" t="n"/>
      <c r="E74" s="82" t="n"/>
      <c r="F74" s="82" t="n"/>
      <c r="G74" s="82" t="n"/>
      <c r="H74" s="82" t="n"/>
      <c r="I74" s="82" t="n"/>
      <c r="J74" s="82" t="n"/>
      <c r="K74" s="82" t="n"/>
      <c r="L74" s="82" t="n"/>
    </row>
    <row r="75">
      <c r="A75" s="82" t="n"/>
      <c r="B75" s="82" t="n"/>
      <c r="C75" s="82" t="n"/>
      <c r="D75" s="82" t="n"/>
      <c r="E75" s="82" t="n"/>
      <c r="F75" s="82" t="n"/>
      <c r="G75" s="82" t="n"/>
      <c r="H75" s="82" t="n"/>
      <c r="I75" s="82" t="n"/>
      <c r="J75" s="82" t="n"/>
      <c r="K75" s="82" t="n"/>
      <c r="L75" s="82" t="n"/>
    </row>
    <row r="76">
      <c r="A76" s="82" t="n"/>
      <c r="B76" s="82" t="n"/>
      <c r="C76" s="82" t="n"/>
      <c r="D76" s="82" t="n"/>
      <c r="E76" s="82" t="n"/>
      <c r="F76" s="82" t="n"/>
      <c r="G76" s="82" t="n"/>
      <c r="H76" s="82" t="n"/>
      <c r="I76" s="82" t="n"/>
      <c r="J76" s="82" t="n"/>
      <c r="K76" s="82" t="n"/>
      <c r="L76" s="82" t="n"/>
    </row>
    <row r="77">
      <c r="A77" s="82" t="n"/>
      <c r="B77" s="82" t="n"/>
      <c r="C77" s="82" t="n"/>
      <c r="D77" s="82" t="n"/>
      <c r="E77" s="82" t="n"/>
      <c r="F77" s="82" t="n"/>
      <c r="G77" s="82" t="n"/>
      <c r="H77" s="82" t="n"/>
      <c r="I77" s="82" t="n"/>
      <c r="J77" s="82" t="n"/>
      <c r="K77" s="82" t="n"/>
      <c r="L77" s="82" t="n"/>
    </row>
    <row r="78">
      <c r="A78" s="82" t="n"/>
      <c r="B78" s="82" t="n"/>
      <c r="C78" s="82" t="n"/>
      <c r="D78" s="82" t="n"/>
      <c r="E78" s="82" t="n"/>
      <c r="F78" s="82" t="n"/>
      <c r="G78" s="82" t="n"/>
      <c r="H78" s="82" t="n"/>
      <c r="I78" s="82" t="n"/>
      <c r="J78" s="82" t="n"/>
      <c r="K78" s="82" t="n"/>
      <c r="L78" s="82" t="n"/>
    </row>
    <row r="79">
      <c r="A79" s="82" t="n"/>
      <c r="B79" s="82" t="n"/>
      <c r="C79" s="82" t="n"/>
      <c r="D79" s="82" t="n"/>
      <c r="E79" s="82" t="n"/>
      <c r="F79" s="82" t="n"/>
      <c r="G79" s="82" t="n"/>
      <c r="H79" s="82" t="n"/>
      <c r="I79" s="82" t="n"/>
      <c r="J79" s="82" t="n"/>
      <c r="K79" s="82" t="n"/>
      <c r="L79" s="82" t="n"/>
    </row>
    <row r="80">
      <c r="A80" s="82" t="n"/>
      <c r="B80" s="82" t="n"/>
      <c r="C80" s="82" t="n"/>
      <c r="D80" s="82" t="n"/>
      <c r="E80" s="82" t="n"/>
      <c r="F80" s="82" t="n"/>
      <c r="G80" s="82" t="n"/>
      <c r="H80" s="82" t="n"/>
      <c r="I80" s="82" t="n"/>
      <c r="J80" s="82" t="n"/>
      <c r="K80" s="82" t="n"/>
      <c r="L80" s="82" t="n"/>
    </row>
    <row r="81">
      <c r="A81" s="82" t="n"/>
      <c r="B81" s="82" t="n"/>
      <c r="C81" s="82" t="n"/>
      <c r="D81" s="82" t="n"/>
      <c r="E81" s="82" t="n"/>
      <c r="F81" s="82" t="n"/>
      <c r="G81" s="82" t="n"/>
      <c r="H81" s="82" t="n"/>
      <c r="I81" s="82" t="n"/>
      <c r="J81" s="82" t="n"/>
      <c r="K81" s="82" t="n"/>
      <c r="L81" s="82" t="n"/>
    </row>
    <row r="82">
      <c r="A82" s="82" t="n"/>
      <c r="B82" s="82" t="n"/>
      <c r="C82" s="82" t="n"/>
      <c r="D82" s="82" t="n"/>
      <c r="E82" s="82" t="n"/>
      <c r="F82" s="82" t="n"/>
      <c r="G82" s="82" t="n"/>
      <c r="H82" s="82" t="n"/>
      <c r="I82" s="82" t="n"/>
      <c r="J82" s="82" t="n"/>
      <c r="K82" s="82" t="n"/>
      <c r="L82" s="82" t="n"/>
    </row>
    <row r="83">
      <c r="A83" s="82" t="n"/>
      <c r="B83" s="82" t="n"/>
      <c r="C83" s="82" t="n"/>
      <c r="D83" s="82" t="n"/>
      <c r="E83" s="82" t="n"/>
      <c r="F83" s="82" t="n"/>
      <c r="G83" s="82" t="n"/>
      <c r="H83" s="82" t="n"/>
      <c r="I83" s="82" t="n"/>
      <c r="J83" s="82" t="n"/>
      <c r="K83" s="82" t="n"/>
      <c r="L83" s="82" t="n"/>
    </row>
    <row r="84">
      <c r="A84" s="82" t="n"/>
      <c r="B84" s="82" t="n"/>
      <c r="C84" s="82" t="n"/>
      <c r="D84" s="82" t="n"/>
      <c r="E84" s="82" t="n"/>
      <c r="F84" s="82" t="n"/>
      <c r="G84" s="82" t="n"/>
      <c r="H84" s="82" t="n"/>
      <c r="I84" s="82" t="n"/>
      <c r="J84" s="82" t="n"/>
      <c r="K84" s="82" t="n"/>
      <c r="L84" s="82" t="n"/>
    </row>
    <row r="85">
      <c r="A85" s="82" t="n"/>
      <c r="B85" s="82" t="n"/>
      <c r="C85" s="82" t="n"/>
      <c r="D85" s="82" t="n"/>
      <c r="E85" s="82" t="n"/>
      <c r="F85" s="82" t="n"/>
      <c r="G85" s="82" t="n"/>
      <c r="H85" s="82" t="n"/>
      <c r="I85" s="82" t="n"/>
      <c r="J85" s="82" t="n"/>
      <c r="K85" s="82" t="n"/>
      <c r="L85" s="82" t="n"/>
    </row>
    <row r="86">
      <c r="A86" s="82" t="n"/>
      <c r="B86" s="82" t="n"/>
      <c r="C86" s="82" t="n"/>
      <c r="D86" s="82" t="n"/>
      <c r="E86" s="82" t="n"/>
      <c r="F86" s="82" t="n"/>
      <c r="G86" s="82" t="n"/>
      <c r="H86" s="82" t="n"/>
      <c r="I86" s="82" t="n"/>
      <c r="J86" s="82" t="n"/>
      <c r="K86" s="82" t="n"/>
      <c r="L86" s="82" t="n"/>
    </row>
    <row r="87">
      <c r="A87" s="82" t="n"/>
      <c r="B87" s="82" t="n"/>
      <c r="C87" s="82" t="n"/>
      <c r="D87" s="82" t="n"/>
      <c r="E87" s="82" t="n"/>
      <c r="F87" s="82" t="n"/>
      <c r="G87" s="82" t="n"/>
      <c r="H87" s="82" t="n"/>
      <c r="I87" s="82" t="n"/>
      <c r="J87" s="82" t="n"/>
      <c r="K87" s="82" t="n"/>
      <c r="L87" s="82" t="n"/>
    </row>
    <row r="88">
      <c r="A88" s="82" t="n"/>
      <c r="B88" s="82" t="n"/>
      <c r="C88" s="82" t="n"/>
      <c r="D88" s="82" t="n"/>
      <c r="E88" s="82" t="n"/>
      <c r="F88" s="82" t="n"/>
      <c r="G88" s="82" t="n"/>
      <c r="H88" s="82" t="n"/>
      <c r="I88" s="82" t="n"/>
      <c r="J88" s="82" t="n"/>
      <c r="K88" s="82" t="n"/>
      <c r="L88" s="82" t="n"/>
    </row>
    <row r="89">
      <c r="A89" s="82" t="n"/>
      <c r="B89" s="82" t="n"/>
      <c r="C89" s="82" t="n"/>
      <c r="D89" s="82" t="n"/>
      <c r="E89" s="82" t="n"/>
      <c r="F89" s="82" t="n"/>
      <c r="G89" s="82" t="n"/>
      <c r="H89" s="82" t="n"/>
      <c r="I89" s="82" t="n"/>
      <c r="J89" s="82" t="n"/>
      <c r="K89" s="82" t="n"/>
      <c r="L89" s="82" t="n"/>
    </row>
    <row r="90">
      <c r="A90" s="82" t="n"/>
      <c r="B90" s="82" t="n"/>
      <c r="C90" s="82" t="n"/>
      <c r="D90" s="82" t="n"/>
      <c r="E90" s="82" t="n"/>
      <c r="F90" s="82" t="n"/>
      <c r="G90" s="82" t="n"/>
      <c r="H90" s="82" t="n"/>
      <c r="I90" s="82" t="n"/>
      <c r="J90" s="82" t="n"/>
      <c r="K90" s="82" t="n"/>
      <c r="L90" s="82" t="n"/>
    </row>
    <row r="91">
      <c r="A91" s="82" t="n"/>
      <c r="B91" s="82" t="n"/>
      <c r="C91" s="82" t="n"/>
      <c r="D91" s="82" t="n"/>
      <c r="E91" s="82" t="n"/>
      <c r="F91" s="82" t="n"/>
      <c r="G91" s="82" t="n"/>
      <c r="H91" s="82" t="n"/>
      <c r="I91" s="82" t="n"/>
      <c r="J91" s="82" t="n"/>
      <c r="K91" s="82" t="n"/>
      <c r="L91" s="82" t="n"/>
    </row>
    <row r="92">
      <c r="A92" s="82" t="n"/>
      <c r="B92" s="82" t="n"/>
      <c r="C92" s="82" t="n"/>
      <c r="D92" s="82" t="n"/>
      <c r="E92" s="82" t="n"/>
      <c r="F92" s="82" t="n"/>
      <c r="G92" s="82" t="n"/>
      <c r="H92" s="82" t="n"/>
      <c r="I92" s="82" t="n"/>
      <c r="J92" s="82" t="n"/>
      <c r="K92" s="82" t="n"/>
      <c r="L92" s="82" t="n"/>
    </row>
    <row r="93">
      <c r="A93" s="82" t="n"/>
      <c r="B93" s="82" t="n"/>
      <c r="C93" s="82" t="n"/>
      <c r="D93" s="82" t="n"/>
      <c r="E93" s="82" t="n"/>
      <c r="F93" s="82" t="n"/>
      <c r="G93" s="82" t="n"/>
      <c r="H93" s="82" t="n"/>
      <c r="I93" s="82" t="n"/>
      <c r="J93" s="82" t="n"/>
      <c r="K93" s="82" t="n"/>
      <c r="L93" s="82" t="n"/>
    </row>
    <row r="94">
      <c r="A94" s="82" t="n"/>
      <c r="B94" s="82" t="n"/>
      <c r="C94" s="82" t="n"/>
      <c r="D94" s="82" t="n"/>
      <c r="E94" s="82" t="n"/>
      <c r="F94" s="82" t="n"/>
      <c r="G94" s="82" t="n"/>
      <c r="H94" s="82" t="n"/>
      <c r="I94" s="82" t="n"/>
      <c r="J94" s="82" t="n"/>
      <c r="K94" s="82" t="n"/>
      <c r="L94" s="82" t="n"/>
    </row>
    <row r="95">
      <c r="A95" s="82" t="n"/>
      <c r="B95" s="82" t="n"/>
      <c r="C95" s="82" t="n"/>
      <c r="D95" s="82" t="n"/>
      <c r="E95" s="82" t="n"/>
      <c r="F95" s="82" t="n"/>
      <c r="G95" s="82" t="n"/>
      <c r="H95" s="82" t="n"/>
      <c r="I95" s="82" t="n"/>
      <c r="J95" s="82" t="n"/>
      <c r="K95" s="82" t="n"/>
      <c r="L95" s="82" t="n"/>
    </row>
    <row r="96">
      <c r="A96" s="82" t="n"/>
      <c r="B96" s="82" t="n"/>
      <c r="C96" s="82" t="n"/>
      <c r="D96" s="82" t="n"/>
      <c r="E96" s="82" t="n"/>
      <c r="F96" s="82" t="n"/>
      <c r="G96" s="82" t="n"/>
      <c r="H96" s="82" t="n"/>
      <c r="I96" s="82" t="n"/>
      <c r="J96" s="82" t="n"/>
      <c r="K96" s="82" t="n"/>
      <c r="L96" s="82" t="n"/>
    </row>
    <row r="97">
      <c r="A97" s="82" t="n"/>
      <c r="B97" s="82" t="n"/>
      <c r="C97" s="82" t="n"/>
      <c r="D97" s="82" t="n"/>
      <c r="E97" s="82" t="n"/>
      <c r="F97" s="82" t="n"/>
      <c r="G97" s="82" t="n"/>
      <c r="H97" s="82" t="n"/>
      <c r="I97" s="82" t="n"/>
      <c r="J97" s="82" t="n"/>
      <c r="K97" s="82" t="n"/>
      <c r="L97" s="82" t="n"/>
    </row>
    <row r="98">
      <c r="A98" s="82" t="n"/>
      <c r="B98" s="82" t="n"/>
      <c r="C98" s="82" t="n"/>
      <c r="D98" s="82" t="n"/>
      <c r="E98" s="82" t="n"/>
      <c r="F98" s="82" t="n"/>
      <c r="G98" s="82" t="n"/>
      <c r="H98" s="82" t="n"/>
      <c r="I98" s="82" t="n"/>
      <c r="J98" s="82" t="n"/>
      <c r="K98" s="82" t="n"/>
      <c r="L98" s="82" t="n"/>
    </row>
    <row r="99">
      <c r="A99" s="82" t="n"/>
      <c r="B99" s="82" t="n"/>
      <c r="C99" s="82" t="n"/>
      <c r="D99" s="82" t="n"/>
      <c r="E99" s="82" t="n"/>
      <c r="F99" s="82" t="n"/>
      <c r="G99" s="82" t="n"/>
      <c r="H99" s="82" t="n"/>
      <c r="I99" s="82" t="n"/>
      <c r="J99" s="82" t="n"/>
      <c r="K99" s="82" t="n"/>
      <c r="L99" s="82" t="n"/>
    </row>
    <row r="100">
      <c r="A100" s="82" t="n"/>
      <c r="B100" s="82" t="n"/>
      <c r="C100" s="82" t="n"/>
      <c r="D100" s="82" t="n"/>
      <c r="E100" s="82" t="n"/>
      <c r="F100" s="82" t="n"/>
      <c r="G100" s="82" t="n"/>
      <c r="H100" s="82" t="n"/>
      <c r="I100" s="82" t="n"/>
      <c r="J100" s="82" t="n"/>
      <c r="K100" s="82" t="n"/>
      <c r="L100" s="82" t="n"/>
    </row>
    <row r="101">
      <c r="A101" s="82" t="n"/>
      <c r="B101" s="82" t="n"/>
      <c r="C101" s="82" t="n"/>
      <c r="D101" s="82" t="n"/>
      <c r="E101" s="82" t="n"/>
      <c r="F101" s="82" t="n"/>
      <c r="G101" s="82" t="n"/>
      <c r="H101" s="82" t="n"/>
      <c r="I101" s="82" t="n"/>
      <c r="J101" s="82" t="n"/>
      <c r="K101" s="82" t="n"/>
      <c r="L101" s="82" t="n"/>
    </row>
    <row r="102">
      <c r="A102" s="82" t="n"/>
      <c r="B102" s="82" t="n"/>
      <c r="C102" s="82" t="n"/>
      <c r="D102" s="82" t="n"/>
      <c r="E102" s="82" t="n"/>
      <c r="F102" s="82" t="n"/>
      <c r="G102" s="82" t="n"/>
      <c r="H102" s="82" t="n"/>
      <c r="I102" s="82" t="n"/>
      <c r="J102" s="82" t="n"/>
      <c r="K102" s="82" t="n"/>
      <c r="L102" s="82" t="n"/>
    </row>
    <row r="103">
      <c r="A103" s="82" t="n"/>
      <c r="B103" s="82" t="n"/>
      <c r="C103" s="82" t="n"/>
      <c r="D103" s="82" t="n"/>
      <c r="E103" s="82" t="n"/>
      <c r="F103" s="82" t="n"/>
      <c r="G103" s="82" t="n"/>
      <c r="H103" s="82" t="n"/>
      <c r="I103" s="82" t="n"/>
      <c r="J103" s="82" t="n"/>
      <c r="K103" s="82" t="n"/>
      <c r="L103" s="82" t="n"/>
    </row>
    <row r="104">
      <c r="A104" s="82" t="n"/>
      <c r="B104" s="82" t="n"/>
      <c r="C104" s="82" t="n"/>
      <c r="D104" s="82" t="n"/>
      <c r="E104" s="82" t="n"/>
      <c r="F104" s="82" t="n"/>
      <c r="G104" s="82" t="n"/>
      <c r="H104" s="82" t="n"/>
      <c r="I104" s="82" t="n"/>
      <c r="J104" s="82" t="n"/>
      <c r="K104" s="82" t="n"/>
      <c r="L104" s="82" t="n"/>
    </row>
    <row r="105">
      <c r="A105" s="82" t="n"/>
      <c r="B105" s="82" t="n"/>
      <c r="C105" s="82" t="n"/>
      <c r="D105" s="82" t="n"/>
      <c r="E105" s="82" t="n"/>
      <c r="F105" s="82" t="n"/>
      <c r="G105" s="82" t="n"/>
      <c r="H105" s="82" t="n"/>
      <c r="I105" s="82" t="n"/>
      <c r="J105" s="82" t="n"/>
      <c r="K105" s="82" t="n"/>
      <c r="L105" s="82" t="n"/>
    </row>
    <row r="106">
      <c r="A106" s="82" t="n"/>
      <c r="B106" s="82" t="n"/>
      <c r="C106" s="82" t="n"/>
      <c r="D106" s="82" t="n"/>
      <c r="E106" s="82" t="n"/>
      <c r="F106" s="82" t="n"/>
      <c r="G106" s="82" t="n"/>
      <c r="H106" s="82" t="n"/>
      <c r="I106" s="82" t="n"/>
      <c r="J106" s="82" t="n"/>
      <c r="K106" s="82" t="n"/>
      <c r="L106" s="82" t="n"/>
    </row>
    <row r="107">
      <c r="A107" s="82" t="n"/>
      <c r="B107" s="82" t="n"/>
      <c r="C107" s="82" t="n"/>
      <c r="D107" s="82" t="n"/>
      <c r="E107" s="82" t="n"/>
      <c r="F107" s="82" t="n"/>
      <c r="G107" s="82" t="n"/>
      <c r="H107" s="82" t="n"/>
      <c r="I107" s="82" t="n"/>
      <c r="J107" s="82" t="n"/>
      <c r="K107" s="82" t="n"/>
      <c r="L107" s="82" t="n"/>
    </row>
    <row r="108">
      <c r="A108" s="82" t="n"/>
      <c r="B108" s="82" t="n"/>
      <c r="C108" s="82" t="n"/>
      <c r="D108" s="82" t="n"/>
      <c r="E108" s="82" t="n"/>
      <c r="F108" s="82" t="n"/>
      <c r="G108" s="82" t="n"/>
      <c r="H108" s="82" t="n"/>
      <c r="I108" s="82" t="n"/>
      <c r="J108" s="82" t="n"/>
      <c r="K108" s="82" t="n"/>
      <c r="L108" s="82" t="n"/>
    </row>
    <row r="109">
      <c r="A109" s="82" t="n"/>
      <c r="B109" s="82" t="n"/>
      <c r="C109" s="82" t="n"/>
      <c r="D109" s="82" t="n"/>
      <c r="E109" s="82" t="n"/>
      <c r="F109" s="82" t="n"/>
      <c r="G109" s="82" t="n"/>
      <c r="H109" s="82" t="n"/>
      <c r="I109" s="82" t="n"/>
      <c r="J109" s="82" t="n"/>
      <c r="K109" s="82" t="n"/>
      <c r="L109" s="82" t="n"/>
    </row>
    <row r="110">
      <c r="A110" s="82" t="n"/>
      <c r="B110" s="82" t="n"/>
      <c r="C110" s="82" t="n"/>
      <c r="D110" s="82" t="n"/>
      <c r="E110" s="82" t="n"/>
      <c r="F110" s="82" t="n"/>
      <c r="G110" s="82" t="n"/>
      <c r="H110" s="82" t="n"/>
      <c r="I110" s="82" t="n"/>
      <c r="J110" s="82" t="n"/>
      <c r="K110" s="82" t="n"/>
      <c r="L110" s="82" t="n"/>
    </row>
    <row r="111">
      <c r="A111" s="82" t="n"/>
      <c r="B111" s="82" t="n"/>
      <c r="C111" s="82" t="n"/>
      <c r="D111" s="82" t="n"/>
      <c r="E111" s="82" t="n"/>
      <c r="F111" s="82" t="n"/>
      <c r="G111" s="82" t="n"/>
      <c r="H111" s="82" t="n"/>
      <c r="I111" s="82" t="n"/>
      <c r="J111" s="82" t="n"/>
      <c r="K111" s="82" t="n"/>
      <c r="L111" s="82" t="n"/>
    </row>
    <row r="112">
      <c r="A112" s="82" t="n"/>
      <c r="B112" s="82" t="n"/>
      <c r="C112" s="82" t="n"/>
      <c r="D112" s="82" t="n"/>
      <c r="E112" s="82" t="n"/>
      <c r="F112" s="82" t="n"/>
      <c r="G112" s="82" t="n"/>
      <c r="H112" s="82" t="n"/>
      <c r="I112" s="82" t="n"/>
      <c r="J112" s="82" t="n"/>
      <c r="K112" s="82" t="n"/>
      <c r="L112" s="82" t="n"/>
    </row>
    <row r="113">
      <c r="A113" s="82" t="n"/>
      <c r="B113" s="82" t="n"/>
      <c r="C113" s="82" t="n"/>
      <c r="D113" s="82" t="n"/>
      <c r="E113" s="82" t="n"/>
      <c r="F113" s="82" t="n"/>
      <c r="G113" s="82" t="n"/>
      <c r="H113" s="82" t="n"/>
      <c r="I113" s="82" t="n"/>
      <c r="J113" s="82" t="n"/>
      <c r="K113" s="82" t="n"/>
      <c r="L113" s="82" t="n"/>
    </row>
    <row r="114">
      <c r="A114" s="82" t="n"/>
      <c r="B114" s="82" t="n"/>
      <c r="C114" s="82" t="n"/>
      <c r="D114" s="82" t="n"/>
      <c r="E114" s="82" t="n"/>
      <c r="F114" s="82" t="n"/>
      <c r="G114" s="82" t="n"/>
      <c r="H114" s="82" t="n"/>
      <c r="I114" s="82" t="n"/>
      <c r="J114" s="82" t="n"/>
      <c r="K114" s="82" t="n"/>
      <c r="L114" s="82" t="n"/>
    </row>
    <row r="115">
      <c r="A115" s="82" t="n"/>
      <c r="B115" s="82" t="n"/>
      <c r="C115" s="82" t="n"/>
      <c r="D115" s="82" t="n"/>
      <c r="E115" s="82" t="n"/>
      <c r="F115" s="82" t="n"/>
      <c r="G115" s="82" t="n"/>
      <c r="H115" s="82" t="n"/>
      <c r="I115" s="82" t="n"/>
      <c r="J115" s="82" t="n"/>
      <c r="K115" s="82" t="n"/>
      <c r="L115" s="82" t="n"/>
    </row>
    <row r="116">
      <c r="A116" s="82" t="n"/>
      <c r="B116" s="82" t="n"/>
      <c r="C116" s="82" t="n"/>
      <c r="D116" s="82" t="n"/>
      <c r="E116" s="82" t="n"/>
      <c r="F116" s="82" t="n"/>
      <c r="G116" s="82" t="n"/>
      <c r="H116" s="82" t="n"/>
      <c r="I116" s="82" t="n"/>
      <c r="J116" s="82" t="n"/>
      <c r="K116" s="82" t="n"/>
      <c r="L116" s="82" t="n"/>
    </row>
    <row r="117">
      <c r="A117" s="82" t="n"/>
      <c r="B117" s="82" t="n"/>
      <c r="C117" s="82" t="n"/>
      <c r="D117" s="82" t="n"/>
      <c r="E117" s="82" t="n"/>
      <c r="F117" s="82" t="n"/>
      <c r="G117" s="82" t="n"/>
      <c r="H117" s="82" t="n"/>
      <c r="I117" s="82" t="n"/>
      <c r="J117" s="82" t="n"/>
      <c r="K117" s="82" t="n"/>
      <c r="L117" s="82" t="n"/>
    </row>
    <row r="118">
      <c r="A118" s="82" t="n"/>
      <c r="B118" s="82" t="n"/>
      <c r="C118" s="82" t="n"/>
      <c r="D118" s="82" t="n"/>
      <c r="E118" s="82" t="n"/>
      <c r="F118" s="82" t="n"/>
      <c r="G118" s="82" t="n"/>
      <c r="H118" s="82" t="n"/>
      <c r="I118" s="82" t="n"/>
      <c r="J118" s="82" t="n"/>
      <c r="K118" s="82" t="n"/>
      <c r="L118" s="82" t="n"/>
    </row>
    <row r="119">
      <c r="A119" s="82" t="n"/>
      <c r="B119" s="82" t="n"/>
      <c r="C119" s="82" t="n"/>
      <c r="D119" s="82" t="n"/>
      <c r="E119" s="82" t="n"/>
      <c r="F119" s="82" t="n"/>
      <c r="G119" s="82" t="n"/>
      <c r="H119" s="82" t="n"/>
      <c r="I119" s="82" t="n"/>
      <c r="J119" s="82" t="n"/>
      <c r="K119" s="82" t="n"/>
      <c r="L119" s="82" t="n"/>
    </row>
    <row r="120">
      <c r="A120" s="82" t="n"/>
      <c r="B120" s="82" t="n"/>
      <c r="C120" s="82" t="n"/>
      <c r="D120" s="82" t="n"/>
      <c r="E120" s="82" t="n"/>
      <c r="F120" s="82" t="n"/>
      <c r="G120" s="82" t="n"/>
      <c r="H120" s="82" t="n"/>
      <c r="I120" s="82" t="n"/>
      <c r="J120" s="82" t="n"/>
      <c r="K120" s="82" t="n"/>
      <c r="L120" s="82" t="n"/>
    </row>
    <row r="121">
      <c r="A121" s="82" t="n"/>
      <c r="B121" s="82" t="n"/>
      <c r="C121" s="82" t="n"/>
      <c r="D121" s="82" t="n"/>
      <c r="E121" s="82" t="n"/>
      <c r="F121" s="82" t="n"/>
      <c r="G121" s="82" t="n"/>
      <c r="H121" s="82" t="n"/>
      <c r="I121" s="82" t="n"/>
      <c r="J121" s="82" t="n"/>
      <c r="K121" s="82" t="n"/>
      <c r="L121" s="82" t="n"/>
    </row>
    <row r="122">
      <c r="A122" s="82" t="n"/>
      <c r="B122" s="82" t="n"/>
      <c r="C122" s="82" t="n"/>
      <c r="D122" s="82" t="n"/>
      <c r="E122" s="82" t="n"/>
      <c r="F122" s="82" t="n"/>
      <c r="G122" s="82" t="n"/>
      <c r="H122" s="82" t="n"/>
      <c r="I122" s="82" t="n"/>
      <c r="J122" s="82" t="n"/>
      <c r="K122" s="82" t="n"/>
      <c r="L122" s="82" t="n"/>
    </row>
    <row r="123">
      <c r="A123" s="82" t="n"/>
      <c r="B123" s="82" t="n"/>
      <c r="C123" s="82" t="n"/>
      <c r="D123" s="82" t="n"/>
      <c r="E123" s="82" t="n"/>
      <c r="F123" s="82" t="n"/>
      <c r="G123" s="82" t="n"/>
      <c r="H123" s="82" t="n"/>
      <c r="I123" s="82" t="n"/>
      <c r="J123" s="82" t="n"/>
      <c r="K123" s="82" t="n"/>
      <c r="L123" s="82" t="n"/>
    </row>
    <row r="124">
      <c r="A124" s="82" t="n"/>
      <c r="B124" s="82" t="n"/>
      <c r="C124" s="82" t="n"/>
      <c r="D124" s="82" t="n"/>
      <c r="E124" s="82" t="n"/>
      <c r="F124" s="82" t="n"/>
      <c r="G124" s="82" t="n"/>
      <c r="H124" s="82" t="n"/>
      <c r="I124" s="82" t="n"/>
      <c r="J124" s="82" t="n"/>
      <c r="K124" s="82" t="n"/>
      <c r="L124" s="82" t="n"/>
    </row>
    <row r="125">
      <c r="A125" s="82" t="n"/>
      <c r="B125" s="82" t="n"/>
      <c r="C125" s="82" t="n"/>
      <c r="D125" s="82" t="n"/>
      <c r="E125" s="82" t="n"/>
      <c r="F125" s="82" t="n"/>
      <c r="G125" s="82" t="n"/>
      <c r="H125" s="82" t="n"/>
      <c r="I125" s="82" t="n"/>
      <c r="J125" s="82" t="n"/>
      <c r="K125" s="82" t="n"/>
      <c r="L125" s="82" t="n"/>
    </row>
    <row r="126">
      <c r="A126" s="82" t="n"/>
      <c r="B126" s="82" t="n"/>
      <c r="C126" s="82" t="n"/>
      <c r="D126" s="82" t="n"/>
      <c r="E126" s="82" t="n"/>
      <c r="F126" s="82" t="n"/>
      <c r="G126" s="82" t="n"/>
      <c r="H126" s="82" t="n"/>
      <c r="I126" s="82" t="n"/>
      <c r="J126" s="82" t="n"/>
      <c r="K126" s="82" t="n"/>
      <c r="L126" s="82" t="n"/>
    </row>
    <row r="127">
      <c r="A127" s="82" t="n"/>
      <c r="B127" s="82" t="n"/>
      <c r="C127" s="82" t="n"/>
      <c r="D127" s="82" t="n"/>
      <c r="E127" s="82" t="n"/>
      <c r="F127" s="82" t="n"/>
      <c r="G127" s="82" t="n"/>
      <c r="H127" s="82" t="n"/>
      <c r="I127" s="82" t="n"/>
      <c r="J127" s="82" t="n"/>
      <c r="K127" s="82" t="n"/>
      <c r="L127" s="82" t="n"/>
    </row>
    <row r="128">
      <c r="A128" s="82" t="n"/>
      <c r="B128" s="82" t="n"/>
      <c r="C128" s="82" t="n"/>
      <c r="D128" s="82" t="n"/>
      <c r="E128" s="82" t="n"/>
      <c r="F128" s="82" t="n"/>
      <c r="G128" s="82" t="n"/>
      <c r="H128" s="82" t="n"/>
      <c r="I128" s="82" t="n"/>
      <c r="J128" s="82" t="n"/>
      <c r="K128" s="82" t="n"/>
      <c r="L128" s="82" t="n"/>
    </row>
    <row r="129">
      <c r="A129" s="82" t="n"/>
      <c r="B129" s="82" t="n"/>
      <c r="C129" s="82" t="n"/>
      <c r="D129" s="82" t="n"/>
      <c r="E129" s="82" t="n"/>
      <c r="F129" s="82" t="n"/>
      <c r="G129" s="82" t="n"/>
      <c r="H129" s="82" t="n"/>
      <c r="I129" s="82" t="n"/>
      <c r="J129" s="82" t="n"/>
      <c r="K129" s="82" t="n"/>
      <c r="L129" s="82" t="n"/>
    </row>
    <row r="130">
      <c r="A130" s="82" t="n"/>
      <c r="B130" s="82" t="n"/>
      <c r="C130" s="82" t="n"/>
      <c r="D130" s="82" t="n"/>
      <c r="E130" s="82" t="n"/>
      <c r="F130" s="82" t="n"/>
      <c r="G130" s="82" t="n"/>
      <c r="H130" s="82" t="n"/>
      <c r="I130" s="82" t="n"/>
      <c r="J130" s="82" t="n"/>
      <c r="K130" s="82" t="n"/>
      <c r="L130" s="82" t="n"/>
    </row>
    <row r="131">
      <c r="A131" s="82" t="n"/>
      <c r="B131" s="82" t="n"/>
      <c r="C131" s="82" t="n"/>
      <c r="D131" s="82" t="n"/>
      <c r="E131" s="82" t="n"/>
      <c r="F131" s="82" t="n"/>
      <c r="G131" s="82" t="n"/>
      <c r="H131" s="82" t="n"/>
      <c r="I131" s="82" t="n"/>
      <c r="J131" s="82" t="n"/>
      <c r="K131" s="82" t="n"/>
      <c r="L131" s="82" t="n"/>
    </row>
    <row r="132">
      <c r="A132" s="82" t="n"/>
      <c r="B132" s="82" t="n"/>
      <c r="C132" s="82" t="n"/>
      <c r="D132" s="82" t="n"/>
      <c r="E132" s="82" t="n"/>
      <c r="F132" s="82" t="n"/>
      <c r="G132" s="82" t="n"/>
      <c r="H132" s="82" t="n"/>
      <c r="I132" s="82" t="n"/>
      <c r="J132" s="82" t="n"/>
      <c r="K132" s="82" t="n"/>
      <c r="L132" s="82" t="n"/>
    </row>
    <row r="133">
      <c r="A133" s="82" t="n"/>
      <c r="B133" s="82" t="n"/>
      <c r="C133" s="82" t="n"/>
      <c r="D133" s="82" t="n"/>
      <c r="E133" s="82" t="n"/>
      <c r="F133" s="82" t="n"/>
      <c r="G133" s="82" t="n"/>
      <c r="H133" s="82" t="n"/>
      <c r="I133" s="82" t="n"/>
      <c r="J133" s="82" t="n"/>
      <c r="K133" s="82" t="n"/>
      <c r="L133" s="82" t="n"/>
    </row>
    <row r="134">
      <c r="A134" s="82" t="n"/>
      <c r="B134" s="82" t="n"/>
      <c r="C134" s="82" t="n"/>
      <c r="D134" s="82" t="n"/>
      <c r="E134" s="82" t="n"/>
      <c r="F134" s="82" t="n"/>
      <c r="G134" s="82" t="n"/>
      <c r="H134" s="82" t="n"/>
      <c r="I134" s="82" t="n"/>
      <c r="J134" s="82" t="n"/>
      <c r="K134" s="82" t="n"/>
      <c r="L134" s="82" t="n"/>
    </row>
    <row r="135">
      <c r="A135" s="82" t="n"/>
      <c r="B135" s="82" t="n"/>
      <c r="C135" s="82" t="n"/>
      <c r="D135" s="82" t="n"/>
      <c r="E135" s="82" t="n"/>
      <c r="F135" s="82" t="n"/>
      <c r="G135" s="82" t="n"/>
      <c r="H135" s="82" t="n"/>
      <c r="I135" s="82" t="n"/>
      <c r="J135" s="82" t="n"/>
      <c r="K135" s="82" t="n"/>
      <c r="L135" s="82" t="n"/>
    </row>
    <row r="136">
      <c r="A136" s="82" t="n"/>
      <c r="B136" s="82" t="n"/>
      <c r="C136" s="82" t="n"/>
      <c r="D136" s="82" t="n"/>
      <c r="E136" s="82" t="n"/>
      <c r="F136" s="82" t="n"/>
      <c r="G136" s="82" t="n"/>
      <c r="H136" s="82" t="n"/>
      <c r="I136" s="82" t="n"/>
      <c r="J136" s="82" t="n"/>
      <c r="K136" s="82" t="n"/>
      <c r="L136" s="82" t="n"/>
    </row>
    <row r="137">
      <c r="A137" s="82" t="n"/>
      <c r="B137" s="82" t="n"/>
      <c r="C137" s="82" t="n"/>
      <c r="D137" s="82" t="n"/>
      <c r="E137" s="82" t="n"/>
      <c r="F137" s="82" t="n"/>
      <c r="G137" s="82" t="n"/>
      <c r="H137" s="82" t="n"/>
      <c r="I137" s="82" t="n"/>
      <c r="J137" s="82" t="n"/>
      <c r="K137" s="82" t="n"/>
      <c r="L137" s="82" t="n"/>
    </row>
    <row r="138">
      <c r="A138" s="82" t="n"/>
      <c r="B138" s="82" t="n"/>
      <c r="C138" s="82" t="n"/>
      <c r="D138" s="82" t="n"/>
      <c r="E138" s="82" t="n"/>
      <c r="F138" s="82" t="n"/>
      <c r="G138" s="82" t="n"/>
      <c r="H138" s="82" t="n"/>
      <c r="I138" s="82" t="n"/>
      <c r="J138" s="82" t="n"/>
      <c r="K138" s="82" t="n"/>
      <c r="L138" s="82" t="n"/>
    </row>
    <row r="139">
      <c r="A139" s="82" t="n"/>
      <c r="B139" s="82" t="n"/>
      <c r="C139" s="82" t="n"/>
      <c r="D139" s="82" t="n"/>
      <c r="E139" s="82" t="n"/>
      <c r="F139" s="82" t="n"/>
      <c r="G139" s="82" t="n"/>
      <c r="H139" s="82" t="n"/>
      <c r="I139" s="82" t="n"/>
      <c r="J139" s="82" t="n"/>
      <c r="K139" s="82" t="n"/>
      <c r="L139" s="82" t="n"/>
    </row>
    <row r="140">
      <c r="A140" s="82" t="n"/>
      <c r="B140" s="82" t="n"/>
      <c r="C140" s="82" t="n"/>
      <c r="D140" s="82" t="n"/>
      <c r="E140" s="82" t="n"/>
      <c r="F140" s="82" t="n"/>
      <c r="G140" s="82" t="n"/>
      <c r="H140" s="82" t="n"/>
      <c r="I140" s="82" t="n"/>
      <c r="J140" s="82" t="n"/>
      <c r="K140" s="82" t="n"/>
      <c r="L140" s="82" t="n"/>
    </row>
    <row r="141">
      <c r="A141" s="82" t="n"/>
      <c r="B141" s="82" t="n"/>
      <c r="C141" s="82" t="n"/>
      <c r="D141" s="82" t="n"/>
      <c r="E141" s="82" t="n"/>
      <c r="F141" s="82" t="n"/>
      <c r="G141" s="82" t="n"/>
      <c r="H141" s="82" t="n"/>
      <c r="I141" s="82" t="n"/>
      <c r="J141" s="82" t="n"/>
      <c r="K141" s="82" t="n"/>
      <c r="L141" s="82" t="n"/>
    </row>
    <row r="142">
      <c r="A142" s="82" t="n"/>
      <c r="B142" s="82" t="n"/>
      <c r="C142" s="82" t="n"/>
      <c r="D142" s="82" t="n"/>
      <c r="E142" s="82" t="n"/>
      <c r="F142" s="82" t="n"/>
      <c r="G142" s="82" t="n"/>
      <c r="H142" s="82" t="n"/>
      <c r="I142" s="82" t="n"/>
      <c r="J142" s="82" t="n"/>
      <c r="K142" s="82" t="n"/>
      <c r="L142" s="82" t="n"/>
    </row>
    <row r="143">
      <c r="A143" s="82" t="n"/>
      <c r="B143" s="82" t="n"/>
      <c r="C143" s="82" t="n"/>
      <c r="D143" s="82" t="n"/>
      <c r="E143" s="82" t="n"/>
      <c r="F143" s="82" t="n"/>
      <c r="G143" s="82" t="n"/>
      <c r="H143" s="82" t="n"/>
      <c r="I143" s="82" t="n"/>
      <c r="J143" s="82" t="n"/>
      <c r="K143" s="82" t="n"/>
      <c r="L143" s="82" t="n"/>
    </row>
    <row r="144">
      <c r="A144" s="82" t="n"/>
      <c r="B144" s="82" t="n"/>
      <c r="C144" s="82" t="n"/>
      <c r="D144" s="82" t="n"/>
      <c r="E144" s="82" t="n"/>
      <c r="F144" s="82" t="n"/>
      <c r="G144" s="82" t="n"/>
      <c r="H144" s="82" t="n"/>
      <c r="I144" s="82" t="n"/>
      <c r="J144" s="82" t="n"/>
      <c r="K144" s="82" t="n"/>
      <c r="L144" s="82" t="n"/>
    </row>
    <row r="145">
      <c r="A145" s="82" t="n"/>
      <c r="B145" s="82" t="n"/>
      <c r="C145" s="82" t="n"/>
      <c r="D145" s="82" t="n"/>
      <c r="E145" s="82" t="n"/>
      <c r="F145" s="82" t="n"/>
      <c r="G145" s="82" t="n"/>
      <c r="H145" s="82" t="n"/>
      <c r="I145" s="82" t="n"/>
      <c r="J145" s="82" t="n"/>
      <c r="K145" s="82" t="n"/>
      <c r="L145" s="82" t="n"/>
    </row>
    <row r="146">
      <c r="A146" s="82" t="n"/>
      <c r="B146" s="82" t="n"/>
      <c r="C146" s="82" t="n"/>
      <c r="D146" s="82" t="n"/>
      <c r="E146" s="82" t="n"/>
      <c r="F146" s="82" t="n"/>
      <c r="G146" s="82" t="n"/>
      <c r="H146" s="82" t="n"/>
      <c r="I146" s="82" t="n"/>
      <c r="J146" s="82" t="n"/>
      <c r="K146" s="82" t="n"/>
      <c r="L146" s="82" t="n"/>
    </row>
    <row r="147">
      <c r="A147" s="82" t="n"/>
      <c r="B147" s="82" t="n"/>
      <c r="C147" s="82" t="n"/>
      <c r="D147" s="82" t="n"/>
      <c r="E147" s="82" t="n"/>
      <c r="F147" s="82" t="n"/>
      <c r="G147" s="82" t="n"/>
      <c r="H147" s="82" t="n"/>
      <c r="I147" s="82" t="n"/>
      <c r="J147" s="82" t="n"/>
      <c r="K147" s="82" t="n"/>
      <c r="L147" s="82" t="n"/>
    </row>
    <row r="148">
      <c r="A148" s="82" t="n"/>
      <c r="B148" s="82" t="n"/>
      <c r="C148" s="82" t="n"/>
      <c r="D148" s="82" t="n"/>
      <c r="E148" s="82" t="n"/>
      <c r="F148" s="82" t="n"/>
      <c r="G148" s="82" t="n"/>
      <c r="H148" s="82" t="n"/>
      <c r="I148" s="82" t="n"/>
      <c r="J148" s="82" t="n"/>
      <c r="K148" s="82" t="n"/>
      <c r="L148" s="82" t="n"/>
    </row>
    <row r="149">
      <c r="A149" s="82" t="n"/>
      <c r="B149" s="82" t="n"/>
      <c r="C149" s="82" t="n"/>
      <c r="D149" s="82" t="n"/>
      <c r="E149" s="82" t="n"/>
      <c r="F149" s="82" t="n"/>
      <c r="G149" s="82" t="n"/>
      <c r="H149" s="82" t="n"/>
      <c r="I149" s="82" t="n"/>
      <c r="J149" s="82" t="n"/>
      <c r="K149" s="82" t="n"/>
      <c r="L149" s="82" t="n"/>
    </row>
    <row r="150">
      <c r="A150" s="82" t="n"/>
      <c r="B150" s="82" t="n"/>
      <c r="C150" s="82" t="n"/>
      <c r="D150" s="82" t="n"/>
      <c r="E150" s="82" t="n"/>
      <c r="F150" s="82" t="n"/>
      <c r="G150" s="82" t="n"/>
      <c r="H150" s="82" t="n"/>
      <c r="I150" s="82" t="n"/>
      <c r="J150" s="82" t="n"/>
      <c r="K150" s="82" t="n"/>
      <c r="L150" s="82" t="n"/>
    </row>
    <row r="151">
      <c r="A151" s="82" t="n"/>
      <c r="B151" s="82" t="n"/>
      <c r="C151" s="82" t="n"/>
      <c r="D151" s="82" t="n"/>
      <c r="E151" s="82" t="n"/>
      <c r="F151" s="82" t="n"/>
      <c r="G151" s="82" t="n"/>
      <c r="H151" s="82" t="n"/>
      <c r="I151" s="82" t="n"/>
      <c r="J151" s="82" t="n"/>
      <c r="K151" s="82" t="n"/>
      <c r="L151" s="82" t="n"/>
    </row>
    <row r="152">
      <c r="A152" s="82" t="n"/>
      <c r="B152" s="82" t="n"/>
      <c r="C152" s="82" t="n"/>
      <c r="D152" s="82" t="n"/>
      <c r="E152" s="82" t="n"/>
      <c r="F152" s="82" t="n"/>
      <c r="G152" s="82" t="n"/>
      <c r="H152" s="82" t="n"/>
      <c r="I152" s="82" t="n"/>
      <c r="J152" s="82" t="n"/>
      <c r="K152" s="82" t="n"/>
      <c r="L152" s="82" t="n"/>
    </row>
    <row r="153">
      <c r="A153" s="82" t="n"/>
      <c r="B153" s="82" t="n"/>
      <c r="C153" s="82" t="n"/>
      <c r="D153" s="82" t="n"/>
      <c r="E153" s="82" t="n"/>
      <c r="F153" s="82" t="n"/>
      <c r="G153" s="82" t="n"/>
      <c r="H153" s="82" t="n"/>
      <c r="I153" s="82" t="n"/>
      <c r="J153" s="82" t="n"/>
      <c r="K153" s="82" t="n"/>
      <c r="L153" s="82" t="n"/>
    </row>
    <row r="154">
      <c r="A154" s="82" t="n"/>
      <c r="B154" s="82" t="n"/>
      <c r="C154" s="82" t="n"/>
      <c r="D154" s="82" t="n"/>
      <c r="E154" s="82" t="n"/>
      <c r="F154" s="82" t="n"/>
      <c r="G154" s="82" t="n"/>
      <c r="H154" s="82" t="n"/>
      <c r="I154" s="82" t="n"/>
      <c r="J154" s="82" t="n"/>
      <c r="K154" s="82" t="n"/>
      <c r="L154" s="82" t="n"/>
    </row>
    <row r="155">
      <c r="A155" s="82" t="n"/>
      <c r="B155" s="82" t="n"/>
      <c r="C155" s="82" t="n"/>
      <c r="D155" s="82" t="n"/>
      <c r="E155" s="82" t="n"/>
      <c r="F155" s="82" t="n"/>
      <c r="G155" s="82" t="n"/>
      <c r="H155" s="82" t="n"/>
      <c r="I155" s="82" t="n"/>
      <c r="J155" s="82" t="n"/>
      <c r="K155" s="82" t="n"/>
      <c r="L155" s="82" t="n"/>
    </row>
    <row r="156">
      <c r="A156" s="82" t="n"/>
      <c r="B156" s="82" t="n"/>
      <c r="C156" s="82" t="n"/>
      <c r="D156" s="82" t="n"/>
      <c r="E156" s="82" t="n"/>
      <c r="F156" s="82" t="n"/>
      <c r="G156" s="82" t="n"/>
      <c r="H156" s="82" t="n"/>
      <c r="I156" s="82" t="n"/>
      <c r="J156" s="82" t="n"/>
      <c r="K156" s="82" t="n"/>
      <c r="L156" s="82" t="n"/>
    </row>
    <row r="157">
      <c r="A157" s="82" t="n"/>
      <c r="B157" s="82" t="n"/>
      <c r="C157" s="82" t="n"/>
      <c r="D157" s="82" t="n"/>
      <c r="E157" s="82" t="n"/>
      <c r="F157" s="82" t="n"/>
      <c r="G157" s="82" t="n"/>
      <c r="H157" s="82" t="n"/>
      <c r="I157" s="82" t="n"/>
      <c r="J157" s="82" t="n"/>
      <c r="K157" s="82" t="n"/>
      <c r="L157" s="82" t="n"/>
    </row>
    <row r="158">
      <c r="A158" s="82" t="n"/>
      <c r="B158" s="82" t="n"/>
      <c r="C158" s="82" t="n"/>
      <c r="D158" s="82" t="n"/>
      <c r="E158" s="82" t="n"/>
      <c r="F158" s="82" t="n"/>
      <c r="G158" s="82" t="n"/>
      <c r="H158" s="82" t="n"/>
      <c r="I158" s="82" t="n"/>
      <c r="J158" s="82" t="n"/>
      <c r="K158" s="82" t="n"/>
      <c r="L158" s="82" t="n"/>
    </row>
    <row r="159">
      <c r="A159" s="82" t="n"/>
      <c r="B159" s="82" t="n"/>
      <c r="C159" s="82" t="n"/>
      <c r="D159" s="82" t="n"/>
      <c r="E159" s="82" t="n"/>
      <c r="F159" s="82" t="n"/>
      <c r="G159" s="82" t="n"/>
      <c r="H159" s="82" t="n"/>
      <c r="I159" s="82" t="n"/>
      <c r="J159" s="82" t="n"/>
      <c r="K159" s="82" t="n"/>
      <c r="L159" s="82" t="n"/>
    </row>
    <row r="160">
      <c r="A160" s="82" t="n"/>
      <c r="B160" s="82" t="n"/>
      <c r="C160" s="82" t="n"/>
      <c r="D160" s="82" t="n"/>
      <c r="E160" s="82" t="n"/>
      <c r="F160" s="82" t="n"/>
      <c r="G160" s="82" t="n"/>
      <c r="H160" s="82" t="n"/>
      <c r="I160" s="82" t="n"/>
      <c r="J160" s="82" t="n"/>
      <c r="K160" s="82" t="n"/>
      <c r="L160" s="82" t="n"/>
    </row>
    <row r="161">
      <c r="A161" s="82" t="n"/>
      <c r="B161" s="82" t="n"/>
      <c r="C161" s="82" t="n"/>
      <c r="D161" s="82" t="n"/>
      <c r="E161" s="82" t="n"/>
      <c r="F161" s="82" t="n"/>
      <c r="G161" s="82" t="n"/>
      <c r="H161" s="82" t="n"/>
      <c r="I161" s="82" t="n"/>
      <c r="J161" s="82" t="n"/>
      <c r="K161" s="82" t="n"/>
      <c r="L161" s="82" t="n"/>
    </row>
    <row r="162">
      <c r="A162" s="82" t="n"/>
      <c r="B162" s="82" t="n"/>
      <c r="C162" s="82" t="n"/>
      <c r="D162" s="82" t="n"/>
      <c r="E162" s="82" t="n"/>
      <c r="F162" s="82" t="n"/>
      <c r="G162" s="82" t="n"/>
      <c r="H162" s="82" t="n"/>
      <c r="I162" s="82" t="n"/>
      <c r="J162" s="82" t="n"/>
      <c r="K162" s="82" t="n"/>
      <c r="L162" s="82" t="n"/>
    </row>
    <row r="163">
      <c r="A163" s="82" t="n"/>
      <c r="B163" s="82" t="n"/>
      <c r="C163" s="82" t="n"/>
      <c r="D163" s="82" t="n"/>
      <c r="E163" s="82" t="n"/>
      <c r="F163" s="82" t="n"/>
      <c r="G163" s="82" t="n"/>
      <c r="H163" s="82" t="n"/>
      <c r="I163" s="82" t="n"/>
      <c r="J163" s="82" t="n"/>
      <c r="K163" s="82" t="n"/>
      <c r="L163" s="82" t="n"/>
    </row>
    <row r="164">
      <c r="A164" s="82" t="n"/>
      <c r="B164" s="82" t="n"/>
      <c r="C164" s="82" t="n"/>
      <c r="D164" s="82" t="n"/>
      <c r="E164" s="82" t="n"/>
      <c r="F164" s="82" t="n"/>
      <c r="G164" s="82" t="n"/>
      <c r="H164" s="82" t="n"/>
      <c r="I164" s="82" t="n"/>
      <c r="J164" s="82" t="n"/>
      <c r="K164" s="82" t="n"/>
      <c r="L164" s="82" t="n"/>
    </row>
    <row r="165">
      <c r="A165" s="82" t="n"/>
      <c r="B165" s="82" t="n"/>
      <c r="C165" s="82" t="n"/>
      <c r="D165" s="82" t="n"/>
      <c r="E165" s="82" t="n"/>
      <c r="F165" s="82" t="n"/>
      <c r="G165" s="82" t="n"/>
      <c r="H165" s="82" t="n"/>
      <c r="I165" s="82" t="n"/>
      <c r="J165" s="82" t="n"/>
      <c r="K165" s="82" t="n"/>
      <c r="L165" s="82" t="n"/>
    </row>
    <row r="166">
      <c r="A166" s="82" t="n"/>
      <c r="B166" s="82" t="n"/>
      <c r="C166" s="82" t="n"/>
      <c r="D166" s="82" t="n"/>
      <c r="E166" s="82" t="n"/>
      <c r="F166" s="82" t="n"/>
      <c r="G166" s="82" t="n"/>
      <c r="H166" s="82" t="n"/>
      <c r="I166" s="82" t="n"/>
      <c r="J166" s="82" t="n"/>
      <c r="K166" s="82" t="n"/>
      <c r="L166" s="82" t="n"/>
    </row>
    <row r="167">
      <c r="A167" s="82" t="n"/>
      <c r="B167" s="82" t="n"/>
      <c r="C167" s="82" t="n"/>
      <c r="D167" s="82" t="n"/>
      <c r="E167" s="82" t="n"/>
      <c r="F167" s="82" t="n"/>
      <c r="G167" s="82" t="n"/>
      <c r="H167" s="82" t="n"/>
      <c r="I167" s="82" t="n"/>
      <c r="J167" s="82" t="n"/>
      <c r="K167" s="82" t="n"/>
      <c r="L167" s="82" t="n"/>
    </row>
    <row r="168">
      <c r="A168" s="82" t="n"/>
      <c r="B168" s="82" t="n"/>
      <c r="C168" s="82" t="n"/>
      <c r="D168" s="82" t="n"/>
      <c r="E168" s="82" t="n"/>
      <c r="F168" s="82" t="n"/>
      <c r="G168" s="82" t="n"/>
      <c r="H168" s="82" t="n"/>
      <c r="I168" s="82" t="n"/>
      <c r="J168" s="82" t="n"/>
      <c r="K168" s="82" t="n"/>
      <c r="L168" s="82" t="n"/>
    </row>
    <row r="169">
      <c r="A169" s="82" t="n"/>
      <c r="B169" s="82" t="n"/>
      <c r="C169" s="82" t="n"/>
      <c r="D169" s="82" t="n"/>
      <c r="E169" s="82" t="n"/>
      <c r="F169" s="82" t="n"/>
      <c r="G169" s="82" t="n"/>
      <c r="H169" s="82" t="n"/>
      <c r="I169" s="82" t="n"/>
      <c r="J169" s="82" t="n"/>
      <c r="K169" s="82" t="n"/>
      <c r="L169" s="82" t="n"/>
    </row>
    <row r="170">
      <c r="A170" s="82" t="n"/>
      <c r="B170" s="82" t="n"/>
      <c r="C170" s="82" t="n"/>
      <c r="D170" s="82" t="n"/>
      <c r="E170" s="82" t="n"/>
      <c r="F170" s="82" t="n"/>
      <c r="G170" s="82" t="n"/>
      <c r="H170" s="82" t="n"/>
      <c r="I170" s="82" t="n"/>
      <c r="J170" s="82" t="n"/>
      <c r="K170" s="82" t="n"/>
      <c r="L170" s="82" t="n"/>
    </row>
    <row r="171">
      <c r="A171" s="82" t="n"/>
      <c r="B171" s="82" t="n"/>
      <c r="C171" s="82" t="n"/>
      <c r="D171" s="82" t="n"/>
      <c r="E171" s="82" t="n"/>
      <c r="F171" s="82" t="n"/>
      <c r="G171" s="82" t="n"/>
      <c r="H171" s="82" t="n"/>
      <c r="I171" s="82" t="n"/>
      <c r="J171" s="82" t="n"/>
      <c r="K171" s="82" t="n"/>
      <c r="L171" s="82" t="n"/>
    </row>
    <row r="172">
      <c r="A172" s="82" t="n"/>
      <c r="B172" s="82" t="n"/>
      <c r="C172" s="82" t="n"/>
      <c r="D172" s="82" t="n"/>
      <c r="E172" s="82" t="n"/>
      <c r="F172" s="82" t="n"/>
      <c r="G172" s="82" t="n"/>
      <c r="H172" s="82" t="n"/>
      <c r="I172" s="82" t="n"/>
      <c r="J172" s="82" t="n"/>
      <c r="K172" s="82" t="n"/>
      <c r="L172" s="82" t="n"/>
    </row>
    <row r="173">
      <c r="A173" s="82" t="n"/>
      <c r="B173" s="82" t="n"/>
      <c r="C173" s="82" t="n"/>
      <c r="D173" s="82" t="n"/>
      <c r="E173" s="82" t="n"/>
      <c r="F173" s="82" t="n"/>
      <c r="G173" s="82" t="n"/>
      <c r="H173" s="82" t="n"/>
      <c r="I173" s="82" t="n"/>
      <c r="J173" s="82" t="n"/>
      <c r="K173" s="82" t="n"/>
      <c r="L173" s="82" t="n"/>
    </row>
    <row r="174">
      <c r="A174" s="82" t="n"/>
      <c r="B174" s="82" t="n"/>
      <c r="C174" s="82" t="n"/>
      <c r="D174" s="82" t="n"/>
      <c r="E174" s="82" t="n"/>
      <c r="F174" s="82" t="n"/>
      <c r="G174" s="82" t="n"/>
      <c r="H174" s="82" t="n"/>
      <c r="I174" s="82" t="n"/>
      <c r="J174" s="82" t="n"/>
      <c r="K174" s="82" t="n"/>
      <c r="L174" s="82" t="n"/>
    </row>
    <row r="175">
      <c r="A175" s="82" t="n"/>
      <c r="B175" s="82" t="n"/>
      <c r="C175" s="82" t="n"/>
      <c r="D175" s="82" t="n"/>
      <c r="E175" s="82" t="n"/>
      <c r="F175" s="82" t="n"/>
      <c r="G175" s="82" t="n"/>
      <c r="H175" s="82" t="n"/>
      <c r="I175" s="82" t="n"/>
      <c r="J175" s="82" t="n"/>
      <c r="K175" s="82" t="n"/>
      <c r="L175" s="82" t="n"/>
    </row>
    <row r="176">
      <c r="A176" s="82" t="n"/>
      <c r="B176" s="82" t="n"/>
      <c r="C176" s="82" t="n"/>
      <c r="D176" s="82" t="n"/>
      <c r="E176" s="82" t="n"/>
      <c r="F176" s="82" t="n"/>
      <c r="G176" s="82" t="n"/>
      <c r="H176" s="82" t="n"/>
      <c r="I176" s="82" t="n"/>
      <c r="J176" s="82" t="n"/>
      <c r="K176" s="82" t="n"/>
      <c r="L176" s="82" t="n"/>
    </row>
    <row r="177">
      <c r="A177" s="82" t="n"/>
      <c r="B177" s="82" t="n"/>
      <c r="C177" s="82" t="n"/>
      <c r="D177" s="82" t="n"/>
      <c r="E177" s="82" t="n"/>
      <c r="F177" s="82" t="n"/>
      <c r="G177" s="82" t="n"/>
      <c r="H177" s="82" t="n"/>
      <c r="I177" s="82" t="n"/>
      <c r="J177" s="82" t="n"/>
      <c r="K177" s="82" t="n"/>
      <c r="L177" s="82" t="n"/>
    </row>
    <row r="178">
      <c r="A178" s="82" t="n"/>
      <c r="B178" s="82" t="n"/>
      <c r="C178" s="82" t="n"/>
      <c r="D178" s="82" t="n"/>
      <c r="E178" s="82" t="n"/>
      <c r="F178" s="82" t="n"/>
      <c r="G178" s="82" t="n"/>
      <c r="H178" s="82" t="n"/>
      <c r="I178" s="82" t="n"/>
      <c r="J178" s="82" t="n"/>
      <c r="K178" s="82" t="n"/>
      <c r="L178" s="82" t="n"/>
    </row>
    <row r="179">
      <c r="A179" s="82" t="n"/>
      <c r="B179" s="82" t="n"/>
      <c r="C179" s="82" t="n"/>
      <c r="D179" s="82" t="n"/>
      <c r="E179" s="82" t="n"/>
      <c r="F179" s="82" t="n"/>
      <c r="G179" s="82" t="n"/>
      <c r="H179" s="82" t="n"/>
      <c r="I179" s="82" t="n"/>
      <c r="J179" s="82" t="n"/>
      <c r="K179" s="82" t="n"/>
      <c r="L179" s="82" t="n"/>
    </row>
    <row r="180">
      <c r="A180" s="82" t="n"/>
      <c r="B180" s="82" t="n"/>
      <c r="C180" s="82" t="n"/>
      <c r="D180" s="82" t="n"/>
      <c r="E180" s="82" t="n"/>
      <c r="F180" s="82" t="n"/>
      <c r="G180" s="82" t="n"/>
      <c r="H180" s="82" t="n"/>
      <c r="I180" s="82" t="n"/>
      <c r="J180" s="82" t="n"/>
      <c r="K180" s="82" t="n"/>
      <c r="L180" s="82" t="n"/>
    </row>
    <row r="181">
      <c r="A181" s="82" t="n"/>
      <c r="B181" s="82" t="n"/>
      <c r="C181" s="82" t="n"/>
      <c r="D181" s="82" t="n"/>
      <c r="E181" s="82" t="n"/>
      <c r="F181" s="82" t="n"/>
      <c r="G181" s="82" t="n"/>
      <c r="H181" s="82" t="n"/>
      <c r="I181" s="82" t="n"/>
      <c r="J181" s="82" t="n"/>
      <c r="K181" s="82" t="n"/>
      <c r="L181" s="82" t="n"/>
    </row>
    <row r="182">
      <c r="A182" s="82" t="n"/>
      <c r="B182" s="82" t="n"/>
      <c r="C182" s="82" t="n"/>
      <c r="D182" s="82" t="n"/>
      <c r="E182" s="82" t="n"/>
      <c r="F182" s="82" t="n"/>
      <c r="G182" s="82" t="n"/>
      <c r="H182" s="82" t="n"/>
      <c r="I182" s="82" t="n"/>
      <c r="J182" s="82" t="n"/>
      <c r="K182" s="82" t="n"/>
      <c r="L182" s="82" t="n"/>
    </row>
    <row r="183">
      <c r="A183" s="82" t="n"/>
      <c r="B183" s="82" t="n"/>
      <c r="C183" s="82" t="n"/>
      <c r="D183" s="82" t="n"/>
      <c r="E183" s="82" t="n"/>
      <c r="F183" s="82" t="n"/>
      <c r="G183" s="82" t="n"/>
      <c r="H183" s="82" t="n"/>
      <c r="I183" s="82" t="n"/>
      <c r="J183" s="82" t="n"/>
      <c r="K183" s="82" t="n"/>
      <c r="L183" s="82" t="n"/>
    </row>
    <row r="184">
      <c r="A184" s="82" t="n"/>
      <c r="B184" s="82" t="n"/>
      <c r="C184" s="82" t="n"/>
      <c r="D184" s="82" t="n"/>
      <c r="E184" s="82" t="n"/>
      <c r="F184" s="82" t="n"/>
      <c r="G184" s="82" t="n"/>
      <c r="H184" s="82" t="n"/>
      <c r="I184" s="82" t="n"/>
      <c r="J184" s="82" t="n"/>
      <c r="K184" s="82" t="n"/>
      <c r="L184" s="82" t="n"/>
    </row>
    <row r="185">
      <c r="A185" s="82" t="n"/>
      <c r="B185" s="82" t="n"/>
      <c r="C185" s="82" t="n"/>
      <c r="D185" s="82" t="n"/>
      <c r="E185" s="82" t="n"/>
      <c r="F185" s="82" t="n"/>
      <c r="G185" s="82" t="n"/>
      <c r="H185" s="82" t="n"/>
      <c r="I185" s="82" t="n"/>
      <c r="J185" s="82" t="n"/>
      <c r="K185" s="82" t="n"/>
      <c r="L185" s="82" t="n"/>
    </row>
    <row r="186">
      <c r="A186" s="82" t="n"/>
      <c r="B186" s="82" t="n"/>
      <c r="C186" s="82" t="n"/>
      <c r="D186" s="82" t="n"/>
      <c r="E186" s="82" t="n"/>
      <c r="F186" s="82" t="n"/>
      <c r="G186" s="82" t="n"/>
      <c r="H186" s="82" t="n"/>
      <c r="I186" s="82" t="n"/>
      <c r="J186" s="82" t="n"/>
      <c r="K186" s="82" t="n"/>
      <c r="L186" s="82" t="n"/>
    </row>
    <row r="187">
      <c r="A187" s="82" t="n"/>
      <c r="B187" s="82" t="n"/>
      <c r="C187" s="82" t="n"/>
      <c r="D187" s="82" t="n"/>
      <c r="E187" s="82" t="n"/>
      <c r="F187" s="82" t="n"/>
      <c r="G187" s="82" t="n"/>
      <c r="H187" s="82" t="n"/>
      <c r="I187" s="82" t="n"/>
      <c r="J187" s="82" t="n"/>
      <c r="K187" s="82" t="n"/>
      <c r="L187" s="82" t="n"/>
    </row>
    <row r="188">
      <c r="A188" s="82" t="n"/>
      <c r="B188" s="82" t="n"/>
      <c r="C188" s="82" t="n"/>
      <c r="D188" s="82" t="n"/>
      <c r="E188" s="82" t="n"/>
      <c r="F188" s="82" t="n"/>
      <c r="G188" s="82" t="n"/>
      <c r="H188" s="82" t="n"/>
      <c r="I188" s="82" t="n"/>
      <c r="J188" s="82" t="n"/>
      <c r="K188" s="82" t="n"/>
      <c r="L188" s="82" t="n"/>
    </row>
    <row r="189">
      <c r="A189" s="82" t="n"/>
      <c r="B189" s="82" t="n"/>
      <c r="C189" s="82" t="n"/>
      <c r="D189" s="82" t="n"/>
      <c r="E189" s="82" t="n"/>
      <c r="F189" s="82" t="n"/>
      <c r="G189" s="82" t="n"/>
      <c r="H189" s="82" t="n"/>
      <c r="I189" s="82" t="n"/>
      <c r="J189" s="82" t="n"/>
      <c r="K189" s="82" t="n"/>
      <c r="L189" s="82" t="n"/>
    </row>
    <row r="190">
      <c r="A190" s="82" t="n"/>
      <c r="B190" s="82" t="n"/>
      <c r="C190" s="82" t="n"/>
      <c r="D190" s="82" t="n"/>
      <c r="E190" s="82" t="n"/>
      <c r="F190" s="82" t="n"/>
      <c r="G190" s="82" t="n"/>
      <c r="H190" s="82" t="n"/>
      <c r="I190" s="82" t="n"/>
      <c r="J190" s="82" t="n"/>
      <c r="K190" s="82" t="n"/>
      <c r="L190" s="82" t="n"/>
    </row>
    <row r="191">
      <c r="A191" s="82" t="n"/>
      <c r="B191" s="82" t="n"/>
      <c r="C191" s="82" t="n"/>
      <c r="D191" s="82" t="n"/>
      <c r="E191" s="82" t="n"/>
      <c r="F191" s="82" t="n"/>
      <c r="G191" s="82" t="n"/>
      <c r="H191" s="82" t="n"/>
      <c r="I191" s="82" t="n"/>
      <c r="J191" s="82" t="n"/>
      <c r="K191" s="82" t="n"/>
      <c r="L191" s="82" t="n"/>
    </row>
    <row r="192">
      <c r="A192" s="82" t="n"/>
      <c r="B192" s="82" t="n"/>
      <c r="C192" s="82" t="n"/>
      <c r="D192" s="82" t="n"/>
      <c r="E192" s="82" t="n"/>
      <c r="F192" s="82" t="n"/>
      <c r="G192" s="82" t="n"/>
      <c r="H192" s="82" t="n"/>
      <c r="I192" s="82" t="n"/>
      <c r="J192" s="82" t="n"/>
      <c r="K192" s="82" t="n"/>
      <c r="L192" s="82" t="n"/>
    </row>
    <row r="193">
      <c r="A193" s="82" t="n"/>
      <c r="B193" s="82" t="n"/>
      <c r="C193" s="82" t="n"/>
      <c r="D193" s="82" t="n"/>
      <c r="E193" s="82" t="n"/>
      <c r="F193" s="82" t="n"/>
      <c r="G193" s="82" t="n"/>
      <c r="H193" s="82" t="n"/>
      <c r="I193" s="82" t="n"/>
      <c r="J193" s="82" t="n"/>
      <c r="K193" s="82" t="n"/>
      <c r="L193" s="82" t="n"/>
    </row>
    <row r="194">
      <c r="A194" s="82" t="n"/>
      <c r="B194" s="82" t="n"/>
      <c r="C194" s="82" t="n"/>
      <c r="D194" s="82" t="n"/>
      <c r="E194" s="82" t="n"/>
      <c r="F194" s="82" t="n"/>
      <c r="G194" s="82" t="n"/>
      <c r="H194" s="82" t="n"/>
      <c r="I194" s="82" t="n"/>
      <c r="J194" s="82" t="n"/>
      <c r="K194" s="82" t="n"/>
      <c r="L194" s="82" t="n"/>
    </row>
    <row r="195">
      <c r="A195" s="82" t="n"/>
      <c r="B195" s="82" t="n"/>
      <c r="C195" s="82" t="n"/>
      <c r="D195" s="82" t="n"/>
      <c r="E195" s="82" t="n"/>
      <c r="F195" s="82" t="n"/>
      <c r="G195" s="82" t="n"/>
      <c r="H195" s="82" t="n"/>
      <c r="I195" s="82" t="n"/>
      <c r="J195" s="82" t="n"/>
      <c r="K195" s="82" t="n"/>
      <c r="L195" s="82" t="n"/>
    </row>
    <row r="196">
      <c r="A196" s="82" t="n"/>
      <c r="B196" s="82" t="n"/>
      <c r="C196" s="82" t="n"/>
      <c r="D196" s="82" t="n"/>
      <c r="E196" s="82" t="n"/>
      <c r="F196" s="82" t="n"/>
      <c r="G196" s="82" t="n"/>
      <c r="H196" s="82" t="n"/>
      <c r="I196" s="82" t="n"/>
      <c r="J196" s="82" t="n"/>
      <c r="K196" s="82" t="n"/>
      <c r="L196" s="82" t="n"/>
    </row>
    <row r="197">
      <c r="A197" s="82" t="n"/>
      <c r="B197" s="82" t="n"/>
      <c r="C197" s="82" t="n"/>
      <c r="D197" s="82" t="n"/>
      <c r="E197" s="82" t="n"/>
      <c r="F197" s="82" t="n"/>
      <c r="G197" s="82" t="n"/>
      <c r="H197" s="82" t="n"/>
      <c r="I197" s="82" t="n"/>
      <c r="J197" s="82" t="n"/>
      <c r="K197" s="82" t="n"/>
      <c r="L197" s="82" t="n"/>
    </row>
    <row r="198">
      <c r="A198" s="82" t="n"/>
      <c r="B198" s="82" t="n"/>
      <c r="C198" s="82" t="n"/>
      <c r="D198" s="82" t="n"/>
      <c r="E198" s="82" t="n"/>
      <c r="F198" s="82" t="n"/>
      <c r="G198" s="82" t="n"/>
      <c r="H198" s="82" t="n"/>
      <c r="I198" s="82" t="n"/>
      <c r="J198" s="82" t="n"/>
      <c r="K198" s="82" t="n"/>
      <c r="L198" s="82" t="n"/>
    </row>
    <row r="199">
      <c r="A199" s="82" t="n"/>
      <c r="B199" s="82" t="n"/>
      <c r="C199" s="82" t="n"/>
      <c r="D199" s="82" t="n"/>
      <c r="E199" s="82" t="n"/>
      <c r="F199" s="82" t="n"/>
      <c r="G199" s="82" t="n"/>
      <c r="H199" s="82" t="n"/>
      <c r="I199" s="82" t="n"/>
      <c r="J199" s="82" t="n"/>
      <c r="K199" s="82" t="n"/>
      <c r="L199" s="82" t="n"/>
    </row>
    <row r="200">
      <c r="A200" s="82" t="n"/>
      <c r="B200" s="82" t="n"/>
      <c r="C200" s="82" t="n"/>
      <c r="D200" s="82" t="n"/>
      <c r="E200" s="82" t="n"/>
      <c r="F200" s="82" t="n"/>
      <c r="G200" s="82" t="n"/>
      <c r="H200" s="82" t="n"/>
      <c r="I200" s="82" t="n"/>
      <c r="J200" s="82" t="n"/>
      <c r="K200" s="82" t="n"/>
      <c r="L200" s="82" t="n"/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autoFilter ref="A4:N20"/>
  <mergeCells count="2">
    <mergeCell ref="A2:N2"/>
    <mergeCell ref="A1:N1"/>
  </mergeCells>
  <conditionalFormatting sqref="N5:N200">
    <cfRule type="expression" priority="1" dxfId="0">
      <formula>N5="OK"</formula>
    </cfRule>
    <cfRule type="expression" priority="2" dxfId="2">
      <formula>N5="Expiring"</formula>
    </cfRule>
    <cfRule type="expression" priority="3" dxfId="4">
      <formula>N5="Expired"</formula>
    </cfRule>
  </conditionalFormatting>
  <conditionalFormatting sqref="J5:J200">
    <cfRule type="expression" priority="4" dxfId="0">
      <formula>J5="Yes"</formula>
    </cfRule>
    <cfRule type="expression" priority="5" dxfId="8">
      <formula>J5="No"</formula>
    </cfRule>
  </conditionalFormatting>
  <dataValidations count="1">
    <dataValidation sqref="D5:D200" showDropDown="0" showInputMessage="0" showErrorMessage="1" allowBlank="1" errorTitle="Invalid value" error="Pick a value from the list." type="list">
      <formula1>=Doc_Category</formula1>
    </dataValidation>
  </dataValidations>
  <pageMargins left="0.4" right="0.4" top="0.6" bottom="0.5" header="0.25" footer="0.25"/>
  <pageSetup orientation="landscape" paperSize="3" fitToHeight="0" fitToWidth="1"/>
  <headerFooter>
    <oddHeader>&amp;LNovality Store  ·  Home Renovation System&amp;RDocuments</oddHeader>
    <oddFooter>&amp;LConfidential  ·  Digital twin of the home&amp;RPage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004A6B73"/>
    <outlinePr summaryBelow="1" summaryRight="1"/>
    <pageSetUpPr fitToPage="1"/>
  </sheetPr>
  <dimension ref="A1:K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6" customWidth="1" min="5" max="5"/>
    <col width="18" customWidth="1" min="6" max="6"/>
    <col width="14" customWidth="1" min="7" max="7"/>
    <col width="64" customWidth="1" min="8" max="8"/>
    <col width="28" customWidth="1" min="9" max="9"/>
    <col width="18" customWidth="1" min="10" max="10"/>
    <col width="8" customWidth="1" min="11" max="11"/>
  </cols>
  <sheetData>
    <row r="1" ht="28" customHeight="1">
      <c r="A1" s="1" t="inlineStr">
        <is>
          <t>MESSAGES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8" customHeight="1">
      <c r="A2" s="3" t="inlineStr">
        <is>
          <t>Homeowner ↔ contractor ↔ designer ↔ supplier  ·  keep threads on a room or task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 ht="22" customHeight="1">
      <c r="A4" s="66" t="inlineStr">
        <is>
          <t>Msg ID</t>
        </is>
      </c>
      <c r="B4" s="66" t="inlineStr">
        <is>
          <t>Date / Time</t>
        </is>
      </c>
      <c r="C4" s="66" t="inlineStr">
        <is>
          <t>Project ID</t>
        </is>
      </c>
      <c r="D4" s="66" t="inlineStr">
        <is>
          <t>Room / Task</t>
        </is>
      </c>
      <c r="E4" s="66" t="inlineStr">
        <is>
          <t>From</t>
        </is>
      </c>
      <c r="F4" s="66" t="inlineStr">
        <is>
          <t>To</t>
        </is>
      </c>
      <c r="G4" s="66" t="inlineStr">
        <is>
          <t>Channel</t>
        </is>
      </c>
      <c r="H4" s="66" t="inlineStr">
        <is>
          <t>Message</t>
        </is>
      </c>
      <c r="I4" s="66" t="inlineStr">
        <is>
          <t>Attachments</t>
        </is>
      </c>
      <c r="J4" s="66" t="inlineStr">
        <is>
          <t>Mentions</t>
        </is>
      </c>
      <c r="K4" s="66" t="inlineStr">
        <is>
          <t>Read</t>
        </is>
      </c>
    </row>
    <row r="5" ht="18" customHeight="1">
      <c r="A5" s="67" t="inlineStr">
        <is>
          <t>MSG-001</t>
        </is>
      </c>
      <c r="B5" s="116" t="n">
        <v>46254.38333333333</v>
      </c>
      <c r="C5" s="67" t="inlineStr">
        <is>
          <t>PRJ-001</t>
        </is>
      </c>
      <c r="D5" s="67" t="inlineStr">
        <is>
          <t>RM-01 / TSK-013</t>
        </is>
      </c>
      <c r="E5" s="68" t="inlineStr">
        <is>
          <t>Maya Chen</t>
        </is>
      </c>
      <c r="F5" s="68" t="inlineStr">
        <is>
          <t>Alex Rivera</t>
        </is>
      </c>
      <c r="G5" s="68" t="inlineStr">
        <is>
          <t>App</t>
        </is>
      </c>
      <c r="H5" s="67" t="inlineStr">
        <is>
          <t>Boxes land tomorrow 7:30. Please keep driveway clear.</t>
        </is>
      </c>
      <c r="I5" s="67" t="inlineStr"/>
      <c r="J5" s="67" t="inlineStr">
        <is>
          <t>@Alex</t>
        </is>
      </c>
      <c r="K5" s="68" t="inlineStr">
        <is>
          <t>Yes</t>
        </is>
      </c>
    </row>
    <row r="6" ht="18" customHeight="1">
      <c r="A6" s="75" t="inlineStr">
        <is>
          <t>MSG-002</t>
        </is>
      </c>
      <c r="B6" s="117" t="n">
        <v>46254.40277777778</v>
      </c>
      <c r="C6" s="75" t="inlineStr">
        <is>
          <t>PRJ-001</t>
        </is>
      </c>
      <c r="D6" s="75" t="inlineStr">
        <is>
          <t>RM-01 / TSK-013</t>
        </is>
      </c>
      <c r="E6" s="76" t="inlineStr">
        <is>
          <t>Alex Rivera</t>
        </is>
      </c>
      <c r="F6" s="76" t="inlineStr">
        <is>
          <t>Maya Chen</t>
        </is>
      </c>
      <c r="G6" s="76" t="inlineStr">
        <is>
          <t>App</t>
        </is>
      </c>
      <c r="H6" s="75" t="inlineStr">
        <is>
          <t>Confirmed. I'll move the car tonight.</t>
        </is>
      </c>
      <c r="I6" s="75" t="inlineStr"/>
      <c r="J6" s="75" t="inlineStr">
        <is>
          <t>@Maya</t>
        </is>
      </c>
      <c r="K6" s="76" t="inlineStr">
        <is>
          <t>Yes</t>
        </is>
      </c>
    </row>
    <row r="7" ht="18" customHeight="1">
      <c r="A7" s="67" t="inlineStr">
        <is>
          <t>MSG-003</t>
        </is>
      </c>
      <c r="B7" s="116" t="n">
        <v>46255.58680555555</v>
      </c>
      <c r="C7" s="67" t="inlineStr">
        <is>
          <t>PRJ-001</t>
        </is>
      </c>
      <c r="D7" s="67" t="inlineStr">
        <is>
          <t>RM-01</t>
        </is>
      </c>
      <c r="E7" s="68" t="inlineStr">
        <is>
          <t>Sofia Alvarez</t>
        </is>
      </c>
      <c r="F7" s="68" t="inlineStr">
        <is>
          <t>Project group</t>
        </is>
      </c>
      <c r="G7" s="68" t="inlineStr">
        <is>
          <t>Group Chat</t>
        </is>
      </c>
      <c r="H7" s="67" t="inlineStr">
        <is>
          <t>AI recommends porcelain on the island only. Mood board updated.</t>
        </is>
      </c>
      <c r="I7" s="67" t="inlineStr">
        <is>
          <t>drive/mood/kitchen-01</t>
        </is>
      </c>
      <c r="J7" s="67" t="inlineStr">
        <is>
          <t>@Alex @Marcus</t>
        </is>
      </c>
      <c r="K7" s="68" t="inlineStr">
        <is>
          <t>Yes</t>
        </is>
      </c>
    </row>
    <row r="8" ht="18" customHeight="1">
      <c r="A8" s="75" t="inlineStr">
        <is>
          <t>MSG-004</t>
        </is>
      </c>
      <c r="B8" s="117" t="n">
        <v>46255.68194444444</v>
      </c>
      <c r="C8" s="75" t="inlineStr">
        <is>
          <t>PRJ-001</t>
        </is>
      </c>
      <c r="D8" s="75" t="inlineStr">
        <is>
          <t>RM-01</t>
        </is>
      </c>
      <c r="E8" s="76" t="inlineStr">
        <is>
          <t>Alex Rivera</t>
        </is>
      </c>
      <c r="F8" s="76" t="inlineStr">
        <is>
          <t>Sofia Alvarez</t>
        </is>
      </c>
      <c r="G8" s="76" t="inlineStr">
        <is>
          <t>App</t>
        </is>
      </c>
      <c r="H8" s="75" t="inlineStr">
        <is>
          <t>Approved — keep quartz on the run, porcelain on the island.</t>
        </is>
      </c>
      <c r="I8" s="75" t="inlineStr"/>
      <c r="J8" s="75" t="inlineStr">
        <is>
          <t>@Sofia</t>
        </is>
      </c>
      <c r="K8" s="76" t="inlineStr">
        <is>
          <t>Yes</t>
        </is>
      </c>
    </row>
    <row r="9" ht="18" customHeight="1">
      <c r="A9" s="67" t="inlineStr">
        <is>
          <t>MSG-005</t>
        </is>
      </c>
      <c r="B9" s="116" t="n">
        <v>46256.33402777778</v>
      </c>
      <c r="C9" s="67" t="inlineStr">
        <is>
          <t>PRJ-001</t>
        </is>
      </c>
      <c r="D9" s="67" t="inlineStr">
        <is>
          <t>MAT-002</t>
        </is>
      </c>
      <c r="E9" s="68" t="inlineStr">
        <is>
          <t>Maya Chen</t>
        </is>
      </c>
      <c r="F9" s="68" t="inlineStr">
        <is>
          <t>Marcus Webb</t>
        </is>
      </c>
      <c r="G9" s="68" t="inlineStr">
        <is>
          <t>SMS</t>
        </is>
      </c>
      <c r="H9" s="67" t="inlineStr">
        <is>
          <t>Pulls still in transit. ETA Friday. Plan hardware day next week.</t>
        </is>
      </c>
      <c r="I9" s="67" t="inlineStr"/>
      <c r="J9" s="67" t="inlineStr">
        <is>
          <t>@Marcus</t>
        </is>
      </c>
      <c r="K9" s="68" t="inlineStr">
        <is>
          <t>Yes</t>
        </is>
      </c>
    </row>
    <row r="10" ht="18" customHeight="1">
      <c r="A10" s="75" t="inlineStr">
        <is>
          <t>MSG-006</t>
        </is>
      </c>
      <c r="B10" s="117" t="n">
        <v>46256.47083333333</v>
      </c>
      <c r="C10" s="75" t="inlineStr">
        <is>
          <t>PRJ-001</t>
        </is>
      </c>
      <c r="D10" s="75" t="inlineStr">
        <is>
          <t>RM-03 / TSK-010</t>
        </is>
      </c>
      <c r="E10" s="76" t="inlineStr">
        <is>
          <t>Priya Shah</t>
        </is>
      </c>
      <c r="F10" s="76" t="inlineStr">
        <is>
          <t>Alex Rivera</t>
        </is>
      </c>
      <c r="G10" s="76" t="inlineStr">
        <is>
          <t>Photo Comment</t>
        </is>
      </c>
      <c r="H10" s="75" t="inlineStr">
        <is>
          <t>Haze on the niche shelf — will reclean Thursday.</t>
        </is>
      </c>
      <c r="I10" s="75" t="inlineStr">
        <is>
          <t>drive/photos/bath-niche</t>
        </is>
      </c>
      <c r="J10" s="75" t="inlineStr">
        <is>
          <t>@Alex</t>
        </is>
      </c>
      <c r="K10" s="76" t="inlineStr">
        <is>
          <t>Yes</t>
        </is>
      </c>
    </row>
    <row r="11" ht="18" customHeight="1">
      <c r="A11" s="67" t="inlineStr">
        <is>
          <t>MSG-007</t>
        </is>
      </c>
      <c r="B11" s="116" t="n">
        <v>46257.73888888889</v>
      </c>
      <c r="C11" s="67" t="inlineStr">
        <is>
          <t>PRJ-001</t>
        </is>
      </c>
      <c r="D11" s="67" t="inlineStr">
        <is>
          <t>JOB-006</t>
        </is>
      </c>
      <c r="E11" s="68" t="inlineStr">
        <is>
          <t>Elena Voss</t>
        </is>
      </c>
      <c r="F11" s="68" t="inlineStr">
        <is>
          <t>Project group</t>
        </is>
      </c>
      <c r="G11" s="68" t="inlineStr">
        <is>
          <t>Group Chat</t>
        </is>
      </c>
      <c r="H11" s="67" t="inlineStr">
        <is>
          <t>Finish coat Tuesday. No traffic 48 hours.</t>
        </is>
      </c>
      <c r="I11" s="67" t="inlineStr"/>
      <c r="J11" s="67" t="inlineStr">
        <is>
          <t>@all</t>
        </is>
      </c>
      <c r="K11" s="68" t="inlineStr">
        <is>
          <t>Yes</t>
        </is>
      </c>
    </row>
    <row r="12" ht="18" customHeight="1">
      <c r="A12" s="75" t="inlineStr">
        <is>
          <t>MSG-008</t>
        </is>
      </c>
      <c r="B12" s="117" t="n">
        <v>46258.32986111111</v>
      </c>
      <c r="C12" s="75" t="inlineStr">
        <is>
          <t>PRJ-001</t>
        </is>
      </c>
      <c r="D12" s="75" t="inlineStr">
        <is>
          <t>TSK-027</t>
        </is>
      </c>
      <c r="E12" s="76" t="inlineStr">
        <is>
          <t>Marcus Webb</t>
        </is>
      </c>
      <c r="F12" s="76" t="inlineStr">
        <is>
          <t>Project group</t>
        </is>
      </c>
      <c r="G12" s="76" t="inlineStr">
        <is>
          <t>App</t>
        </is>
      </c>
      <c r="H12" s="75" t="inlineStr">
        <is>
          <t>Weekly meeting tomorrow 9:00 on site. Agenda in documents.</t>
        </is>
      </c>
      <c r="I12" s="75" t="inlineStr">
        <is>
          <t>drive/docs/agenda-0825.pdf</t>
        </is>
      </c>
      <c r="J12" s="75" t="inlineStr">
        <is>
          <t>@Alex @Sofia @Maya</t>
        </is>
      </c>
      <c r="K12" s="76" t="inlineStr">
        <is>
          <t>No</t>
        </is>
      </c>
    </row>
    <row r="13" ht="18" customHeight="1">
      <c r="A13" s="67" t="inlineStr">
        <is>
          <t>MSG-009</t>
        </is>
      </c>
      <c r="B13" s="116" t="n">
        <v>46258.34027777778</v>
      </c>
      <c r="C13" s="67" t="inlineStr">
        <is>
          <t>PRJ-001</t>
        </is>
      </c>
      <c r="D13" s="67" t="inlineStr">
        <is>
          <t>AI-005</t>
        </is>
      </c>
      <c r="E13" s="68" t="inlineStr">
        <is>
          <t>Morgan Ellis</t>
        </is>
      </c>
      <c r="F13" s="68" t="inlineStr">
        <is>
          <t>Alex Rivera</t>
        </is>
      </c>
      <c r="G13" s="68" t="inlineStr">
        <is>
          <t>Email</t>
        </is>
      </c>
      <c r="H13" s="67" t="inlineStr">
        <is>
          <t>Contingency dropped below 10%. Recommend pausing water feature.</t>
        </is>
      </c>
      <c r="I13" s="67" t="inlineStr"/>
      <c r="J13" s="67" t="inlineStr">
        <is>
          <t>@Alex @Jamie</t>
        </is>
      </c>
      <c r="K13" s="68" t="inlineStr">
        <is>
          <t>No</t>
        </is>
      </c>
    </row>
    <row r="14" ht="18" customHeight="1">
      <c r="A14" s="75" t="inlineStr">
        <is>
          <t>MSG-010</t>
        </is>
      </c>
      <c r="B14" s="117" t="n">
        <v>46246.62638888889</v>
      </c>
      <c r="C14" s="75" t="inlineStr">
        <is>
          <t>PRJ-001</t>
        </is>
      </c>
      <c r="D14" s="75" t="inlineStr">
        <is>
          <t>DOC-009</t>
        </is>
      </c>
      <c r="E14" s="76" t="inlineStr">
        <is>
          <t>Riley Grant</t>
        </is>
      </c>
      <c r="F14" s="76" t="inlineStr">
        <is>
          <t>Marcus Webb</t>
        </is>
      </c>
      <c r="G14" s="76" t="inlineStr">
        <is>
          <t>App</t>
        </is>
      </c>
      <c r="H14" s="75" t="inlineStr">
        <is>
          <t>Electrical rough passed. Final after device install.</t>
        </is>
      </c>
      <c r="I14" s="75" t="inlineStr">
        <is>
          <t>drive/insp/elec-rough.pdf</t>
        </is>
      </c>
      <c r="J14" s="75" t="inlineStr">
        <is>
          <t>@Marcus</t>
        </is>
      </c>
      <c r="K14" s="76" t="inlineStr">
        <is>
          <t>Yes</t>
        </is>
      </c>
    </row>
    <row r="15" ht="18" customHeight="1">
      <c r="A15" s="67" t="inlineStr">
        <is>
          <t>MSG-011</t>
        </is>
      </c>
      <c r="B15" s="116" t="n">
        <v>46252.8125</v>
      </c>
      <c r="C15" s="67" t="inlineStr">
        <is>
          <t>PRJ-002</t>
        </is>
      </c>
      <c r="D15" s="67" t="inlineStr">
        <is>
          <t>RM-09</t>
        </is>
      </c>
      <c r="E15" s="68" t="inlineStr">
        <is>
          <t>Sofia Alvarez</t>
        </is>
      </c>
      <c r="F15" s="68" t="inlineStr">
        <is>
          <t>Alex Rivera</t>
        </is>
      </c>
      <c r="G15" s="68" t="inlineStr">
        <is>
          <t>App</t>
        </is>
      </c>
      <c r="H15" s="67" t="inlineStr">
        <is>
          <t>Cabin Japandi board is in Design Studio. Two fixture directions.</t>
        </is>
      </c>
      <c r="I15" s="67" t="inlineStr">
        <is>
          <t>drive/mood/cabin</t>
        </is>
      </c>
      <c r="J15" s="67" t="inlineStr">
        <is>
          <t>@Alex</t>
        </is>
      </c>
      <c r="K15" s="68" t="inlineStr">
        <is>
          <t>Yes</t>
        </is>
      </c>
    </row>
    <row r="16" ht="18" customHeight="1">
      <c r="A16" s="75" t="inlineStr">
        <is>
          <t>MSG-012</t>
        </is>
      </c>
      <c r="B16" s="117" t="n">
        <v>46253.42013888889</v>
      </c>
      <c r="C16" s="75" t="inlineStr">
        <is>
          <t>PRJ-001</t>
        </is>
      </c>
      <c r="D16" s="75" t="inlineStr">
        <is>
          <t>SUP-004</t>
        </is>
      </c>
      <c r="E16" s="76" t="inlineStr">
        <is>
          <t>Harper Quinn</t>
        </is>
      </c>
      <c r="F16" s="76" t="inlineStr">
        <is>
          <t>Sofia Alvarez</t>
        </is>
      </c>
      <c r="G16" s="76" t="inlineStr">
        <is>
          <t>Email</t>
        </is>
      </c>
      <c r="H16" s="75" t="inlineStr">
        <is>
          <t>Wolf range crate confirmed for Sep 12 window.</t>
        </is>
      </c>
      <c r="I16" s="75" t="inlineStr"/>
      <c r="J16" s="75" t="inlineStr">
        <is>
          <t>@Sofia</t>
        </is>
      </c>
      <c r="K16" s="76" t="inlineStr">
        <is>
          <t>Yes</t>
        </is>
      </c>
    </row>
    <row r="17">
      <c r="A17" s="82" t="n"/>
      <c r="B17" s="82" t="n"/>
      <c r="C17" s="82" t="n"/>
      <c r="D17" s="82" t="n"/>
      <c r="E17" s="82" t="n"/>
      <c r="F17" s="82" t="n"/>
      <c r="G17" s="82" t="n"/>
      <c r="H17" s="82" t="n"/>
      <c r="I17" s="82" t="n"/>
      <c r="J17" s="82" t="n"/>
      <c r="K17" s="82" t="n"/>
    </row>
    <row r="18">
      <c r="A18" s="82" t="n"/>
      <c r="B18" s="82" t="n"/>
      <c r="C18" s="82" t="n"/>
      <c r="D18" s="82" t="n"/>
      <c r="E18" s="82" t="n"/>
      <c r="F18" s="82" t="n"/>
      <c r="G18" s="82" t="n"/>
      <c r="H18" s="82" t="n"/>
      <c r="I18" s="82" t="n"/>
      <c r="J18" s="82" t="n"/>
      <c r="K18" s="82" t="n"/>
    </row>
    <row r="19">
      <c r="A19" s="82" t="n"/>
      <c r="B19" s="82" t="n"/>
      <c r="C19" s="82" t="n"/>
      <c r="D19" s="82" t="n"/>
      <c r="E19" s="82" t="n"/>
      <c r="F19" s="82" t="n"/>
      <c r="G19" s="82" t="n"/>
      <c r="H19" s="82" t="n"/>
      <c r="I19" s="82" t="n"/>
      <c r="J19" s="82" t="n"/>
      <c r="K19" s="82" t="n"/>
    </row>
    <row r="20">
      <c r="A20" s="82" t="n"/>
      <c r="B20" s="82" t="n"/>
      <c r="C20" s="82" t="n"/>
      <c r="D20" s="82" t="n"/>
      <c r="E20" s="82" t="n"/>
      <c r="F20" s="82" t="n"/>
      <c r="G20" s="82" t="n"/>
      <c r="H20" s="82" t="n"/>
      <c r="I20" s="82" t="n"/>
      <c r="J20" s="82" t="n"/>
      <c r="K20" s="82" t="n"/>
    </row>
    <row r="21">
      <c r="A21" s="82" t="n"/>
      <c r="B21" s="82" t="n"/>
      <c r="C21" s="82" t="n"/>
      <c r="D21" s="82" t="n"/>
      <c r="E21" s="82" t="n"/>
      <c r="F21" s="82" t="n"/>
      <c r="G21" s="82" t="n"/>
      <c r="H21" s="82" t="n"/>
      <c r="I21" s="82" t="n"/>
      <c r="J21" s="82" t="n"/>
      <c r="K21" s="82" t="n"/>
    </row>
    <row r="22">
      <c r="A22" s="82" t="n"/>
      <c r="B22" s="82" t="n"/>
      <c r="C22" s="82" t="n"/>
      <c r="D22" s="82" t="n"/>
      <c r="E22" s="82" t="n"/>
      <c r="F22" s="82" t="n"/>
      <c r="G22" s="82" t="n"/>
      <c r="H22" s="82" t="n"/>
      <c r="I22" s="82" t="n"/>
      <c r="J22" s="82" t="n"/>
      <c r="K22" s="82" t="n"/>
    </row>
    <row r="23">
      <c r="A23" s="82" t="n"/>
      <c r="B23" s="82" t="n"/>
      <c r="C23" s="82" t="n"/>
      <c r="D23" s="82" t="n"/>
      <c r="E23" s="82" t="n"/>
      <c r="F23" s="82" t="n"/>
      <c r="G23" s="82" t="n"/>
      <c r="H23" s="82" t="n"/>
      <c r="I23" s="82" t="n"/>
      <c r="J23" s="82" t="n"/>
      <c r="K23" s="82" t="n"/>
    </row>
    <row r="24">
      <c r="A24" s="82" t="n"/>
      <c r="B24" s="82" t="n"/>
      <c r="C24" s="82" t="n"/>
      <c r="D24" s="82" t="n"/>
      <c r="E24" s="82" t="n"/>
      <c r="F24" s="82" t="n"/>
      <c r="G24" s="82" t="n"/>
      <c r="H24" s="82" t="n"/>
      <c r="I24" s="82" t="n"/>
      <c r="J24" s="82" t="n"/>
      <c r="K24" s="82" t="n"/>
    </row>
    <row r="25">
      <c r="A25" s="82" t="n"/>
      <c r="B25" s="82" t="n"/>
      <c r="C25" s="82" t="n"/>
      <c r="D25" s="82" t="n"/>
      <c r="E25" s="82" t="n"/>
      <c r="F25" s="82" t="n"/>
      <c r="G25" s="82" t="n"/>
      <c r="H25" s="82" t="n"/>
      <c r="I25" s="82" t="n"/>
      <c r="J25" s="82" t="n"/>
      <c r="K25" s="82" t="n"/>
    </row>
    <row r="26">
      <c r="A26" s="82" t="n"/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</row>
    <row r="27">
      <c r="A27" s="82" t="n"/>
      <c r="B27" s="82" t="n"/>
      <c r="C27" s="82" t="n"/>
      <c r="D27" s="82" t="n"/>
      <c r="E27" s="82" t="n"/>
      <c r="F27" s="82" t="n"/>
      <c r="G27" s="82" t="n"/>
      <c r="H27" s="82" t="n"/>
      <c r="I27" s="82" t="n"/>
      <c r="J27" s="82" t="n"/>
      <c r="K27" s="82" t="n"/>
    </row>
    <row r="28">
      <c r="A28" s="82" t="n"/>
      <c r="B28" s="82" t="n"/>
      <c r="C28" s="82" t="n"/>
      <c r="D28" s="82" t="n"/>
      <c r="E28" s="82" t="n"/>
      <c r="F28" s="82" t="n"/>
      <c r="G28" s="82" t="n"/>
      <c r="H28" s="82" t="n"/>
      <c r="I28" s="82" t="n"/>
      <c r="J28" s="82" t="n"/>
      <c r="K28" s="82" t="n"/>
    </row>
    <row r="29">
      <c r="A29" s="82" t="n"/>
      <c r="B29" s="82" t="n"/>
      <c r="C29" s="82" t="n"/>
      <c r="D29" s="82" t="n"/>
      <c r="E29" s="82" t="n"/>
      <c r="F29" s="82" t="n"/>
      <c r="G29" s="82" t="n"/>
      <c r="H29" s="82" t="n"/>
      <c r="I29" s="82" t="n"/>
      <c r="J29" s="82" t="n"/>
      <c r="K29" s="82" t="n"/>
    </row>
    <row r="30">
      <c r="A30" s="82" t="n"/>
      <c r="B30" s="82" t="n"/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</row>
    <row r="31">
      <c r="A31" s="82" t="n"/>
      <c r="B31" s="82" t="n"/>
      <c r="C31" s="82" t="n"/>
      <c r="D31" s="82" t="n"/>
      <c r="E31" s="82" t="n"/>
      <c r="F31" s="82" t="n"/>
      <c r="G31" s="82" t="n"/>
      <c r="H31" s="82" t="n"/>
      <c r="I31" s="82" t="n"/>
      <c r="J31" s="82" t="n"/>
      <c r="K31" s="82" t="n"/>
    </row>
    <row r="32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</row>
    <row r="33">
      <c r="A33" s="82" t="n"/>
      <c r="B33" s="82" t="n"/>
      <c r="C33" s="82" t="n"/>
      <c r="D33" s="82" t="n"/>
      <c r="E33" s="82" t="n"/>
      <c r="F33" s="82" t="n"/>
      <c r="G33" s="82" t="n"/>
      <c r="H33" s="82" t="n"/>
      <c r="I33" s="82" t="n"/>
      <c r="J33" s="82" t="n"/>
      <c r="K33" s="82" t="n"/>
    </row>
    <row r="34">
      <c r="A34" s="82" t="n"/>
      <c r="B34" s="82" t="n"/>
      <c r="C34" s="82" t="n"/>
      <c r="D34" s="82" t="n"/>
      <c r="E34" s="82" t="n"/>
      <c r="F34" s="82" t="n"/>
      <c r="G34" s="82" t="n"/>
      <c r="H34" s="82" t="n"/>
      <c r="I34" s="82" t="n"/>
      <c r="J34" s="82" t="n"/>
      <c r="K34" s="82" t="n"/>
    </row>
    <row r="35">
      <c r="A35" s="82" t="n"/>
      <c r="B35" s="82" t="n"/>
      <c r="C35" s="82" t="n"/>
      <c r="D35" s="82" t="n"/>
      <c r="E35" s="82" t="n"/>
      <c r="F35" s="82" t="n"/>
      <c r="G35" s="82" t="n"/>
      <c r="H35" s="82" t="n"/>
      <c r="I35" s="82" t="n"/>
      <c r="J35" s="82" t="n"/>
      <c r="K35" s="82" t="n"/>
    </row>
    <row r="36">
      <c r="A36" s="82" t="n"/>
      <c r="B36" s="82" t="n"/>
      <c r="C36" s="82" t="n"/>
      <c r="D36" s="82" t="n"/>
      <c r="E36" s="82" t="n"/>
      <c r="F36" s="82" t="n"/>
      <c r="G36" s="82" t="n"/>
      <c r="H36" s="82" t="n"/>
      <c r="I36" s="82" t="n"/>
      <c r="J36" s="82" t="n"/>
      <c r="K36" s="82" t="n"/>
    </row>
    <row r="37">
      <c r="A37" s="82" t="n"/>
      <c r="B37" s="82" t="n"/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</row>
    <row r="38">
      <c r="A38" s="82" t="n"/>
      <c r="B38" s="82" t="n"/>
      <c r="C38" s="82" t="n"/>
      <c r="D38" s="82" t="n"/>
      <c r="E38" s="82" t="n"/>
      <c r="F38" s="82" t="n"/>
      <c r="G38" s="82" t="n"/>
      <c r="H38" s="82" t="n"/>
      <c r="I38" s="82" t="n"/>
      <c r="J38" s="82" t="n"/>
      <c r="K38" s="82" t="n"/>
    </row>
    <row r="39">
      <c r="A39" s="82" t="n"/>
      <c r="B39" s="82" t="n"/>
      <c r="C39" s="82" t="n"/>
      <c r="D39" s="82" t="n"/>
      <c r="E39" s="82" t="n"/>
      <c r="F39" s="82" t="n"/>
      <c r="G39" s="82" t="n"/>
      <c r="H39" s="82" t="n"/>
      <c r="I39" s="82" t="n"/>
      <c r="J39" s="82" t="n"/>
      <c r="K39" s="82" t="n"/>
    </row>
    <row r="40">
      <c r="A40" s="82" t="n"/>
      <c r="B40" s="82" t="n"/>
      <c r="C40" s="82" t="n"/>
      <c r="D40" s="82" t="n"/>
      <c r="E40" s="82" t="n"/>
      <c r="F40" s="82" t="n"/>
      <c r="G40" s="82" t="n"/>
      <c r="H40" s="82" t="n"/>
      <c r="I40" s="82" t="n"/>
      <c r="J40" s="82" t="n"/>
      <c r="K40" s="82" t="n"/>
    </row>
    <row r="41">
      <c r="A41" s="82" t="n"/>
      <c r="B41" s="82" t="n"/>
      <c r="C41" s="82" t="n"/>
      <c r="D41" s="82" t="n"/>
      <c r="E41" s="82" t="n"/>
      <c r="F41" s="82" t="n"/>
      <c r="G41" s="82" t="n"/>
      <c r="H41" s="82" t="n"/>
      <c r="I41" s="82" t="n"/>
      <c r="J41" s="82" t="n"/>
      <c r="K41" s="82" t="n"/>
    </row>
    <row r="42">
      <c r="A42" s="82" t="n"/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</row>
    <row r="43">
      <c r="A43" s="82" t="n"/>
      <c r="B43" s="82" t="n"/>
      <c r="C43" s="82" t="n"/>
      <c r="D43" s="82" t="n"/>
      <c r="E43" s="82" t="n"/>
      <c r="F43" s="82" t="n"/>
      <c r="G43" s="82" t="n"/>
      <c r="H43" s="82" t="n"/>
      <c r="I43" s="82" t="n"/>
      <c r="J43" s="82" t="n"/>
      <c r="K43" s="82" t="n"/>
    </row>
    <row r="44">
      <c r="A44" s="82" t="n"/>
      <c r="B44" s="82" t="n"/>
      <c r="C44" s="82" t="n"/>
      <c r="D44" s="82" t="n"/>
      <c r="E44" s="82" t="n"/>
      <c r="F44" s="82" t="n"/>
      <c r="G44" s="82" t="n"/>
      <c r="H44" s="82" t="n"/>
      <c r="I44" s="82" t="n"/>
      <c r="J44" s="82" t="n"/>
      <c r="K44" s="82" t="n"/>
    </row>
    <row r="45">
      <c r="A45" s="82" t="n"/>
      <c r="B45" s="82" t="n"/>
      <c r="C45" s="82" t="n"/>
      <c r="D45" s="82" t="n"/>
      <c r="E45" s="82" t="n"/>
      <c r="F45" s="82" t="n"/>
      <c r="G45" s="82" t="n"/>
      <c r="H45" s="82" t="n"/>
      <c r="I45" s="82" t="n"/>
      <c r="J45" s="82" t="n"/>
      <c r="K45" s="82" t="n"/>
    </row>
    <row r="46">
      <c r="A46" s="82" t="n"/>
      <c r="B46" s="82" t="n"/>
      <c r="C46" s="82" t="n"/>
      <c r="D46" s="82" t="n"/>
      <c r="E46" s="82" t="n"/>
      <c r="F46" s="82" t="n"/>
      <c r="G46" s="82" t="n"/>
      <c r="H46" s="82" t="n"/>
      <c r="I46" s="82" t="n"/>
      <c r="J46" s="82" t="n"/>
      <c r="K46" s="82" t="n"/>
    </row>
    <row r="47">
      <c r="A47" s="82" t="n"/>
      <c r="B47" s="82" t="n"/>
      <c r="C47" s="82" t="n"/>
      <c r="D47" s="82" t="n"/>
      <c r="E47" s="82" t="n"/>
      <c r="F47" s="82" t="n"/>
      <c r="G47" s="82" t="n"/>
      <c r="H47" s="82" t="n"/>
      <c r="I47" s="82" t="n"/>
      <c r="J47" s="82" t="n"/>
      <c r="K47" s="82" t="n"/>
    </row>
    <row r="48">
      <c r="A48" s="82" t="n"/>
      <c r="B48" s="82" t="n"/>
      <c r="C48" s="82" t="n"/>
      <c r="D48" s="82" t="n"/>
      <c r="E48" s="82" t="n"/>
      <c r="F48" s="82" t="n"/>
      <c r="G48" s="82" t="n"/>
      <c r="H48" s="82" t="n"/>
      <c r="I48" s="82" t="n"/>
      <c r="J48" s="82" t="n"/>
      <c r="K48" s="82" t="n"/>
    </row>
    <row r="49">
      <c r="A49" s="82" t="n"/>
      <c r="B49" s="82" t="n"/>
      <c r="C49" s="82" t="n"/>
      <c r="D49" s="82" t="n"/>
      <c r="E49" s="82" t="n"/>
      <c r="F49" s="82" t="n"/>
      <c r="G49" s="82" t="n"/>
      <c r="H49" s="82" t="n"/>
      <c r="I49" s="82" t="n"/>
      <c r="J49" s="82" t="n"/>
      <c r="K49" s="82" t="n"/>
    </row>
    <row r="50">
      <c r="A50" s="82" t="n"/>
      <c r="B50" s="82" t="n"/>
      <c r="C50" s="82" t="n"/>
      <c r="D50" s="82" t="n"/>
      <c r="E50" s="82" t="n"/>
      <c r="F50" s="82" t="n"/>
      <c r="G50" s="82" t="n"/>
      <c r="H50" s="82" t="n"/>
      <c r="I50" s="82" t="n"/>
      <c r="J50" s="82" t="n"/>
      <c r="K50" s="82" t="n"/>
    </row>
    <row r="51">
      <c r="A51" s="82" t="n"/>
      <c r="B51" s="82" t="n"/>
      <c r="C51" s="82" t="n"/>
      <c r="D51" s="82" t="n"/>
      <c r="E51" s="82" t="n"/>
      <c r="F51" s="82" t="n"/>
      <c r="G51" s="82" t="n"/>
      <c r="H51" s="82" t="n"/>
      <c r="I51" s="82" t="n"/>
      <c r="J51" s="82" t="n"/>
      <c r="K51" s="82" t="n"/>
    </row>
    <row r="52">
      <c r="A52" s="82" t="n"/>
      <c r="B52" s="82" t="n"/>
      <c r="C52" s="82" t="n"/>
      <c r="D52" s="82" t="n"/>
      <c r="E52" s="82" t="n"/>
      <c r="F52" s="82" t="n"/>
      <c r="G52" s="82" t="n"/>
      <c r="H52" s="82" t="n"/>
      <c r="I52" s="82" t="n"/>
      <c r="J52" s="82" t="n"/>
      <c r="K52" s="82" t="n"/>
    </row>
    <row r="53">
      <c r="A53" s="82" t="n"/>
      <c r="B53" s="82" t="n"/>
      <c r="C53" s="82" t="n"/>
      <c r="D53" s="82" t="n"/>
      <c r="E53" s="82" t="n"/>
      <c r="F53" s="82" t="n"/>
      <c r="G53" s="82" t="n"/>
      <c r="H53" s="82" t="n"/>
      <c r="I53" s="82" t="n"/>
      <c r="J53" s="82" t="n"/>
      <c r="K53" s="82" t="n"/>
    </row>
    <row r="54">
      <c r="A54" s="82" t="n"/>
      <c r="B54" s="82" t="n"/>
      <c r="C54" s="82" t="n"/>
      <c r="D54" s="82" t="n"/>
      <c r="E54" s="82" t="n"/>
      <c r="F54" s="82" t="n"/>
      <c r="G54" s="82" t="n"/>
      <c r="H54" s="82" t="n"/>
      <c r="I54" s="82" t="n"/>
      <c r="J54" s="82" t="n"/>
      <c r="K54" s="82" t="n"/>
    </row>
    <row r="55">
      <c r="A55" s="82" t="n"/>
      <c r="B55" s="82" t="n"/>
      <c r="C55" s="82" t="n"/>
      <c r="D55" s="82" t="n"/>
      <c r="E55" s="82" t="n"/>
      <c r="F55" s="82" t="n"/>
      <c r="G55" s="82" t="n"/>
      <c r="H55" s="82" t="n"/>
      <c r="I55" s="82" t="n"/>
      <c r="J55" s="82" t="n"/>
      <c r="K55" s="82" t="n"/>
    </row>
    <row r="56">
      <c r="A56" s="82" t="n"/>
      <c r="B56" s="82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2" t="n"/>
    </row>
    <row r="57">
      <c r="A57" s="82" t="n"/>
      <c r="B57" s="82" t="n"/>
      <c r="C57" s="82" t="n"/>
      <c r="D57" s="82" t="n"/>
      <c r="E57" s="82" t="n"/>
      <c r="F57" s="82" t="n"/>
      <c r="G57" s="82" t="n"/>
      <c r="H57" s="82" t="n"/>
      <c r="I57" s="82" t="n"/>
      <c r="J57" s="82" t="n"/>
      <c r="K57" s="82" t="n"/>
    </row>
    <row r="58">
      <c r="A58" s="82" t="n"/>
      <c r="B58" s="82" t="n"/>
      <c r="C58" s="82" t="n"/>
      <c r="D58" s="82" t="n"/>
      <c r="E58" s="82" t="n"/>
      <c r="F58" s="82" t="n"/>
      <c r="G58" s="82" t="n"/>
      <c r="H58" s="82" t="n"/>
      <c r="I58" s="82" t="n"/>
      <c r="J58" s="82" t="n"/>
      <c r="K58" s="82" t="n"/>
    </row>
    <row r="59">
      <c r="A59" s="82" t="n"/>
      <c r="B59" s="82" t="n"/>
      <c r="C59" s="82" t="n"/>
      <c r="D59" s="82" t="n"/>
      <c r="E59" s="82" t="n"/>
      <c r="F59" s="82" t="n"/>
      <c r="G59" s="82" t="n"/>
      <c r="H59" s="82" t="n"/>
      <c r="I59" s="82" t="n"/>
      <c r="J59" s="82" t="n"/>
      <c r="K59" s="82" t="n"/>
    </row>
    <row r="60">
      <c r="A60" s="82" t="n"/>
      <c r="B60" s="82" t="n"/>
      <c r="C60" s="82" t="n"/>
      <c r="D60" s="82" t="n"/>
      <c r="E60" s="82" t="n"/>
      <c r="F60" s="82" t="n"/>
      <c r="G60" s="82" t="n"/>
      <c r="H60" s="82" t="n"/>
      <c r="I60" s="82" t="n"/>
      <c r="J60" s="82" t="n"/>
      <c r="K60" s="82" t="n"/>
    </row>
    <row r="61">
      <c r="A61" s="82" t="n"/>
      <c r="B61" s="82" t="n"/>
      <c r="C61" s="82" t="n"/>
      <c r="D61" s="82" t="n"/>
      <c r="E61" s="82" t="n"/>
      <c r="F61" s="82" t="n"/>
      <c r="G61" s="82" t="n"/>
      <c r="H61" s="82" t="n"/>
      <c r="I61" s="82" t="n"/>
      <c r="J61" s="82" t="n"/>
      <c r="K61" s="82" t="n"/>
    </row>
    <row r="62">
      <c r="A62" s="82" t="n"/>
      <c r="B62" s="82" t="n"/>
      <c r="C62" s="82" t="n"/>
      <c r="D62" s="82" t="n"/>
      <c r="E62" s="82" t="n"/>
      <c r="F62" s="82" t="n"/>
      <c r="G62" s="82" t="n"/>
      <c r="H62" s="82" t="n"/>
      <c r="I62" s="82" t="n"/>
      <c r="J62" s="82" t="n"/>
      <c r="K62" s="82" t="n"/>
    </row>
    <row r="63">
      <c r="A63" s="82" t="n"/>
      <c r="B63" s="82" t="n"/>
      <c r="C63" s="82" t="n"/>
      <c r="D63" s="82" t="n"/>
      <c r="E63" s="82" t="n"/>
      <c r="F63" s="82" t="n"/>
      <c r="G63" s="82" t="n"/>
      <c r="H63" s="82" t="n"/>
      <c r="I63" s="82" t="n"/>
      <c r="J63" s="82" t="n"/>
      <c r="K63" s="82" t="n"/>
    </row>
    <row r="64">
      <c r="A64" s="82" t="n"/>
      <c r="B64" s="82" t="n"/>
      <c r="C64" s="82" t="n"/>
      <c r="D64" s="82" t="n"/>
      <c r="E64" s="82" t="n"/>
      <c r="F64" s="82" t="n"/>
      <c r="G64" s="82" t="n"/>
      <c r="H64" s="82" t="n"/>
      <c r="I64" s="82" t="n"/>
      <c r="J64" s="82" t="n"/>
      <c r="K64" s="82" t="n"/>
    </row>
    <row r="65">
      <c r="A65" s="82" t="n"/>
      <c r="B65" s="82" t="n"/>
      <c r="C65" s="82" t="n"/>
      <c r="D65" s="82" t="n"/>
      <c r="E65" s="82" t="n"/>
      <c r="F65" s="82" t="n"/>
      <c r="G65" s="82" t="n"/>
      <c r="H65" s="82" t="n"/>
      <c r="I65" s="82" t="n"/>
      <c r="J65" s="82" t="n"/>
      <c r="K65" s="82" t="n"/>
    </row>
    <row r="66">
      <c r="A66" s="82" t="n"/>
      <c r="B66" s="82" t="n"/>
      <c r="C66" s="82" t="n"/>
      <c r="D66" s="82" t="n"/>
      <c r="E66" s="82" t="n"/>
      <c r="F66" s="82" t="n"/>
      <c r="G66" s="82" t="n"/>
      <c r="H66" s="82" t="n"/>
      <c r="I66" s="82" t="n"/>
      <c r="J66" s="82" t="n"/>
      <c r="K66" s="82" t="n"/>
    </row>
    <row r="67">
      <c r="A67" s="82" t="n"/>
      <c r="B67" s="82" t="n"/>
      <c r="C67" s="82" t="n"/>
      <c r="D67" s="82" t="n"/>
      <c r="E67" s="82" t="n"/>
      <c r="F67" s="82" t="n"/>
      <c r="G67" s="82" t="n"/>
      <c r="H67" s="82" t="n"/>
      <c r="I67" s="82" t="n"/>
      <c r="J67" s="82" t="n"/>
      <c r="K67" s="82" t="n"/>
    </row>
    <row r="68">
      <c r="A68" s="82" t="n"/>
      <c r="B68" s="82" t="n"/>
      <c r="C68" s="82" t="n"/>
      <c r="D68" s="82" t="n"/>
      <c r="E68" s="82" t="n"/>
      <c r="F68" s="82" t="n"/>
      <c r="G68" s="82" t="n"/>
      <c r="H68" s="82" t="n"/>
      <c r="I68" s="82" t="n"/>
      <c r="J68" s="82" t="n"/>
      <c r="K68" s="82" t="n"/>
    </row>
    <row r="69">
      <c r="A69" s="82" t="n"/>
      <c r="B69" s="82" t="n"/>
      <c r="C69" s="82" t="n"/>
      <c r="D69" s="82" t="n"/>
      <c r="E69" s="82" t="n"/>
      <c r="F69" s="82" t="n"/>
      <c r="G69" s="82" t="n"/>
      <c r="H69" s="82" t="n"/>
      <c r="I69" s="82" t="n"/>
      <c r="J69" s="82" t="n"/>
      <c r="K69" s="82" t="n"/>
    </row>
    <row r="70">
      <c r="A70" s="82" t="n"/>
      <c r="B70" s="82" t="n"/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</row>
    <row r="71">
      <c r="A71" s="82" t="n"/>
      <c r="B71" s="82" t="n"/>
      <c r="C71" s="82" t="n"/>
      <c r="D71" s="82" t="n"/>
      <c r="E71" s="82" t="n"/>
      <c r="F71" s="82" t="n"/>
      <c r="G71" s="82" t="n"/>
      <c r="H71" s="82" t="n"/>
      <c r="I71" s="82" t="n"/>
      <c r="J71" s="82" t="n"/>
      <c r="K71" s="82" t="n"/>
    </row>
    <row r="72">
      <c r="A72" s="82" t="n"/>
      <c r="B72" s="82" t="n"/>
      <c r="C72" s="82" t="n"/>
      <c r="D72" s="82" t="n"/>
      <c r="E72" s="82" t="n"/>
      <c r="F72" s="82" t="n"/>
      <c r="G72" s="82" t="n"/>
      <c r="H72" s="82" t="n"/>
      <c r="I72" s="82" t="n"/>
      <c r="J72" s="82" t="n"/>
      <c r="K72" s="82" t="n"/>
    </row>
    <row r="73">
      <c r="A73" s="82" t="n"/>
      <c r="B73" s="82" t="n"/>
      <c r="C73" s="82" t="n"/>
      <c r="D73" s="82" t="n"/>
      <c r="E73" s="82" t="n"/>
      <c r="F73" s="82" t="n"/>
      <c r="G73" s="82" t="n"/>
      <c r="H73" s="82" t="n"/>
      <c r="I73" s="82" t="n"/>
      <c r="J73" s="82" t="n"/>
      <c r="K73" s="82" t="n"/>
    </row>
    <row r="74">
      <c r="A74" s="82" t="n"/>
      <c r="B74" s="82" t="n"/>
      <c r="C74" s="82" t="n"/>
      <c r="D74" s="82" t="n"/>
      <c r="E74" s="82" t="n"/>
      <c r="F74" s="82" t="n"/>
      <c r="G74" s="82" t="n"/>
      <c r="H74" s="82" t="n"/>
      <c r="I74" s="82" t="n"/>
      <c r="J74" s="82" t="n"/>
      <c r="K74" s="82" t="n"/>
    </row>
    <row r="75">
      <c r="A75" s="82" t="n"/>
      <c r="B75" s="82" t="n"/>
      <c r="C75" s="82" t="n"/>
      <c r="D75" s="82" t="n"/>
      <c r="E75" s="82" t="n"/>
      <c r="F75" s="82" t="n"/>
      <c r="G75" s="82" t="n"/>
      <c r="H75" s="82" t="n"/>
      <c r="I75" s="82" t="n"/>
      <c r="J75" s="82" t="n"/>
      <c r="K75" s="82" t="n"/>
    </row>
    <row r="76">
      <c r="A76" s="82" t="n"/>
      <c r="B76" s="82" t="n"/>
      <c r="C76" s="82" t="n"/>
      <c r="D76" s="82" t="n"/>
      <c r="E76" s="82" t="n"/>
      <c r="F76" s="82" t="n"/>
      <c r="G76" s="82" t="n"/>
      <c r="H76" s="82" t="n"/>
      <c r="I76" s="82" t="n"/>
      <c r="J76" s="82" t="n"/>
      <c r="K76" s="82" t="n"/>
    </row>
    <row r="77">
      <c r="A77" s="82" t="n"/>
      <c r="B77" s="82" t="n"/>
      <c r="C77" s="82" t="n"/>
      <c r="D77" s="82" t="n"/>
      <c r="E77" s="82" t="n"/>
      <c r="F77" s="82" t="n"/>
      <c r="G77" s="82" t="n"/>
      <c r="H77" s="82" t="n"/>
      <c r="I77" s="82" t="n"/>
      <c r="J77" s="82" t="n"/>
      <c r="K77" s="82" t="n"/>
    </row>
    <row r="78">
      <c r="A78" s="82" t="n"/>
      <c r="B78" s="82" t="n"/>
      <c r="C78" s="82" t="n"/>
      <c r="D78" s="82" t="n"/>
      <c r="E78" s="82" t="n"/>
      <c r="F78" s="82" t="n"/>
      <c r="G78" s="82" t="n"/>
      <c r="H78" s="82" t="n"/>
      <c r="I78" s="82" t="n"/>
      <c r="J78" s="82" t="n"/>
      <c r="K78" s="82" t="n"/>
    </row>
    <row r="79">
      <c r="A79" s="82" t="n"/>
      <c r="B79" s="82" t="n"/>
      <c r="C79" s="82" t="n"/>
      <c r="D79" s="82" t="n"/>
      <c r="E79" s="82" t="n"/>
      <c r="F79" s="82" t="n"/>
      <c r="G79" s="82" t="n"/>
      <c r="H79" s="82" t="n"/>
      <c r="I79" s="82" t="n"/>
      <c r="J79" s="82" t="n"/>
      <c r="K79" s="82" t="n"/>
    </row>
    <row r="80">
      <c r="A80" s="82" t="n"/>
      <c r="B80" s="82" t="n"/>
      <c r="C80" s="82" t="n"/>
      <c r="D80" s="82" t="n"/>
      <c r="E80" s="82" t="n"/>
      <c r="F80" s="82" t="n"/>
      <c r="G80" s="82" t="n"/>
      <c r="H80" s="82" t="n"/>
      <c r="I80" s="82" t="n"/>
      <c r="J80" s="82" t="n"/>
      <c r="K80" s="82" t="n"/>
    </row>
    <row r="81">
      <c r="A81" s="82" t="n"/>
      <c r="B81" s="82" t="n"/>
      <c r="C81" s="82" t="n"/>
      <c r="D81" s="82" t="n"/>
      <c r="E81" s="82" t="n"/>
      <c r="F81" s="82" t="n"/>
      <c r="G81" s="82" t="n"/>
      <c r="H81" s="82" t="n"/>
      <c r="I81" s="82" t="n"/>
      <c r="J81" s="82" t="n"/>
      <c r="K81" s="82" t="n"/>
    </row>
    <row r="82">
      <c r="A82" s="82" t="n"/>
      <c r="B82" s="82" t="n"/>
      <c r="C82" s="82" t="n"/>
      <c r="D82" s="82" t="n"/>
      <c r="E82" s="82" t="n"/>
      <c r="F82" s="82" t="n"/>
      <c r="G82" s="82" t="n"/>
      <c r="H82" s="82" t="n"/>
      <c r="I82" s="82" t="n"/>
      <c r="J82" s="82" t="n"/>
      <c r="K82" s="82" t="n"/>
    </row>
    <row r="83">
      <c r="A83" s="82" t="n"/>
      <c r="B83" s="82" t="n"/>
      <c r="C83" s="82" t="n"/>
      <c r="D83" s="82" t="n"/>
      <c r="E83" s="82" t="n"/>
      <c r="F83" s="82" t="n"/>
      <c r="G83" s="82" t="n"/>
      <c r="H83" s="82" t="n"/>
      <c r="I83" s="82" t="n"/>
      <c r="J83" s="82" t="n"/>
      <c r="K83" s="82" t="n"/>
    </row>
    <row r="84">
      <c r="A84" s="82" t="n"/>
      <c r="B84" s="82" t="n"/>
      <c r="C84" s="82" t="n"/>
      <c r="D84" s="82" t="n"/>
      <c r="E84" s="82" t="n"/>
      <c r="F84" s="82" t="n"/>
      <c r="G84" s="82" t="n"/>
      <c r="H84" s="82" t="n"/>
      <c r="I84" s="82" t="n"/>
      <c r="J84" s="82" t="n"/>
      <c r="K84" s="82" t="n"/>
    </row>
    <row r="85">
      <c r="A85" s="82" t="n"/>
      <c r="B85" s="82" t="n"/>
      <c r="C85" s="82" t="n"/>
      <c r="D85" s="82" t="n"/>
      <c r="E85" s="82" t="n"/>
      <c r="F85" s="82" t="n"/>
      <c r="G85" s="82" t="n"/>
      <c r="H85" s="82" t="n"/>
      <c r="I85" s="82" t="n"/>
      <c r="J85" s="82" t="n"/>
      <c r="K85" s="82" t="n"/>
    </row>
    <row r="86">
      <c r="A86" s="82" t="n"/>
      <c r="B86" s="82" t="n"/>
      <c r="C86" s="82" t="n"/>
      <c r="D86" s="82" t="n"/>
      <c r="E86" s="82" t="n"/>
      <c r="F86" s="82" t="n"/>
      <c r="G86" s="82" t="n"/>
      <c r="H86" s="82" t="n"/>
      <c r="I86" s="82" t="n"/>
      <c r="J86" s="82" t="n"/>
      <c r="K86" s="82" t="n"/>
    </row>
    <row r="87">
      <c r="A87" s="82" t="n"/>
      <c r="B87" s="82" t="n"/>
      <c r="C87" s="82" t="n"/>
      <c r="D87" s="82" t="n"/>
      <c r="E87" s="82" t="n"/>
      <c r="F87" s="82" t="n"/>
      <c r="G87" s="82" t="n"/>
      <c r="H87" s="82" t="n"/>
      <c r="I87" s="82" t="n"/>
      <c r="J87" s="82" t="n"/>
      <c r="K87" s="82" t="n"/>
    </row>
    <row r="88">
      <c r="A88" s="82" t="n"/>
      <c r="B88" s="82" t="n"/>
      <c r="C88" s="82" t="n"/>
      <c r="D88" s="82" t="n"/>
      <c r="E88" s="82" t="n"/>
      <c r="F88" s="82" t="n"/>
      <c r="G88" s="82" t="n"/>
      <c r="H88" s="82" t="n"/>
      <c r="I88" s="82" t="n"/>
      <c r="J88" s="82" t="n"/>
      <c r="K88" s="82" t="n"/>
    </row>
    <row r="89">
      <c r="A89" s="82" t="n"/>
      <c r="B89" s="82" t="n"/>
      <c r="C89" s="82" t="n"/>
      <c r="D89" s="82" t="n"/>
      <c r="E89" s="82" t="n"/>
      <c r="F89" s="82" t="n"/>
      <c r="G89" s="82" t="n"/>
      <c r="H89" s="82" t="n"/>
      <c r="I89" s="82" t="n"/>
      <c r="J89" s="82" t="n"/>
      <c r="K89" s="82" t="n"/>
    </row>
    <row r="90">
      <c r="A90" s="82" t="n"/>
      <c r="B90" s="82" t="n"/>
      <c r="C90" s="82" t="n"/>
      <c r="D90" s="82" t="n"/>
      <c r="E90" s="82" t="n"/>
      <c r="F90" s="82" t="n"/>
      <c r="G90" s="82" t="n"/>
      <c r="H90" s="82" t="n"/>
      <c r="I90" s="82" t="n"/>
      <c r="J90" s="82" t="n"/>
      <c r="K90" s="82" t="n"/>
    </row>
    <row r="91">
      <c r="A91" s="82" t="n"/>
      <c r="B91" s="82" t="n"/>
      <c r="C91" s="82" t="n"/>
      <c r="D91" s="82" t="n"/>
      <c r="E91" s="82" t="n"/>
      <c r="F91" s="82" t="n"/>
      <c r="G91" s="82" t="n"/>
      <c r="H91" s="82" t="n"/>
      <c r="I91" s="82" t="n"/>
      <c r="J91" s="82" t="n"/>
      <c r="K91" s="82" t="n"/>
    </row>
    <row r="92">
      <c r="A92" s="82" t="n"/>
      <c r="B92" s="82" t="n"/>
      <c r="C92" s="82" t="n"/>
      <c r="D92" s="82" t="n"/>
      <c r="E92" s="82" t="n"/>
      <c r="F92" s="82" t="n"/>
      <c r="G92" s="82" t="n"/>
      <c r="H92" s="82" t="n"/>
      <c r="I92" s="82" t="n"/>
      <c r="J92" s="82" t="n"/>
      <c r="K92" s="82" t="n"/>
    </row>
    <row r="93">
      <c r="A93" s="82" t="n"/>
      <c r="B93" s="82" t="n"/>
      <c r="C93" s="82" t="n"/>
      <c r="D93" s="82" t="n"/>
      <c r="E93" s="82" t="n"/>
      <c r="F93" s="82" t="n"/>
      <c r="G93" s="82" t="n"/>
      <c r="H93" s="82" t="n"/>
      <c r="I93" s="82" t="n"/>
      <c r="J93" s="82" t="n"/>
      <c r="K93" s="82" t="n"/>
    </row>
    <row r="94">
      <c r="A94" s="82" t="n"/>
      <c r="B94" s="82" t="n"/>
      <c r="C94" s="82" t="n"/>
      <c r="D94" s="82" t="n"/>
      <c r="E94" s="82" t="n"/>
      <c r="F94" s="82" t="n"/>
      <c r="G94" s="82" t="n"/>
      <c r="H94" s="82" t="n"/>
      <c r="I94" s="82" t="n"/>
      <c r="J94" s="82" t="n"/>
      <c r="K94" s="82" t="n"/>
    </row>
    <row r="95">
      <c r="A95" s="82" t="n"/>
      <c r="B95" s="82" t="n"/>
      <c r="C95" s="82" t="n"/>
      <c r="D95" s="82" t="n"/>
      <c r="E95" s="82" t="n"/>
      <c r="F95" s="82" t="n"/>
      <c r="G95" s="82" t="n"/>
      <c r="H95" s="82" t="n"/>
      <c r="I95" s="82" t="n"/>
      <c r="J95" s="82" t="n"/>
      <c r="K95" s="82" t="n"/>
    </row>
    <row r="96">
      <c r="A96" s="82" t="n"/>
      <c r="B96" s="82" t="n"/>
      <c r="C96" s="82" t="n"/>
      <c r="D96" s="82" t="n"/>
      <c r="E96" s="82" t="n"/>
      <c r="F96" s="82" t="n"/>
      <c r="G96" s="82" t="n"/>
      <c r="H96" s="82" t="n"/>
      <c r="I96" s="82" t="n"/>
      <c r="J96" s="82" t="n"/>
      <c r="K96" s="82" t="n"/>
    </row>
    <row r="97">
      <c r="A97" s="82" t="n"/>
      <c r="B97" s="82" t="n"/>
      <c r="C97" s="82" t="n"/>
      <c r="D97" s="82" t="n"/>
      <c r="E97" s="82" t="n"/>
      <c r="F97" s="82" t="n"/>
      <c r="G97" s="82" t="n"/>
      <c r="H97" s="82" t="n"/>
      <c r="I97" s="82" t="n"/>
      <c r="J97" s="82" t="n"/>
      <c r="K97" s="82" t="n"/>
    </row>
    <row r="98">
      <c r="A98" s="82" t="n"/>
      <c r="B98" s="82" t="n"/>
      <c r="C98" s="82" t="n"/>
      <c r="D98" s="82" t="n"/>
      <c r="E98" s="82" t="n"/>
      <c r="F98" s="82" t="n"/>
      <c r="G98" s="82" t="n"/>
      <c r="H98" s="82" t="n"/>
      <c r="I98" s="82" t="n"/>
      <c r="J98" s="82" t="n"/>
      <c r="K98" s="82" t="n"/>
    </row>
    <row r="99">
      <c r="A99" s="82" t="n"/>
      <c r="B99" s="82" t="n"/>
      <c r="C99" s="82" t="n"/>
      <c r="D99" s="82" t="n"/>
      <c r="E99" s="82" t="n"/>
      <c r="F99" s="82" t="n"/>
      <c r="G99" s="82" t="n"/>
      <c r="H99" s="82" t="n"/>
      <c r="I99" s="82" t="n"/>
      <c r="J99" s="82" t="n"/>
      <c r="K99" s="82" t="n"/>
    </row>
    <row r="100">
      <c r="A100" s="82" t="n"/>
      <c r="B100" s="82" t="n"/>
      <c r="C100" s="82" t="n"/>
      <c r="D100" s="82" t="n"/>
      <c r="E100" s="82" t="n"/>
      <c r="F100" s="82" t="n"/>
      <c r="G100" s="82" t="n"/>
      <c r="H100" s="82" t="n"/>
      <c r="I100" s="82" t="n"/>
      <c r="J100" s="82" t="n"/>
      <c r="K100" s="82" t="n"/>
    </row>
    <row r="101">
      <c r="A101" s="82" t="n"/>
      <c r="B101" s="82" t="n"/>
      <c r="C101" s="82" t="n"/>
      <c r="D101" s="82" t="n"/>
      <c r="E101" s="82" t="n"/>
      <c r="F101" s="82" t="n"/>
      <c r="G101" s="82" t="n"/>
      <c r="H101" s="82" t="n"/>
      <c r="I101" s="82" t="n"/>
      <c r="J101" s="82" t="n"/>
      <c r="K101" s="82" t="n"/>
    </row>
    <row r="102">
      <c r="A102" s="82" t="n"/>
      <c r="B102" s="82" t="n"/>
      <c r="C102" s="82" t="n"/>
      <c r="D102" s="82" t="n"/>
      <c r="E102" s="82" t="n"/>
      <c r="F102" s="82" t="n"/>
      <c r="G102" s="82" t="n"/>
      <c r="H102" s="82" t="n"/>
      <c r="I102" s="82" t="n"/>
      <c r="J102" s="82" t="n"/>
      <c r="K102" s="82" t="n"/>
    </row>
    <row r="103">
      <c r="A103" s="82" t="n"/>
      <c r="B103" s="82" t="n"/>
      <c r="C103" s="82" t="n"/>
      <c r="D103" s="82" t="n"/>
      <c r="E103" s="82" t="n"/>
      <c r="F103" s="82" t="n"/>
      <c r="G103" s="82" t="n"/>
      <c r="H103" s="82" t="n"/>
      <c r="I103" s="82" t="n"/>
      <c r="J103" s="82" t="n"/>
      <c r="K103" s="82" t="n"/>
    </row>
    <row r="104">
      <c r="A104" s="82" t="n"/>
      <c r="B104" s="82" t="n"/>
      <c r="C104" s="82" t="n"/>
      <c r="D104" s="82" t="n"/>
      <c r="E104" s="82" t="n"/>
      <c r="F104" s="82" t="n"/>
      <c r="G104" s="82" t="n"/>
      <c r="H104" s="82" t="n"/>
      <c r="I104" s="82" t="n"/>
      <c r="J104" s="82" t="n"/>
      <c r="K104" s="82" t="n"/>
    </row>
    <row r="105">
      <c r="A105" s="82" t="n"/>
      <c r="B105" s="82" t="n"/>
      <c r="C105" s="82" t="n"/>
      <c r="D105" s="82" t="n"/>
      <c r="E105" s="82" t="n"/>
      <c r="F105" s="82" t="n"/>
      <c r="G105" s="82" t="n"/>
      <c r="H105" s="82" t="n"/>
      <c r="I105" s="82" t="n"/>
      <c r="J105" s="82" t="n"/>
      <c r="K105" s="82" t="n"/>
    </row>
    <row r="106">
      <c r="A106" s="82" t="n"/>
      <c r="B106" s="82" t="n"/>
      <c r="C106" s="82" t="n"/>
      <c r="D106" s="82" t="n"/>
      <c r="E106" s="82" t="n"/>
      <c r="F106" s="82" t="n"/>
      <c r="G106" s="82" t="n"/>
      <c r="H106" s="82" t="n"/>
      <c r="I106" s="82" t="n"/>
      <c r="J106" s="82" t="n"/>
      <c r="K106" s="82" t="n"/>
    </row>
    <row r="107">
      <c r="A107" s="82" t="n"/>
      <c r="B107" s="82" t="n"/>
      <c r="C107" s="82" t="n"/>
      <c r="D107" s="82" t="n"/>
      <c r="E107" s="82" t="n"/>
      <c r="F107" s="82" t="n"/>
      <c r="G107" s="82" t="n"/>
      <c r="H107" s="82" t="n"/>
      <c r="I107" s="82" t="n"/>
      <c r="J107" s="82" t="n"/>
      <c r="K107" s="82" t="n"/>
    </row>
    <row r="108">
      <c r="A108" s="82" t="n"/>
      <c r="B108" s="82" t="n"/>
      <c r="C108" s="82" t="n"/>
      <c r="D108" s="82" t="n"/>
      <c r="E108" s="82" t="n"/>
      <c r="F108" s="82" t="n"/>
      <c r="G108" s="82" t="n"/>
      <c r="H108" s="82" t="n"/>
      <c r="I108" s="82" t="n"/>
      <c r="J108" s="82" t="n"/>
      <c r="K108" s="82" t="n"/>
    </row>
    <row r="109">
      <c r="A109" s="82" t="n"/>
      <c r="B109" s="82" t="n"/>
      <c r="C109" s="82" t="n"/>
      <c r="D109" s="82" t="n"/>
      <c r="E109" s="82" t="n"/>
      <c r="F109" s="82" t="n"/>
      <c r="G109" s="82" t="n"/>
      <c r="H109" s="82" t="n"/>
      <c r="I109" s="82" t="n"/>
      <c r="J109" s="82" t="n"/>
      <c r="K109" s="82" t="n"/>
    </row>
    <row r="110">
      <c r="A110" s="82" t="n"/>
      <c r="B110" s="82" t="n"/>
      <c r="C110" s="82" t="n"/>
      <c r="D110" s="82" t="n"/>
      <c r="E110" s="82" t="n"/>
      <c r="F110" s="82" t="n"/>
      <c r="G110" s="82" t="n"/>
      <c r="H110" s="82" t="n"/>
      <c r="I110" s="82" t="n"/>
      <c r="J110" s="82" t="n"/>
      <c r="K110" s="82" t="n"/>
    </row>
    <row r="111">
      <c r="A111" s="82" t="n"/>
      <c r="B111" s="82" t="n"/>
      <c r="C111" s="82" t="n"/>
      <c r="D111" s="82" t="n"/>
      <c r="E111" s="82" t="n"/>
      <c r="F111" s="82" t="n"/>
      <c r="G111" s="82" t="n"/>
      <c r="H111" s="82" t="n"/>
      <c r="I111" s="82" t="n"/>
      <c r="J111" s="82" t="n"/>
      <c r="K111" s="82" t="n"/>
    </row>
    <row r="112">
      <c r="A112" s="82" t="n"/>
      <c r="B112" s="82" t="n"/>
      <c r="C112" s="82" t="n"/>
      <c r="D112" s="82" t="n"/>
      <c r="E112" s="82" t="n"/>
      <c r="F112" s="82" t="n"/>
      <c r="G112" s="82" t="n"/>
      <c r="H112" s="82" t="n"/>
      <c r="I112" s="82" t="n"/>
      <c r="J112" s="82" t="n"/>
      <c r="K112" s="82" t="n"/>
    </row>
    <row r="113">
      <c r="A113" s="82" t="n"/>
      <c r="B113" s="82" t="n"/>
      <c r="C113" s="82" t="n"/>
      <c r="D113" s="82" t="n"/>
      <c r="E113" s="82" t="n"/>
      <c r="F113" s="82" t="n"/>
      <c r="G113" s="82" t="n"/>
      <c r="H113" s="82" t="n"/>
      <c r="I113" s="82" t="n"/>
      <c r="J113" s="82" t="n"/>
      <c r="K113" s="82" t="n"/>
    </row>
    <row r="114">
      <c r="A114" s="82" t="n"/>
      <c r="B114" s="82" t="n"/>
      <c r="C114" s="82" t="n"/>
      <c r="D114" s="82" t="n"/>
      <c r="E114" s="82" t="n"/>
      <c r="F114" s="82" t="n"/>
      <c r="G114" s="82" t="n"/>
      <c r="H114" s="82" t="n"/>
      <c r="I114" s="82" t="n"/>
      <c r="J114" s="82" t="n"/>
      <c r="K114" s="82" t="n"/>
    </row>
    <row r="115">
      <c r="A115" s="82" t="n"/>
      <c r="B115" s="82" t="n"/>
      <c r="C115" s="82" t="n"/>
      <c r="D115" s="82" t="n"/>
      <c r="E115" s="82" t="n"/>
      <c r="F115" s="82" t="n"/>
      <c r="G115" s="82" t="n"/>
      <c r="H115" s="82" t="n"/>
      <c r="I115" s="82" t="n"/>
      <c r="J115" s="82" t="n"/>
      <c r="K115" s="82" t="n"/>
    </row>
    <row r="116">
      <c r="A116" s="82" t="n"/>
      <c r="B116" s="82" t="n"/>
      <c r="C116" s="82" t="n"/>
      <c r="D116" s="82" t="n"/>
      <c r="E116" s="82" t="n"/>
      <c r="F116" s="82" t="n"/>
      <c r="G116" s="82" t="n"/>
      <c r="H116" s="82" t="n"/>
      <c r="I116" s="82" t="n"/>
      <c r="J116" s="82" t="n"/>
      <c r="K116" s="82" t="n"/>
    </row>
    <row r="117">
      <c r="A117" s="82" t="n"/>
      <c r="B117" s="82" t="n"/>
      <c r="C117" s="82" t="n"/>
      <c r="D117" s="82" t="n"/>
      <c r="E117" s="82" t="n"/>
      <c r="F117" s="82" t="n"/>
      <c r="G117" s="82" t="n"/>
      <c r="H117" s="82" t="n"/>
      <c r="I117" s="82" t="n"/>
      <c r="J117" s="82" t="n"/>
      <c r="K117" s="82" t="n"/>
    </row>
    <row r="118">
      <c r="A118" s="82" t="n"/>
      <c r="B118" s="82" t="n"/>
      <c r="C118" s="82" t="n"/>
      <c r="D118" s="82" t="n"/>
      <c r="E118" s="82" t="n"/>
      <c r="F118" s="82" t="n"/>
      <c r="G118" s="82" t="n"/>
      <c r="H118" s="82" t="n"/>
      <c r="I118" s="82" t="n"/>
      <c r="J118" s="82" t="n"/>
      <c r="K118" s="82" t="n"/>
    </row>
    <row r="119">
      <c r="A119" s="82" t="n"/>
      <c r="B119" s="82" t="n"/>
      <c r="C119" s="82" t="n"/>
      <c r="D119" s="82" t="n"/>
      <c r="E119" s="82" t="n"/>
      <c r="F119" s="82" t="n"/>
      <c r="G119" s="82" t="n"/>
      <c r="H119" s="82" t="n"/>
      <c r="I119" s="82" t="n"/>
      <c r="J119" s="82" t="n"/>
      <c r="K119" s="82" t="n"/>
    </row>
    <row r="120">
      <c r="A120" s="82" t="n"/>
      <c r="B120" s="82" t="n"/>
      <c r="C120" s="82" t="n"/>
      <c r="D120" s="82" t="n"/>
      <c r="E120" s="82" t="n"/>
      <c r="F120" s="82" t="n"/>
      <c r="G120" s="82" t="n"/>
      <c r="H120" s="82" t="n"/>
      <c r="I120" s="82" t="n"/>
      <c r="J120" s="82" t="n"/>
      <c r="K120" s="82" t="n"/>
    </row>
    <row r="121">
      <c r="A121" s="82" t="n"/>
      <c r="B121" s="82" t="n"/>
      <c r="C121" s="82" t="n"/>
      <c r="D121" s="82" t="n"/>
      <c r="E121" s="82" t="n"/>
      <c r="F121" s="82" t="n"/>
      <c r="G121" s="82" t="n"/>
      <c r="H121" s="82" t="n"/>
      <c r="I121" s="82" t="n"/>
      <c r="J121" s="82" t="n"/>
      <c r="K121" s="82" t="n"/>
    </row>
    <row r="122">
      <c r="A122" s="82" t="n"/>
      <c r="B122" s="82" t="n"/>
      <c r="C122" s="82" t="n"/>
      <c r="D122" s="82" t="n"/>
      <c r="E122" s="82" t="n"/>
      <c r="F122" s="82" t="n"/>
      <c r="G122" s="82" t="n"/>
      <c r="H122" s="82" t="n"/>
      <c r="I122" s="82" t="n"/>
      <c r="J122" s="82" t="n"/>
      <c r="K122" s="82" t="n"/>
    </row>
    <row r="123">
      <c r="A123" s="82" t="n"/>
      <c r="B123" s="82" t="n"/>
      <c r="C123" s="82" t="n"/>
      <c r="D123" s="82" t="n"/>
      <c r="E123" s="82" t="n"/>
      <c r="F123" s="82" t="n"/>
      <c r="G123" s="82" t="n"/>
      <c r="H123" s="82" t="n"/>
      <c r="I123" s="82" t="n"/>
      <c r="J123" s="82" t="n"/>
      <c r="K123" s="82" t="n"/>
    </row>
    <row r="124">
      <c r="A124" s="82" t="n"/>
      <c r="B124" s="82" t="n"/>
      <c r="C124" s="82" t="n"/>
      <c r="D124" s="82" t="n"/>
      <c r="E124" s="82" t="n"/>
      <c r="F124" s="82" t="n"/>
      <c r="G124" s="82" t="n"/>
      <c r="H124" s="82" t="n"/>
      <c r="I124" s="82" t="n"/>
      <c r="J124" s="82" t="n"/>
      <c r="K124" s="82" t="n"/>
    </row>
    <row r="125">
      <c r="A125" s="82" t="n"/>
      <c r="B125" s="82" t="n"/>
      <c r="C125" s="82" t="n"/>
      <c r="D125" s="82" t="n"/>
      <c r="E125" s="82" t="n"/>
      <c r="F125" s="82" t="n"/>
      <c r="G125" s="82" t="n"/>
      <c r="H125" s="82" t="n"/>
      <c r="I125" s="82" t="n"/>
      <c r="J125" s="82" t="n"/>
      <c r="K125" s="82" t="n"/>
    </row>
    <row r="126">
      <c r="A126" s="82" t="n"/>
      <c r="B126" s="82" t="n"/>
      <c r="C126" s="82" t="n"/>
      <c r="D126" s="82" t="n"/>
      <c r="E126" s="82" t="n"/>
      <c r="F126" s="82" t="n"/>
      <c r="G126" s="82" t="n"/>
      <c r="H126" s="82" t="n"/>
      <c r="I126" s="82" t="n"/>
      <c r="J126" s="82" t="n"/>
      <c r="K126" s="82" t="n"/>
    </row>
    <row r="127">
      <c r="A127" s="82" t="n"/>
      <c r="B127" s="82" t="n"/>
      <c r="C127" s="82" t="n"/>
      <c r="D127" s="82" t="n"/>
      <c r="E127" s="82" t="n"/>
      <c r="F127" s="82" t="n"/>
      <c r="G127" s="82" t="n"/>
      <c r="H127" s="82" t="n"/>
      <c r="I127" s="82" t="n"/>
      <c r="J127" s="82" t="n"/>
      <c r="K127" s="82" t="n"/>
    </row>
    <row r="128">
      <c r="A128" s="82" t="n"/>
      <c r="B128" s="82" t="n"/>
      <c r="C128" s="82" t="n"/>
      <c r="D128" s="82" t="n"/>
      <c r="E128" s="82" t="n"/>
      <c r="F128" s="82" t="n"/>
      <c r="G128" s="82" t="n"/>
      <c r="H128" s="82" t="n"/>
      <c r="I128" s="82" t="n"/>
      <c r="J128" s="82" t="n"/>
      <c r="K128" s="82" t="n"/>
    </row>
    <row r="129">
      <c r="A129" s="82" t="n"/>
      <c r="B129" s="82" t="n"/>
      <c r="C129" s="82" t="n"/>
      <c r="D129" s="82" t="n"/>
      <c r="E129" s="82" t="n"/>
      <c r="F129" s="82" t="n"/>
      <c r="G129" s="82" t="n"/>
      <c r="H129" s="82" t="n"/>
      <c r="I129" s="82" t="n"/>
      <c r="J129" s="82" t="n"/>
      <c r="K129" s="82" t="n"/>
    </row>
    <row r="130">
      <c r="A130" s="82" t="n"/>
      <c r="B130" s="82" t="n"/>
      <c r="C130" s="82" t="n"/>
      <c r="D130" s="82" t="n"/>
      <c r="E130" s="82" t="n"/>
      <c r="F130" s="82" t="n"/>
      <c r="G130" s="82" t="n"/>
      <c r="H130" s="82" t="n"/>
      <c r="I130" s="82" t="n"/>
      <c r="J130" s="82" t="n"/>
      <c r="K130" s="82" t="n"/>
    </row>
    <row r="131">
      <c r="A131" s="82" t="n"/>
      <c r="B131" s="82" t="n"/>
      <c r="C131" s="82" t="n"/>
      <c r="D131" s="82" t="n"/>
      <c r="E131" s="82" t="n"/>
      <c r="F131" s="82" t="n"/>
      <c r="G131" s="82" t="n"/>
      <c r="H131" s="82" t="n"/>
      <c r="I131" s="82" t="n"/>
      <c r="J131" s="82" t="n"/>
      <c r="K131" s="82" t="n"/>
    </row>
    <row r="132">
      <c r="A132" s="82" t="n"/>
      <c r="B132" s="82" t="n"/>
      <c r="C132" s="82" t="n"/>
      <c r="D132" s="82" t="n"/>
      <c r="E132" s="82" t="n"/>
      <c r="F132" s="82" t="n"/>
      <c r="G132" s="82" t="n"/>
      <c r="H132" s="82" t="n"/>
      <c r="I132" s="82" t="n"/>
      <c r="J132" s="82" t="n"/>
      <c r="K132" s="82" t="n"/>
    </row>
    <row r="133">
      <c r="A133" s="82" t="n"/>
      <c r="B133" s="82" t="n"/>
      <c r="C133" s="82" t="n"/>
      <c r="D133" s="82" t="n"/>
      <c r="E133" s="82" t="n"/>
      <c r="F133" s="82" t="n"/>
      <c r="G133" s="82" t="n"/>
      <c r="H133" s="82" t="n"/>
      <c r="I133" s="82" t="n"/>
      <c r="J133" s="82" t="n"/>
      <c r="K133" s="82" t="n"/>
    </row>
    <row r="134">
      <c r="A134" s="82" t="n"/>
      <c r="B134" s="82" t="n"/>
      <c r="C134" s="82" t="n"/>
      <c r="D134" s="82" t="n"/>
      <c r="E134" s="82" t="n"/>
      <c r="F134" s="82" t="n"/>
      <c r="G134" s="82" t="n"/>
      <c r="H134" s="82" t="n"/>
      <c r="I134" s="82" t="n"/>
      <c r="J134" s="82" t="n"/>
      <c r="K134" s="82" t="n"/>
    </row>
    <row r="135">
      <c r="A135" s="82" t="n"/>
      <c r="B135" s="82" t="n"/>
      <c r="C135" s="82" t="n"/>
      <c r="D135" s="82" t="n"/>
      <c r="E135" s="82" t="n"/>
      <c r="F135" s="82" t="n"/>
      <c r="G135" s="82" t="n"/>
      <c r="H135" s="82" t="n"/>
      <c r="I135" s="82" t="n"/>
      <c r="J135" s="82" t="n"/>
      <c r="K135" s="82" t="n"/>
    </row>
    <row r="136">
      <c r="A136" s="82" t="n"/>
      <c r="B136" s="82" t="n"/>
      <c r="C136" s="82" t="n"/>
      <c r="D136" s="82" t="n"/>
      <c r="E136" s="82" t="n"/>
      <c r="F136" s="82" t="n"/>
      <c r="G136" s="82" t="n"/>
      <c r="H136" s="82" t="n"/>
      <c r="I136" s="82" t="n"/>
      <c r="J136" s="82" t="n"/>
      <c r="K136" s="82" t="n"/>
    </row>
    <row r="137">
      <c r="A137" s="82" t="n"/>
      <c r="B137" s="82" t="n"/>
      <c r="C137" s="82" t="n"/>
      <c r="D137" s="82" t="n"/>
      <c r="E137" s="82" t="n"/>
      <c r="F137" s="82" t="n"/>
      <c r="G137" s="82" t="n"/>
      <c r="H137" s="82" t="n"/>
      <c r="I137" s="82" t="n"/>
      <c r="J137" s="82" t="n"/>
      <c r="K137" s="82" t="n"/>
    </row>
    <row r="138">
      <c r="A138" s="82" t="n"/>
      <c r="B138" s="82" t="n"/>
      <c r="C138" s="82" t="n"/>
      <c r="D138" s="82" t="n"/>
      <c r="E138" s="82" t="n"/>
      <c r="F138" s="82" t="n"/>
      <c r="G138" s="82" t="n"/>
      <c r="H138" s="82" t="n"/>
      <c r="I138" s="82" t="n"/>
      <c r="J138" s="82" t="n"/>
      <c r="K138" s="82" t="n"/>
    </row>
    <row r="139">
      <c r="A139" s="82" t="n"/>
      <c r="B139" s="82" t="n"/>
      <c r="C139" s="82" t="n"/>
      <c r="D139" s="82" t="n"/>
      <c r="E139" s="82" t="n"/>
      <c r="F139" s="82" t="n"/>
      <c r="G139" s="82" t="n"/>
      <c r="H139" s="82" t="n"/>
      <c r="I139" s="82" t="n"/>
      <c r="J139" s="82" t="n"/>
      <c r="K139" s="82" t="n"/>
    </row>
    <row r="140">
      <c r="A140" s="82" t="n"/>
      <c r="B140" s="82" t="n"/>
      <c r="C140" s="82" t="n"/>
      <c r="D140" s="82" t="n"/>
      <c r="E140" s="82" t="n"/>
      <c r="F140" s="82" t="n"/>
      <c r="G140" s="82" t="n"/>
      <c r="H140" s="82" t="n"/>
      <c r="I140" s="82" t="n"/>
      <c r="J140" s="82" t="n"/>
      <c r="K140" s="82" t="n"/>
    </row>
    <row r="141">
      <c r="A141" s="82" t="n"/>
      <c r="B141" s="82" t="n"/>
      <c r="C141" s="82" t="n"/>
      <c r="D141" s="82" t="n"/>
      <c r="E141" s="82" t="n"/>
      <c r="F141" s="82" t="n"/>
      <c r="G141" s="82" t="n"/>
      <c r="H141" s="82" t="n"/>
      <c r="I141" s="82" t="n"/>
      <c r="J141" s="82" t="n"/>
      <c r="K141" s="82" t="n"/>
    </row>
    <row r="142">
      <c r="A142" s="82" t="n"/>
      <c r="B142" s="82" t="n"/>
      <c r="C142" s="82" t="n"/>
      <c r="D142" s="82" t="n"/>
      <c r="E142" s="82" t="n"/>
      <c r="F142" s="82" t="n"/>
      <c r="G142" s="82" t="n"/>
      <c r="H142" s="82" t="n"/>
      <c r="I142" s="82" t="n"/>
      <c r="J142" s="82" t="n"/>
      <c r="K142" s="82" t="n"/>
    </row>
    <row r="143">
      <c r="A143" s="82" t="n"/>
      <c r="B143" s="82" t="n"/>
      <c r="C143" s="82" t="n"/>
      <c r="D143" s="82" t="n"/>
      <c r="E143" s="82" t="n"/>
      <c r="F143" s="82" t="n"/>
      <c r="G143" s="82" t="n"/>
      <c r="H143" s="82" t="n"/>
      <c r="I143" s="82" t="n"/>
      <c r="J143" s="82" t="n"/>
      <c r="K143" s="82" t="n"/>
    </row>
    <row r="144">
      <c r="A144" s="82" t="n"/>
      <c r="B144" s="82" t="n"/>
      <c r="C144" s="82" t="n"/>
      <c r="D144" s="82" t="n"/>
      <c r="E144" s="82" t="n"/>
      <c r="F144" s="82" t="n"/>
      <c r="G144" s="82" t="n"/>
      <c r="H144" s="82" t="n"/>
      <c r="I144" s="82" t="n"/>
      <c r="J144" s="82" t="n"/>
      <c r="K144" s="82" t="n"/>
    </row>
    <row r="145">
      <c r="A145" s="82" t="n"/>
      <c r="B145" s="82" t="n"/>
      <c r="C145" s="82" t="n"/>
      <c r="D145" s="82" t="n"/>
      <c r="E145" s="82" t="n"/>
      <c r="F145" s="82" t="n"/>
      <c r="G145" s="82" t="n"/>
      <c r="H145" s="82" t="n"/>
      <c r="I145" s="82" t="n"/>
      <c r="J145" s="82" t="n"/>
      <c r="K145" s="82" t="n"/>
    </row>
    <row r="146">
      <c r="A146" s="82" t="n"/>
      <c r="B146" s="82" t="n"/>
      <c r="C146" s="82" t="n"/>
      <c r="D146" s="82" t="n"/>
      <c r="E146" s="82" t="n"/>
      <c r="F146" s="82" t="n"/>
      <c r="G146" s="82" t="n"/>
      <c r="H146" s="82" t="n"/>
      <c r="I146" s="82" t="n"/>
      <c r="J146" s="82" t="n"/>
      <c r="K146" s="82" t="n"/>
    </row>
    <row r="147">
      <c r="A147" s="82" t="n"/>
      <c r="B147" s="82" t="n"/>
      <c r="C147" s="82" t="n"/>
      <c r="D147" s="82" t="n"/>
      <c r="E147" s="82" t="n"/>
      <c r="F147" s="82" t="n"/>
      <c r="G147" s="82" t="n"/>
      <c r="H147" s="82" t="n"/>
      <c r="I147" s="82" t="n"/>
      <c r="J147" s="82" t="n"/>
      <c r="K147" s="82" t="n"/>
    </row>
    <row r="148">
      <c r="A148" s="82" t="n"/>
      <c r="B148" s="82" t="n"/>
      <c r="C148" s="82" t="n"/>
      <c r="D148" s="82" t="n"/>
      <c r="E148" s="82" t="n"/>
      <c r="F148" s="82" t="n"/>
      <c r="G148" s="82" t="n"/>
      <c r="H148" s="82" t="n"/>
      <c r="I148" s="82" t="n"/>
      <c r="J148" s="82" t="n"/>
      <c r="K148" s="82" t="n"/>
    </row>
    <row r="149">
      <c r="A149" s="82" t="n"/>
      <c r="B149" s="82" t="n"/>
      <c r="C149" s="82" t="n"/>
      <c r="D149" s="82" t="n"/>
      <c r="E149" s="82" t="n"/>
      <c r="F149" s="82" t="n"/>
      <c r="G149" s="82" t="n"/>
      <c r="H149" s="82" t="n"/>
      <c r="I149" s="82" t="n"/>
      <c r="J149" s="82" t="n"/>
      <c r="K149" s="82" t="n"/>
    </row>
    <row r="150">
      <c r="A150" s="82" t="n"/>
      <c r="B150" s="82" t="n"/>
      <c r="C150" s="82" t="n"/>
      <c r="D150" s="82" t="n"/>
      <c r="E150" s="82" t="n"/>
      <c r="F150" s="82" t="n"/>
      <c r="G150" s="82" t="n"/>
      <c r="H150" s="82" t="n"/>
      <c r="I150" s="82" t="n"/>
      <c r="J150" s="82" t="n"/>
      <c r="K150" s="82" t="n"/>
    </row>
    <row r="151">
      <c r="A151" s="82" t="n"/>
      <c r="B151" s="82" t="n"/>
      <c r="C151" s="82" t="n"/>
      <c r="D151" s="82" t="n"/>
      <c r="E151" s="82" t="n"/>
      <c r="F151" s="82" t="n"/>
      <c r="G151" s="82" t="n"/>
      <c r="H151" s="82" t="n"/>
      <c r="I151" s="82" t="n"/>
      <c r="J151" s="82" t="n"/>
      <c r="K151" s="82" t="n"/>
    </row>
    <row r="152">
      <c r="A152" s="82" t="n"/>
      <c r="B152" s="82" t="n"/>
      <c r="C152" s="82" t="n"/>
      <c r="D152" s="82" t="n"/>
      <c r="E152" s="82" t="n"/>
      <c r="F152" s="82" t="n"/>
      <c r="G152" s="82" t="n"/>
      <c r="H152" s="82" t="n"/>
      <c r="I152" s="82" t="n"/>
      <c r="J152" s="82" t="n"/>
      <c r="K152" s="82" t="n"/>
    </row>
    <row r="153">
      <c r="A153" s="82" t="n"/>
      <c r="B153" s="82" t="n"/>
      <c r="C153" s="82" t="n"/>
      <c r="D153" s="82" t="n"/>
      <c r="E153" s="82" t="n"/>
      <c r="F153" s="82" t="n"/>
      <c r="G153" s="82" t="n"/>
      <c r="H153" s="82" t="n"/>
      <c r="I153" s="82" t="n"/>
      <c r="J153" s="82" t="n"/>
      <c r="K153" s="82" t="n"/>
    </row>
    <row r="154">
      <c r="A154" s="82" t="n"/>
      <c r="B154" s="82" t="n"/>
      <c r="C154" s="82" t="n"/>
      <c r="D154" s="82" t="n"/>
      <c r="E154" s="82" t="n"/>
      <c r="F154" s="82" t="n"/>
      <c r="G154" s="82" t="n"/>
      <c r="H154" s="82" t="n"/>
      <c r="I154" s="82" t="n"/>
      <c r="J154" s="82" t="n"/>
      <c r="K154" s="82" t="n"/>
    </row>
    <row r="155">
      <c r="A155" s="82" t="n"/>
      <c r="B155" s="82" t="n"/>
      <c r="C155" s="82" t="n"/>
      <c r="D155" s="82" t="n"/>
      <c r="E155" s="82" t="n"/>
      <c r="F155" s="82" t="n"/>
      <c r="G155" s="82" t="n"/>
      <c r="H155" s="82" t="n"/>
      <c r="I155" s="82" t="n"/>
      <c r="J155" s="82" t="n"/>
      <c r="K155" s="82" t="n"/>
    </row>
    <row r="156">
      <c r="A156" s="82" t="n"/>
      <c r="B156" s="82" t="n"/>
      <c r="C156" s="82" t="n"/>
      <c r="D156" s="82" t="n"/>
      <c r="E156" s="82" t="n"/>
      <c r="F156" s="82" t="n"/>
      <c r="G156" s="82" t="n"/>
      <c r="H156" s="82" t="n"/>
      <c r="I156" s="82" t="n"/>
      <c r="J156" s="82" t="n"/>
      <c r="K156" s="82" t="n"/>
    </row>
    <row r="157">
      <c r="A157" s="82" t="n"/>
      <c r="B157" s="82" t="n"/>
      <c r="C157" s="82" t="n"/>
      <c r="D157" s="82" t="n"/>
      <c r="E157" s="82" t="n"/>
      <c r="F157" s="82" t="n"/>
      <c r="G157" s="82" t="n"/>
      <c r="H157" s="82" t="n"/>
      <c r="I157" s="82" t="n"/>
      <c r="J157" s="82" t="n"/>
      <c r="K157" s="82" t="n"/>
    </row>
    <row r="158">
      <c r="A158" s="82" t="n"/>
      <c r="B158" s="82" t="n"/>
      <c r="C158" s="82" t="n"/>
      <c r="D158" s="82" t="n"/>
      <c r="E158" s="82" t="n"/>
      <c r="F158" s="82" t="n"/>
      <c r="G158" s="82" t="n"/>
      <c r="H158" s="82" t="n"/>
      <c r="I158" s="82" t="n"/>
      <c r="J158" s="82" t="n"/>
      <c r="K158" s="82" t="n"/>
    </row>
    <row r="159">
      <c r="A159" s="82" t="n"/>
      <c r="B159" s="82" t="n"/>
      <c r="C159" s="82" t="n"/>
      <c r="D159" s="82" t="n"/>
      <c r="E159" s="82" t="n"/>
      <c r="F159" s="82" t="n"/>
      <c r="G159" s="82" t="n"/>
      <c r="H159" s="82" t="n"/>
      <c r="I159" s="82" t="n"/>
      <c r="J159" s="82" t="n"/>
      <c r="K159" s="82" t="n"/>
    </row>
    <row r="160">
      <c r="A160" s="82" t="n"/>
      <c r="B160" s="82" t="n"/>
      <c r="C160" s="82" t="n"/>
      <c r="D160" s="82" t="n"/>
      <c r="E160" s="82" t="n"/>
      <c r="F160" s="82" t="n"/>
      <c r="G160" s="82" t="n"/>
      <c r="H160" s="82" t="n"/>
      <c r="I160" s="82" t="n"/>
      <c r="J160" s="82" t="n"/>
      <c r="K160" s="82" t="n"/>
    </row>
    <row r="161">
      <c r="A161" s="82" t="n"/>
      <c r="B161" s="82" t="n"/>
      <c r="C161" s="82" t="n"/>
      <c r="D161" s="82" t="n"/>
      <c r="E161" s="82" t="n"/>
      <c r="F161" s="82" t="n"/>
      <c r="G161" s="82" t="n"/>
      <c r="H161" s="82" t="n"/>
      <c r="I161" s="82" t="n"/>
      <c r="J161" s="82" t="n"/>
      <c r="K161" s="82" t="n"/>
    </row>
    <row r="162">
      <c r="A162" s="82" t="n"/>
      <c r="B162" s="82" t="n"/>
      <c r="C162" s="82" t="n"/>
      <c r="D162" s="82" t="n"/>
      <c r="E162" s="82" t="n"/>
      <c r="F162" s="82" t="n"/>
      <c r="G162" s="82" t="n"/>
      <c r="H162" s="82" t="n"/>
      <c r="I162" s="82" t="n"/>
      <c r="J162" s="82" t="n"/>
      <c r="K162" s="82" t="n"/>
    </row>
    <row r="163">
      <c r="A163" s="82" t="n"/>
      <c r="B163" s="82" t="n"/>
      <c r="C163" s="82" t="n"/>
      <c r="D163" s="82" t="n"/>
      <c r="E163" s="82" t="n"/>
      <c r="F163" s="82" t="n"/>
      <c r="G163" s="82" t="n"/>
      <c r="H163" s="82" t="n"/>
      <c r="I163" s="82" t="n"/>
      <c r="J163" s="82" t="n"/>
      <c r="K163" s="82" t="n"/>
    </row>
    <row r="164">
      <c r="A164" s="82" t="n"/>
      <c r="B164" s="82" t="n"/>
      <c r="C164" s="82" t="n"/>
      <c r="D164" s="82" t="n"/>
      <c r="E164" s="82" t="n"/>
      <c r="F164" s="82" t="n"/>
      <c r="G164" s="82" t="n"/>
      <c r="H164" s="82" t="n"/>
      <c r="I164" s="82" t="n"/>
      <c r="J164" s="82" t="n"/>
      <c r="K164" s="82" t="n"/>
    </row>
    <row r="165">
      <c r="A165" s="82" t="n"/>
      <c r="B165" s="82" t="n"/>
      <c r="C165" s="82" t="n"/>
      <c r="D165" s="82" t="n"/>
      <c r="E165" s="82" t="n"/>
      <c r="F165" s="82" t="n"/>
      <c r="G165" s="82" t="n"/>
      <c r="H165" s="82" t="n"/>
      <c r="I165" s="82" t="n"/>
      <c r="J165" s="82" t="n"/>
      <c r="K165" s="82" t="n"/>
    </row>
    <row r="166">
      <c r="A166" s="82" t="n"/>
      <c r="B166" s="82" t="n"/>
      <c r="C166" s="82" t="n"/>
      <c r="D166" s="82" t="n"/>
      <c r="E166" s="82" t="n"/>
      <c r="F166" s="82" t="n"/>
      <c r="G166" s="82" t="n"/>
      <c r="H166" s="82" t="n"/>
      <c r="I166" s="82" t="n"/>
      <c r="J166" s="82" t="n"/>
      <c r="K166" s="82" t="n"/>
    </row>
    <row r="167">
      <c r="A167" s="82" t="n"/>
      <c r="B167" s="82" t="n"/>
      <c r="C167" s="82" t="n"/>
      <c r="D167" s="82" t="n"/>
      <c r="E167" s="82" t="n"/>
      <c r="F167" s="82" t="n"/>
      <c r="G167" s="82" t="n"/>
      <c r="H167" s="82" t="n"/>
      <c r="I167" s="82" t="n"/>
      <c r="J167" s="82" t="n"/>
      <c r="K167" s="82" t="n"/>
    </row>
    <row r="168">
      <c r="A168" s="82" t="n"/>
      <c r="B168" s="82" t="n"/>
      <c r="C168" s="82" t="n"/>
      <c r="D168" s="82" t="n"/>
      <c r="E168" s="82" t="n"/>
      <c r="F168" s="82" t="n"/>
      <c r="G168" s="82" t="n"/>
      <c r="H168" s="82" t="n"/>
      <c r="I168" s="82" t="n"/>
      <c r="J168" s="82" t="n"/>
      <c r="K168" s="82" t="n"/>
    </row>
    <row r="169">
      <c r="A169" s="82" t="n"/>
      <c r="B169" s="82" t="n"/>
      <c r="C169" s="82" t="n"/>
      <c r="D169" s="82" t="n"/>
      <c r="E169" s="82" t="n"/>
      <c r="F169" s="82" t="n"/>
      <c r="G169" s="82" t="n"/>
      <c r="H169" s="82" t="n"/>
      <c r="I169" s="82" t="n"/>
      <c r="J169" s="82" t="n"/>
      <c r="K169" s="82" t="n"/>
    </row>
    <row r="170">
      <c r="A170" s="82" t="n"/>
      <c r="B170" s="82" t="n"/>
      <c r="C170" s="82" t="n"/>
      <c r="D170" s="82" t="n"/>
      <c r="E170" s="82" t="n"/>
      <c r="F170" s="82" t="n"/>
      <c r="G170" s="82" t="n"/>
      <c r="H170" s="82" t="n"/>
      <c r="I170" s="82" t="n"/>
      <c r="J170" s="82" t="n"/>
      <c r="K170" s="82" t="n"/>
    </row>
    <row r="171">
      <c r="A171" s="82" t="n"/>
      <c r="B171" s="82" t="n"/>
      <c r="C171" s="82" t="n"/>
      <c r="D171" s="82" t="n"/>
      <c r="E171" s="82" t="n"/>
      <c r="F171" s="82" t="n"/>
      <c r="G171" s="82" t="n"/>
      <c r="H171" s="82" t="n"/>
      <c r="I171" s="82" t="n"/>
      <c r="J171" s="82" t="n"/>
      <c r="K171" s="82" t="n"/>
    </row>
    <row r="172">
      <c r="A172" s="82" t="n"/>
      <c r="B172" s="82" t="n"/>
      <c r="C172" s="82" t="n"/>
      <c r="D172" s="82" t="n"/>
      <c r="E172" s="82" t="n"/>
      <c r="F172" s="82" t="n"/>
      <c r="G172" s="82" t="n"/>
      <c r="H172" s="82" t="n"/>
      <c r="I172" s="82" t="n"/>
      <c r="J172" s="82" t="n"/>
      <c r="K172" s="82" t="n"/>
    </row>
    <row r="173">
      <c r="A173" s="82" t="n"/>
      <c r="B173" s="82" t="n"/>
      <c r="C173" s="82" t="n"/>
      <c r="D173" s="82" t="n"/>
      <c r="E173" s="82" t="n"/>
      <c r="F173" s="82" t="n"/>
      <c r="G173" s="82" t="n"/>
      <c r="H173" s="82" t="n"/>
      <c r="I173" s="82" t="n"/>
      <c r="J173" s="82" t="n"/>
      <c r="K173" s="82" t="n"/>
    </row>
    <row r="174">
      <c r="A174" s="82" t="n"/>
      <c r="B174" s="82" t="n"/>
      <c r="C174" s="82" t="n"/>
      <c r="D174" s="82" t="n"/>
      <c r="E174" s="82" t="n"/>
      <c r="F174" s="82" t="n"/>
      <c r="G174" s="82" t="n"/>
      <c r="H174" s="82" t="n"/>
      <c r="I174" s="82" t="n"/>
      <c r="J174" s="82" t="n"/>
      <c r="K174" s="82" t="n"/>
    </row>
    <row r="175">
      <c r="A175" s="82" t="n"/>
      <c r="B175" s="82" t="n"/>
      <c r="C175" s="82" t="n"/>
      <c r="D175" s="82" t="n"/>
      <c r="E175" s="82" t="n"/>
      <c r="F175" s="82" t="n"/>
      <c r="G175" s="82" t="n"/>
      <c r="H175" s="82" t="n"/>
      <c r="I175" s="82" t="n"/>
      <c r="J175" s="82" t="n"/>
      <c r="K175" s="82" t="n"/>
    </row>
    <row r="176">
      <c r="A176" s="82" t="n"/>
      <c r="B176" s="82" t="n"/>
      <c r="C176" s="82" t="n"/>
      <c r="D176" s="82" t="n"/>
      <c r="E176" s="82" t="n"/>
      <c r="F176" s="82" t="n"/>
      <c r="G176" s="82" t="n"/>
      <c r="H176" s="82" t="n"/>
      <c r="I176" s="82" t="n"/>
      <c r="J176" s="82" t="n"/>
      <c r="K176" s="82" t="n"/>
    </row>
    <row r="177">
      <c r="A177" s="82" t="n"/>
      <c r="B177" s="82" t="n"/>
      <c r="C177" s="82" t="n"/>
      <c r="D177" s="82" t="n"/>
      <c r="E177" s="82" t="n"/>
      <c r="F177" s="82" t="n"/>
      <c r="G177" s="82" t="n"/>
      <c r="H177" s="82" t="n"/>
      <c r="I177" s="82" t="n"/>
      <c r="J177" s="82" t="n"/>
      <c r="K177" s="82" t="n"/>
    </row>
    <row r="178">
      <c r="A178" s="82" t="n"/>
      <c r="B178" s="82" t="n"/>
      <c r="C178" s="82" t="n"/>
      <c r="D178" s="82" t="n"/>
      <c r="E178" s="82" t="n"/>
      <c r="F178" s="82" t="n"/>
      <c r="G178" s="82" t="n"/>
      <c r="H178" s="82" t="n"/>
      <c r="I178" s="82" t="n"/>
      <c r="J178" s="82" t="n"/>
      <c r="K178" s="82" t="n"/>
    </row>
    <row r="179">
      <c r="A179" s="82" t="n"/>
      <c r="B179" s="82" t="n"/>
      <c r="C179" s="82" t="n"/>
      <c r="D179" s="82" t="n"/>
      <c r="E179" s="82" t="n"/>
      <c r="F179" s="82" t="n"/>
      <c r="G179" s="82" t="n"/>
      <c r="H179" s="82" t="n"/>
      <c r="I179" s="82" t="n"/>
      <c r="J179" s="82" t="n"/>
      <c r="K179" s="82" t="n"/>
    </row>
    <row r="180">
      <c r="A180" s="82" t="n"/>
      <c r="B180" s="82" t="n"/>
      <c r="C180" s="82" t="n"/>
      <c r="D180" s="82" t="n"/>
      <c r="E180" s="82" t="n"/>
      <c r="F180" s="82" t="n"/>
      <c r="G180" s="82" t="n"/>
      <c r="H180" s="82" t="n"/>
      <c r="I180" s="82" t="n"/>
      <c r="J180" s="82" t="n"/>
      <c r="K180" s="82" t="n"/>
    </row>
    <row r="181">
      <c r="A181" s="82" t="n"/>
      <c r="B181" s="82" t="n"/>
      <c r="C181" s="82" t="n"/>
      <c r="D181" s="82" t="n"/>
      <c r="E181" s="82" t="n"/>
      <c r="F181" s="82" t="n"/>
      <c r="G181" s="82" t="n"/>
      <c r="H181" s="82" t="n"/>
      <c r="I181" s="82" t="n"/>
      <c r="J181" s="82" t="n"/>
      <c r="K181" s="82" t="n"/>
    </row>
    <row r="182">
      <c r="A182" s="82" t="n"/>
      <c r="B182" s="82" t="n"/>
      <c r="C182" s="82" t="n"/>
      <c r="D182" s="82" t="n"/>
      <c r="E182" s="82" t="n"/>
      <c r="F182" s="82" t="n"/>
      <c r="G182" s="82" t="n"/>
      <c r="H182" s="82" t="n"/>
      <c r="I182" s="82" t="n"/>
      <c r="J182" s="82" t="n"/>
      <c r="K182" s="82" t="n"/>
    </row>
    <row r="183">
      <c r="A183" s="82" t="n"/>
      <c r="B183" s="82" t="n"/>
      <c r="C183" s="82" t="n"/>
      <c r="D183" s="82" t="n"/>
      <c r="E183" s="82" t="n"/>
      <c r="F183" s="82" t="n"/>
      <c r="G183" s="82" t="n"/>
      <c r="H183" s="82" t="n"/>
      <c r="I183" s="82" t="n"/>
      <c r="J183" s="82" t="n"/>
      <c r="K183" s="82" t="n"/>
    </row>
    <row r="184">
      <c r="A184" s="82" t="n"/>
      <c r="B184" s="82" t="n"/>
      <c r="C184" s="82" t="n"/>
      <c r="D184" s="82" t="n"/>
      <c r="E184" s="82" t="n"/>
      <c r="F184" s="82" t="n"/>
      <c r="G184" s="82" t="n"/>
      <c r="H184" s="82" t="n"/>
      <c r="I184" s="82" t="n"/>
      <c r="J184" s="82" t="n"/>
      <c r="K184" s="82" t="n"/>
    </row>
    <row r="185">
      <c r="A185" s="82" t="n"/>
      <c r="B185" s="82" t="n"/>
      <c r="C185" s="82" t="n"/>
      <c r="D185" s="82" t="n"/>
      <c r="E185" s="82" t="n"/>
      <c r="F185" s="82" t="n"/>
      <c r="G185" s="82" t="n"/>
      <c r="H185" s="82" t="n"/>
      <c r="I185" s="82" t="n"/>
      <c r="J185" s="82" t="n"/>
      <c r="K185" s="82" t="n"/>
    </row>
    <row r="186">
      <c r="A186" s="82" t="n"/>
      <c r="B186" s="82" t="n"/>
      <c r="C186" s="82" t="n"/>
      <c r="D186" s="82" t="n"/>
      <c r="E186" s="82" t="n"/>
      <c r="F186" s="82" t="n"/>
      <c r="G186" s="82" t="n"/>
      <c r="H186" s="82" t="n"/>
      <c r="I186" s="82" t="n"/>
      <c r="J186" s="82" t="n"/>
      <c r="K186" s="82" t="n"/>
    </row>
    <row r="187">
      <c r="A187" s="82" t="n"/>
      <c r="B187" s="82" t="n"/>
      <c r="C187" s="82" t="n"/>
      <c r="D187" s="82" t="n"/>
      <c r="E187" s="82" t="n"/>
      <c r="F187" s="82" t="n"/>
      <c r="G187" s="82" t="n"/>
      <c r="H187" s="82" t="n"/>
      <c r="I187" s="82" t="n"/>
      <c r="J187" s="82" t="n"/>
      <c r="K187" s="82" t="n"/>
    </row>
    <row r="188">
      <c r="A188" s="82" t="n"/>
      <c r="B188" s="82" t="n"/>
      <c r="C188" s="82" t="n"/>
      <c r="D188" s="82" t="n"/>
      <c r="E188" s="82" t="n"/>
      <c r="F188" s="82" t="n"/>
      <c r="G188" s="82" t="n"/>
      <c r="H188" s="82" t="n"/>
      <c r="I188" s="82" t="n"/>
      <c r="J188" s="82" t="n"/>
      <c r="K188" s="82" t="n"/>
    </row>
    <row r="189">
      <c r="A189" s="82" t="n"/>
      <c r="B189" s="82" t="n"/>
      <c r="C189" s="82" t="n"/>
      <c r="D189" s="82" t="n"/>
      <c r="E189" s="82" t="n"/>
      <c r="F189" s="82" t="n"/>
      <c r="G189" s="82" t="n"/>
      <c r="H189" s="82" t="n"/>
      <c r="I189" s="82" t="n"/>
      <c r="J189" s="82" t="n"/>
      <c r="K189" s="82" t="n"/>
    </row>
    <row r="190">
      <c r="A190" s="82" t="n"/>
      <c r="B190" s="82" t="n"/>
      <c r="C190" s="82" t="n"/>
      <c r="D190" s="82" t="n"/>
      <c r="E190" s="82" t="n"/>
      <c r="F190" s="82" t="n"/>
      <c r="G190" s="82" t="n"/>
      <c r="H190" s="82" t="n"/>
      <c r="I190" s="82" t="n"/>
      <c r="J190" s="82" t="n"/>
      <c r="K190" s="82" t="n"/>
    </row>
    <row r="191">
      <c r="A191" s="82" t="n"/>
      <c r="B191" s="82" t="n"/>
      <c r="C191" s="82" t="n"/>
      <c r="D191" s="82" t="n"/>
      <c r="E191" s="82" t="n"/>
      <c r="F191" s="82" t="n"/>
      <c r="G191" s="82" t="n"/>
      <c r="H191" s="82" t="n"/>
      <c r="I191" s="82" t="n"/>
      <c r="J191" s="82" t="n"/>
      <c r="K191" s="82" t="n"/>
    </row>
    <row r="192">
      <c r="A192" s="82" t="n"/>
      <c r="B192" s="82" t="n"/>
      <c r="C192" s="82" t="n"/>
      <c r="D192" s="82" t="n"/>
      <c r="E192" s="82" t="n"/>
      <c r="F192" s="82" t="n"/>
      <c r="G192" s="82" t="n"/>
      <c r="H192" s="82" t="n"/>
      <c r="I192" s="82" t="n"/>
      <c r="J192" s="82" t="n"/>
      <c r="K192" s="82" t="n"/>
    </row>
    <row r="193">
      <c r="A193" s="82" t="n"/>
      <c r="B193" s="82" t="n"/>
      <c r="C193" s="82" t="n"/>
      <c r="D193" s="82" t="n"/>
      <c r="E193" s="82" t="n"/>
      <c r="F193" s="82" t="n"/>
      <c r="G193" s="82" t="n"/>
      <c r="H193" s="82" t="n"/>
      <c r="I193" s="82" t="n"/>
      <c r="J193" s="82" t="n"/>
      <c r="K193" s="82" t="n"/>
    </row>
    <row r="194">
      <c r="A194" s="82" t="n"/>
      <c r="B194" s="82" t="n"/>
      <c r="C194" s="82" t="n"/>
      <c r="D194" s="82" t="n"/>
      <c r="E194" s="82" t="n"/>
      <c r="F194" s="82" t="n"/>
      <c r="G194" s="82" t="n"/>
      <c r="H194" s="82" t="n"/>
      <c r="I194" s="82" t="n"/>
      <c r="J194" s="82" t="n"/>
      <c r="K194" s="82" t="n"/>
    </row>
    <row r="195">
      <c r="A195" s="82" t="n"/>
      <c r="B195" s="82" t="n"/>
      <c r="C195" s="82" t="n"/>
      <c r="D195" s="82" t="n"/>
      <c r="E195" s="82" t="n"/>
      <c r="F195" s="82" t="n"/>
      <c r="G195" s="82" t="n"/>
      <c r="H195" s="82" t="n"/>
      <c r="I195" s="82" t="n"/>
      <c r="J195" s="82" t="n"/>
      <c r="K195" s="82" t="n"/>
    </row>
    <row r="196">
      <c r="A196" s="82" t="n"/>
      <c r="B196" s="82" t="n"/>
      <c r="C196" s="82" t="n"/>
      <c r="D196" s="82" t="n"/>
      <c r="E196" s="82" t="n"/>
      <c r="F196" s="82" t="n"/>
      <c r="G196" s="82" t="n"/>
      <c r="H196" s="82" t="n"/>
      <c r="I196" s="82" t="n"/>
      <c r="J196" s="82" t="n"/>
      <c r="K196" s="82" t="n"/>
    </row>
    <row r="197">
      <c r="A197" s="82" t="n"/>
      <c r="B197" s="82" t="n"/>
      <c r="C197" s="82" t="n"/>
      <c r="D197" s="82" t="n"/>
      <c r="E197" s="82" t="n"/>
      <c r="F197" s="82" t="n"/>
      <c r="G197" s="82" t="n"/>
      <c r="H197" s="82" t="n"/>
      <c r="I197" s="82" t="n"/>
      <c r="J197" s="82" t="n"/>
      <c r="K197" s="82" t="n"/>
    </row>
    <row r="198">
      <c r="A198" s="82" t="n"/>
      <c r="B198" s="82" t="n"/>
      <c r="C198" s="82" t="n"/>
      <c r="D198" s="82" t="n"/>
      <c r="E198" s="82" t="n"/>
      <c r="F198" s="82" t="n"/>
      <c r="G198" s="82" t="n"/>
      <c r="H198" s="82" t="n"/>
      <c r="I198" s="82" t="n"/>
      <c r="J198" s="82" t="n"/>
      <c r="K198" s="82" t="n"/>
    </row>
    <row r="199">
      <c r="A199" s="82" t="n"/>
      <c r="B199" s="82" t="n"/>
      <c r="C199" s="82" t="n"/>
      <c r="D199" s="82" t="n"/>
      <c r="E199" s="82" t="n"/>
      <c r="F199" s="82" t="n"/>
      <c r="G199" s="82" t="n"/>
      <c r="H199" s="82" t="n"/>
      <c r="I199" s="82" t="n"/>
      <c r="J199" s="82" t="n"/>
      <c r="K199" s="82" t="n"/>
    </row>
    <row r="200">
      <c r="A200" s="82" t="n"/>
      <c r="B200" s="82" t="n"/>
      <c r="C200" s="82" t="n"/>
      <c r="D200" s="82" t="n"/>
      <c r="E200" s="82" t="n"/>
      <c r="F200" s="82" t="n"/>
      <c r="G200" s="82" t="n"/>
      <c r="H200" s="82" t="n"/>
      <c r="I200" s="82" t="n"/>
      <c r="J200" s="82" t="n"/>
      <c r="K200" s="82" t="n"/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autoFilter ref="A4:K16"/>
  <mergeCells count="2">
    <mergeCell ref="A2:K2"/>
    <mergeCell ref="A1:K1"/>
  </mergeCells>
  <conditionalFormatting sqref="K5:K80">
    <cfRule type="expression" priority="1" dxfId="0">
      <formula>K5="Yes"</formula>
    </cfRule>
    <cfRule type="expression" priority="2" dxfId="2">
      <formula>K5="No"</formula>
    </cfRule>
  </conditionalFormatting>
  <dataValidations count="1">
    <dataValidation sqref="G5:G200" showDropDown="0" showInputMessage="0" showErrorMessage="1" allowBlank="1" errorTitle="Invalid value" error="Pick a value from the list." type="list">
      <formula1>=Channel</formula1>
    </dataValidation>
  </dataValidations>
  <pageMargins left="0.4" right="0.4" top="0.6" bottom="0.5" header="0.25" footer="0.25"/>
  <pageSetup orientation="landscape" paperSize="3" fitToHeight="0" fitToWidth="1"/>
  <headerFooter>
    <oddHeader>&amp;LNovality Store  ·  Home Renovation System&amp;RMessages</oddHeader>
    <oddFooter>&amp;LConfidential  ·  Digital twin of the home&amp;RPage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002D5C52"/>
    <outlinePr summaryBelow="1" summaryRight="1"/>
    <pageSetUpPr fitToPage="1"/>
  </sheetPr>
  <dimension ref="A1:O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18" customWidth="1" min="4" max="4"/>
    <col width="12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2" customWidth="1" min="13" max="13"/>
    <col width="16" customWidth="1" min="14" max="14"/>
    <col width="36" customWidth="1" min="15" max="15"/>
  </cols>
  <sheetData>
    <row r="1" ht="28" customHeight="1">
      <c r="A1" s="1" t="inlineStr">
        <is>
          <t>INVENTORY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Everything in the house  ·  insurance + future maintenance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 ht="22" customHeight="1">
      <c r="A4" s="66" t="inlineStr">
        <is>
          <t>Item ID</t>
        </is>
      </c>
      <c r="B4" s="66" t="inlineStr">
        <is>
          <t>Item</t>
        </is>
      </c>
      <c r="C4" s="66" t="inlineStr">
        <is>
          <t>Brand</t>
        </is>
      </c>
      <c r="D4" s="66" t="inlineStr">
        <is>
          <t>Room / Location</t>
        </is>
      </c>
      <c r="E4" s="66" t="inlineStr">
        <is>
          <t>Category</t>
        </is>
      </c>
      <c r="F4" s="66" t="inlineStr">
        <is>
          <t>Purchase Date</t>
        </is>
      </c>
      <c r="G4" s="66" t="inlineStr">
        <is>
          <t>Cost</t>
        </is>
      </c>
      <c r="H4" s="66" t="inlineStr">
        <is>
          <t>Warranty (yrs)</t>
        </is>
      </c>
      <c r="I4" s="66" t="inlineStr">
        <is>
          <t>Warranty End</t>
        </is>
      </c>
      <c r="J4" s="66" t="inlineStr">
        <is>
          <t>Serial</t>
        </is>
      </c>
      <c r="K4" s="66" t="inlineStr">
        <is>
          <t>Model</t>
        </is>
      </c>
      <c r="L4" s="66" t="inlineStr">
        <is>
          <t>Receipt</t>
        </is>
      </c>
      <c r="M4" s="66" t="inlineStr">
        <is>
          <t>Condition</t>
        </is>
      </c>
      <c r="N4" s="66" t="inlineStr">
        <is>
          <t>Replacement Value</t>
        </is>
      </c>
      <c r="O4" s="66" t="inlineStr">
        <is>
          <t>Notes</t>
        </is>
      </c>
    </row>
    <row r="5" ht="18" customHeight="1">
      <c r="A5" s="67" t="inlineStr">
        <is>
          <t>INV-001</t>
        </is>
      </c>
      <c r="B5" s="67" t="inlineStr">
        <is>
          <t>Samsung Refrigerator (existing, to donate)</t>
        </is>
      </c>
      <c r="C5" s="67" t="inlineStr">
        <is>
          <t>Samsung</t>
        </is>
      </c>
      <c r="D5" s="67" t="inlineStr">
        <is>
          <t>RM-01</t>
        </is>
      </c>
      <c r="E5" s="68" t="inlineStr">
        <is>
          <t>Appliance</t>
        </is>
      </c>
      <c r="F5" s="69" t="n">
        <v>43556</v>
      </c>
      <c r="G5" s="83" t="n">
        <v>1200</v>
      </c>
      <c r="H5" s="67" t="n">
        <v>1</v>
      </c>
      <c r="I5" s="118">
        <f>IF(OR($A5="",$F5="",$H5=""),"",EDATE($F5,$H5*12))</f>
        <v/>
      </c>
      <c r="J5" s="67" t="inlineStr">
        <is>
          <t>RF28R7351SG</t>
        </is>
      </c>
      <c r="K5" s="68" t="inlineStr">
        <is>
          <t>RF28</t>
        </is>
      </c>
      <c r="L5" s="68" t="inlineStr">
        <is>
          <t>drive/rcpt/old-fridge</t>
        </is>
      </c>
      <c r="M5" s="67" t="inlineStr">
        <is>
          <t>Fair</t>
        </is>
      </c>
      <c r="N5" s="71" t="n">
        <v>400</v>
      </c>
      <c r="O5" s="67" t="inlineStr">
        <is>
          <t>Pickup scheduled after new fridge arrives</t>
        </is>
      </c>
    </row>
    <row r="6" ht="18" customHeight="1">
      <c r="A6" s="75" t="inlineStr">
        <is>
          <t>INV-002</t>
        </is>
      </c>
      <c r="B6" s="75" t="inlineStr">
        <is>
          <t>Sub-Zero fridge (on order)</t>
        </is>
      </c>
      <c r="C6" s="75" t="inlineStr">
        <is>
          <t>Sub-Zero</t>
        </is>
      </c>
      <c r="D6" s="75" t="inlineStr">
        <is>
          <t>RM-01</t>
        </is>
      </c>
      <c r="E6" s="76" t="inlineStr">
        <is>
          <t>Appliance</t>
        </is>
      </c>
      <c r="F6" s="77" t="n">
        <v>46277</v>
      </c>
      <c r="G6" s="87" t="n">
        <v>0</v>
      </c>
      <c r="H6" s="75" t="n">
        <v>2</v>
      </c>
      <c r="I6" s="118">
        <f>IF(OR($A6="",$F6="",$H6=""),"",EDATE($F6,$H6*12))</f>
        <v/>
      </c>
      <c r="J6" s="75" t="inlineStr">
        <is>
          <t>TBD</t>
        </is>
      </c>
      <c r="K6" s="76" t="inlineStr">
        <is>
          <t>DEC3650</t>
        </is>
      </c>
      <c r="L6" s="76" t="inlineStr">
        <is>
          <t>APPL-01</t>
        </is>
      </c>
      <c r="M6" s="75" t="inlineStr">
        <is>
          <t>On order</t>
        </is>
      </c>
      <c r="N6" s="79" t="n">
        <v>8900</v>
      </c>
      <c r="O6" s="75" t="inlineStr">
        <is>
          <t>Serial on delivery</t>
        </is>
      </c>
    </row>
    <row r="7" ht="18" customHeight="1">
      <c r="A7" s="67" t="inlineStr">
        <is>
          <t>INV-003</t>
        </is>
      </c>
      <c r="B7" s="67" t="inlineStr">
        <is>
          <t>Wolf 36 dual-fuel range (on order)</t>
        </is>
      </c>
      <c r="C7" s="67" t="inlineStr">
        <is>
          <t>Wolf</t>
        </is>
      </c>
      <c r="D7" s="67" t="inlineStr">
        <is>
          <t>RM-01</t>
        </is>
      </c>
      <c r="E7" s="68" t="inlineStr">
        <is>
          <t>Appliance</t>
        </is>
      </c>
      <c r="F7" s="69" t="n">
        <v>46277</v>
      </c>
      <c r="G7" s="83" t="n">
        <v>0</v>
      </c>
      <c r="H7" s="67" t="n">
        <v>2</v>
      </c>
      <c r="I7" s="118">
        <f>IF(OR($A7="",$F7="",$H7=""),"",EDATE($F7,$H7*12))</f>
        <v/>
      </c>
      <c r="J7" s="67" t="inlineStr">
        <is>
          <t>TBD</t>
        </is>
      </c>
      <c r="K7" s="68" t="inlineStr">
        <is>
          <t>DF364C</t>
        </is>
      </c>
      <c r="L7" s="68" t="inlineStr">
        <is>
          <t>APPL-01</t>
        </is>
      </c>
      <c r="M7" s="67" t="inlineStr">
        <is>
          <t>On order</t>
        </is>
      </c>
      <c r="N7" s="71" t="n">
        <v>7900</v>
      </c>
      <c r="O7" s="67" t="inlineStr"/>
    </row>
    <row r="8" ht="18" customHeight="1">
      <c r="A8" s="75" t="inlineStr">
        <is>
          <t>INV-004</t>
        </is>
      </c>
      <c r="B8" s="75" t="inlineStr">
        <is>
          <t>Bosch dishwasher</t>
        </is>
      </c>
      <c r="C8" s="75" t="inlineStr">
        <is>
          <t>Bosch</t>
        </is>
      </c>
      <c r="D8" s="75" t="inlineStr">
        <is>
          <t>RM-01</t>
        </is>
      </c>
      <c r="E8" s="76" t="inlineStr">
        <is>
          <t>Appliance</t>
        </is>
      </c>
      <c r="F8" s="77" t="n">
        <v>45078</v>
      </c>
      <c r="G8" s="87" t="n">
        <v>980</v>
      </c>
      <c r="H8" s="75" t="n">
        <v>1</v>
      </c>
      <c r="I8" s="118">
        <f>IF(OR($A8="",$F8="",$H8=""),"",EDATE($F8,$H8*12))</f>
        <v/>
      </c>
      <c r="J8" s="75" t="inlineStr">
        <is>
          <t>FD-2291</t>
        </is>
      </c>
      <c r="K8" s="76" t="inlineStr">
        <is>
          <t>SHPM88Z75N</t>
        </is>
      </c>
      <c r="L8" s="76" t="inlineStr">
        <is>
          <t>drive/rcpt/dw</t>
        </is>
      </c>
      <c r="M8" s="75" t="inlineStr">
        <is>
          <t>Good</t>
        </is>
      </c>
      <c r="N8" s="79" t="n">
        <v>900</v>
      </c>
      <c r="O8" s="75" t="inlineStr">
        <is>
          <t>Reuse</t>
        </is>
      </c>
    </row>
    <row r="9" ht="18" customHeight="1">
      <c r="A9" s="67" t="inlineStr">
        <is>
          <t>INV-005</t>
        </is>
      </c>
      <c r="B9" s="67" t="inlineStr">
        <is>
          <t>WarmFloor thermostat</t>
        </is>
      </c>
      <c r="C9" s="67" t="inlineStr">
        <is>
          <t>WarmFloor</t>
        </is>
      </c>
      <c r="D9" s="67" t="inlineStr">
        <is>
          <t>RM-03</t>
        </is>
      </c>
      <c r="E9" s="68" t="inlineStr">
        <is>
          <t>System</t>
        </is>
      </c>
      <c r="F9" s="69" t="n">
        <v>46209</v>
      </c>
      <c r="G9" s="83" t="n">
        <v>1680</v>
      </c>
      <c r="H9" s="67" t="n">
        <v>3</v>
      </c>
      <c r="I9" s="118">
        <f>IF(OR($A9="",$F9="",$H9=""),"",EDATE($F9,$H9*12))</f>
        <v/>
      </c>
      <c r="J9" s="67" t="inlineStr">
        <is>
          <t>WF-T-44190</t>
        </is>
      </c>
      <c r="K9" s="68" t="inlineStr">
        <is>
          <t>WF-STAT-2</t>
        </is>
      </c>
      <c r="L9" s="68" t="inlineStr">
        <is>
          <t>WF-441</t>
        </is>
      </c>
      <c r="M9" s="67" t="inlineStr">
        <is>
          <t>New</t>
        </is>
      </c>
      <c r="N9" s="71" t="n">
        <v>1680</v>
      </c>
      <c r="O9" s="67" t="inlineStr">
        <is>
          <t>Program 82F mornings</t>
        </is>
      </c>
    </row>
    <row r="10" ht="18" customHeight="1">
      <c r="A10" s="75" t="inlineStr">
        <is>
          <t>INV-006</t>
        </is>
      </c>
      <c r="B10" s="75" t="inlineStr">
        <is>
          <t>Brizo shower set</t>
        </is>
      </c>
      <c r="C10" s="75" t="inlineStr">
        <is>
          <t>Brizo</t>
        </is>
      </c>
      <c r="D10" s="75" t="inlineStr">
        <is>
          <t>RM-03</t>
        </is>
      </c>
      <c r="E10" s="76" t="inlineStr">
        <is>
          <t>Fixture</t>
        </is>
      </c>
      <c r="F10" s="77" t="n">
        <v>46248</v>
      </c>
      <c r="G10" s="87" t="n">
        <v>890</v>
      </c>
      <c r="H10" s="75" t="n">
        <v>5</v>
      </c>
      <c r="I10" s="118">
        <f>IF(OR($A10="",$F10="",$H10=""),"",EDATE($F10,$H10*12))</f>
        <v/>
      </c>
      <c r="J10" s="75" t="inlineStr">
        <is>
          <t>BZ-100221</t>
        </is>
      </c>
      <c r="K10" s="76" t="inlineStr">
        <is>
          <t>BZ-T600</t>
        </is>
      </c>
      <c r="L10" s="76" t="inlineStr">
        <is>
          <t>FERG-9921</t>
        </is>
      </c>
      <c r="M10" s="75" t="inlineStr">
        <is>
          <t>New</t>
        </is>
      </c>
      <c r="N10" s="79" t="n">
        <v>890</v>
      </c>
      <c r="O10" s="75" t="inlineStr"/>
    </row>
    <row r="11" ht="18" customHeight="1">
      <c r="A11" s="67" t="inlineStr">
        <is>
          <t>INV-007</t>
        </is>
      </c>
      <c r="B11" s="67" t="inlineStr">
        <is>
          <t>Primary bath vanity</t>
        </is>
      </c>
      <c r="C11" s="67" t="inlineStr">
        <is>
          <t>Cascade</t>
        </is>
      </c>
      <c r="D11" s="67" t="inlineStr">
        <is>
          <t>RM-03</t>
        </is>
      </c>
      <c r="E11" s="68" t="inlineStr">
        <is>
          <t>Cabinetry</t>
        </is>
      </c>
      <c r="F11" s="69" t="n">
        <v>46223</v>
      </c>
      <c r="G11" s="83" t="n">
        <v>1680</v>
      </c>
      <c r="H11" s="67" t="n">
        <v>2</v>
      </c>
      <c r="I11" s="118">
        <f>IF(OR($A11="",$F11="",$H11=""),"",EDATE($F11,$H11*12))</f>
        <v/>
      </c>
      <c r="J11" s="67" t="inlineStr">
        <is>
          <t>CC-VAN-48-09</t>
        </is>
      </c>
      <c r="K11" s="68" t="inlineStr">
        <is>
          <t>CC-VAN-48</t>
        </is>
      </c>
      <c r="L11" s="68" t="inlineStr">
        <is>
          <t>INV-CC-440</t>
        </is>
      </c>
      <c r="M11" s="67" t="inlineStr">
        <is>
          <t>New</t>
        </is>
      </c>
      <c r="N11" s="71" t="n">
        <v>1680</v>
      </c>
      <c r="O11" s="67" t="inlineStr"/>
    </row>
    <row r="12" ht="18" customHeight="1">
      <c r="A12" s="75" t="inlineStr">
        <is>
          <t>INV-008</t>
        </is>
      </c>
      <c r="B12" s="75" t="inlineStr">
        <is>
          <t>HVAC furnace</t>
        </is>
      </c>
      <c r="C12" s="75" t="inlineStr">
        <is>
          <t>Trane</t>
        </is>
      </c>
      <c r="D12" s="75" t="inlineStr">
        <is>
          <t>Laundry / mech</t>
        </is>
      </c>
      <c r="E12" s="76" t="inlineStr">
        <is>
          <t>HVAC</t>
        </is>
      </c>
      <c r="F12" s="77" t="n">
        <v>44440</v>
      </c>
      <c r="G12" s="87" t="n">
        <v>4200</v>
      </c>
      <c r="H12" s="75" t="n">
        <v>1</v>
      </c>
      <c r="I12" s="118">
        <f>IF(OR($A12="",$F12="",$H12=""),"",EDATE($F12,$H12*12))</f>
        <v/>
      </c>
      <c r="J12" s="75" t="inlineStr">
        <is>
          <t>TR-88120</t>
        </is>
      </c>
      <c r="K12" s="76" t="inlineStr">
        <is>
          <t>S9V2</t>
        </is>
      </c>
      <c r="L12" s="76" t="inlineStr">
        <is>
          <t>drive/rcpt/hvac</t>
        </is>
      </c>
      <c r="M12" s="75" t="inlineStr">
        <is>
          <t>Good</t>
        </is>
      </c>
      <c r="N12" s="79" t="n">
        <v>3800</v>
      </c>
      <c r="O12" s="75" t="inlineStr">
        <is>
          <t>Filter every 90 days</t>
        </is>
      </c>
    </row>
    <row r="13" ht="18" customHeight="1">
      <c r="A13" s="67" t="inlineStr">
        <is>
          <t>INV-009</t>
        </is>
      </c>
      <c r="B13" s="67" t="inlineStr">
        <is>
          <t>Water heater (heat pump)</t>
        </is>
      </c>
      <c r="C13" s="67" t="inlineStr">
        <is>
          <t>Rheem</t>
        </is>
      </c>
      <c r="D13" s="67" t="inlineStr">
        <is>
          <t>Laundry / mech</t>
        </is>
      </c>
      <c r="E13" s="68" t="inlineStr">
        <is>
          <t>Plumbing</t>
        </is>
      </c>
      <c r="F13" s="69" t="n">
        <v>45332</v>
      </c>
      <c r="G13" s="83" t="n">
        <v>2100</v>
      </c>
      <c r="H13" s="67" t="n">
        <v>2</v>
      </c>
      <c r="I13" s="118">
        <f>IF(OR($A13="",$F13="",$H13=""),"",EDATE($F13,$H13*12))</f>
        <v/>
      </c>
      <c r="J13" s="67" t="inlineStr">
        <is>
          <t>RH-44019</t>
        </is>
      </c>
      <c r="K13" s="68" t="inlineStr">
        <is>
          <t>PROPH80</t>
        </is>
      </c>
      <c r="L13" s="68" t="inlineStr">
        <is>
          <t>drive/rcpt/wh</t>
        </is>
      </c>
      <c r="M13" s="67" t="inlineStr">
        <is>
          <t>Good</t>
        </is>
      </c>
      <c r="N13" s="71" t="n">
        <v>2000</v>
      </c>
      <c r="O13" s="67" t="inlineStr">
        <is>
          <t>Anode 2027</t>
        </is>
      </c>
    </row>
    <row r="14" ht="18" customHeight="1">
      <c r="A14" s="75" t="inlineStr">
        <is>
          <t>INV-010</t>
        </is>
      </c>
      <c r="B14" s="75" t="inlineStr">
        <is>
          <t>Roof — architectural shingle</t>
        </is>
      </c>
      <c r="C14" s="75" t="inlineStr">
        <is>
          <t>Owens Corning</t>
        </is>
      </c>
      <c r="D14" s="75" t="inlineStr">
        <is>
          <t>Exterior</t>
        </is>
      </c>
      <c r="E14" s="76" t="inlineStr">
        <is>
          <t>Envelope</t>
        </is>
      </c>
      <c r="F14" s="77" t="n">
        <v>43282</v>
      </c>
      <c r="G14" s="87" t="n">
        <v>9800</v>
      </c>
      <c r="H14" s="75" t="n">
        <v>2</v>
      </c>
      <c r="I14" s="118">
        <f>IF(OR($A14="",$F14="",$H14=""),"",EDATE($F14,$H14*12))</f>
        <v/>
      </c>
      <c r="J14" s="75" t="inlineStr"/>
      <c r="K14" s="76" t="inlineStr">
        <is>
          <t>Duration</t>
        </is>
      </c>
      <c r="L14" s="76" t="inlineStr">
        <is>
          <t>drive/rcpt/roof</t>
        </is>
      </c>
      <c r="M14" s="75" t="inlineStr">
        <is>
          <t>Fair</t>
        </is>
      </c>
      <c r="N14" s="79" t="n">
        <v>12000</v>
      </c>
      <c r="O14" s="75" t="inlineStr">
        <is>
          <t>Inspect after storms</t>
        </is>
      </c>
    </row>
    <row r="15" ht="18" customHeight="1">
      <c r="A15" s="67" t="inlineStr">
        <is>
          <t>INV-011</t>
        </is>
      </c>
      <c r="B15" s="67" t="inlineStr">
        <is>
          <t>Washer / dryer pair</t>
        </is>
      </c>
      <c r="C15" s="67" t="inlineStr">
        <is>
          <t>LG</t>
        </is>
      </c>
      <c r="D15" s="67" t="inlineStr">
        <is>
          <t>RM-07</t>
        </is>
      </c>
      <c r="E15" s="68" t="inlineStr">
        <is>
          <t>Appliance</t>
        </is>
      </c>
      <c r="F15" s="69" t="n">
        <v>44866</v>
      </c>
      <c r="G15" s="83" t="n">
        <v>1600</v>
      </c>
      <c r="H15" s="67" t="n">
        <v>1</v>
      </c>
      <c r="I15" s="118">
        <f>IF(OR($A15="",$F15="",$H15=""),"",EDATE($F15,$H15*12))</f>
        <v/>
      </c>
      <c r="J15" s="67" t="inlineStr">
        <is>
          <t>LG-W8821 / LG-D8821</t>
        </is>
      </c>
      <c r="K15" s="68" t="inlineStr">
        <is>
          <t>WM4000 / DLEX4000</t>
        </is>
      </c>
      <c r="L15" s="68" t="inlineStr">
        <is>
          <t>drive/rcpt/ld</t>
        </is>
      </c>
      <c r="M15" s="67" t="inlineStr">
        <is>
          <t>Good</t>
        </is>
      </c>
      <c r="N15" s="71" t="n">
        <v>1400</v>
      </c>
      <c r="O15" s="67" t="inlineStr"/>
    </row>
    <row r="16" ht="18" customHeight="1">
      <c r="A16" s="75" t="inlineStr">
        <is>
          <t>INV-012</t>
        </is>
      </c>
      <c r="B16" s="75" t="inlineStr">
        <is>
          <t>Living room rug (existing)</t>
        </is>
      </c>
      <c r="C16" s="75" t="inlineStr">
        <is>
          <t>West Elm</t>
        </is>
      </c>
      <c r="D16" s="75" t="inlineStr">
        <is>
          <t>RM-02</t>
        </is>
      </c>
      <c r="E16" s="76" t="inlineStr">
        <is>
          <t>Furniture</t>
        </is>
      </c>
      <c r="F16" s="77" t="n">
        <v>43845</v>
      </c>
      <c r="G16" s="87" t="n">
        <v>640</v>
      </c>
      <c r="H16" s="75" t="n">
        <v>0</v>
      </c>
      <c r="I16" s="118">
        <f>IF(OR($A16="",$F16="",$H16=""),"",EDATE($F16,$H16*12))</f>
        <v/>
      </c>
      <c r="J16" s="75" t="inlineStr"/>
      <c r="K16" s="76" t="inlineStr">
        <is>
          <t>Kelim 9x12</t>
        </is>
      </c>
      <c r="L16" s="76" t="inlineStr"/>
      <c r="M16" s="75" t="inlineStr">
        <is>
          <t>Keep</t>
        </is>
      </c>
      <c r="N16" s="79" t="n">
        <v>400</v>
      </c>
      <c r="O16" s="75" t="inlineStr">
        <is>
          <t>Clean after flooring</t>
        </is>
      </c>
    </row>
    <row r="17" ht="18" customHeight="1">
      <c r="A17" s="67" t="inlineStr">
        <is>
          <t>INV-013</t>
        </is>
      </c>
      <c r="B17" s="67" t="inlineStr">
        <is>
          <t>Entry hook rail</t>
        </is>
      </c>
      <c r="C17" s="67" t="inlineStr">
        <is>
          <t>Rejuvenation</t>
        </is>
      </c>
      <c r="D17" s="67" t="inlineStr">
        <is>
          <t>RM-08</t>
        </is>
      </c>
      <c r="E17" s="68" t="inlineStr">
        <is>
          <t>Hardware</t>
        </is>
      </c>
      <c r="F17" s="69" t="n">
        <v>46253</v>
      </c>
      <c r="G17" s="83" t="n">
        <v>186</v>
      </c>
      <c r="H17" s="67" t="n">
        <v>1</v>
      </c>
      <c r="I17" s="118">
        <f>IF(OR($A17="",$F17="",$H17=""),"",EDATE($F17,$H17*12))</f>
        <v/>
      </c>
      <c r="J17" s="67" t="inlineStr"/>
      <c r="K17" s="68" t="inlineStr">
        <is>
          <t>RJ-HR-48</t>
        </is>
      </c>
      <c r="L17" s="68" t="inlineStr">
        <is>
          <t>REJ-33</t>
        </is>
      </c>
      <c r="M17" s="67" t="inlineStr">
        <is>
          <t>New</t>
        </is>
      </c>
      <c r="N17" s="71" t="n">
        <v>186</v>
      </c>
      <c r="O17" s="67" t="inlineStr">
        <is>
          <t>Install this week</t>
        </is>
      </c>
    </row>
    <row r="18" ht="18" customHeight="1">
      <c r="A18" s="75" t="inlineStr">
        <is>
          <t>INV-014</t>
        </is>
      </c>
      <c r="B18" s="75" t="inlineStr">
        <is>
          <t>Smoke / CO detectors x6</t>
        </is>
      </c>
      <c r="C18" s="75" t="inlineStr">
        <is>
          <t>First Alert</t>
        </is>
      </c>
      <c r="D18" s="75" t="inlineStr">
        <is>
          <t>Whole home</t>
        </is>
      </c>
      <c r="E18" s="76" t="inlineStr">
        <is>
          <t>Safety</t>
        </is>
      </c>
      <c r="F18" s="77" t="n">
        <v>45665</v>
      </c>
      <c r="G18" s="87" t="n">
        <v>180</v>
      </c>
      <c r="H18" s="75" t="n">
        <v>10</v>
      </c>
      <c r="I18" s="118">
        <f>IF(OR($A18="",$F18="",$H18=""),"",EDATE($F18,$H18*12))</f>
        <v/>
      </c>
      <c r="J18" s="75" t="inlineStr"/>
      <c r="K18" s="76" t="inlineStr">
        <is>
          <t>SMCO410</t>
        </is>
      </c>
      <c r="L18" s="76" t="inlineStr"/>
      <c r="M18" s="75" t="inlineStr">
        <is>
          <t>Good</t>
        </is>
      </c>
      <c r="N18" s="79" t="n">
        <v>180</v>
      </c>
      <c r="O18" s="75" t="inlineStr">
        <is>
          <t>Hush test monthly</t>
        </is>
      </c>
    </row>
    <row r="19" ht="18" customHeight="1">
      <c r="A19" s="67" t="inlineStr">
        <is>
          <t>INV-015</t>
        </is>
      </c>
      <c r="B19" s="67" t="inlineStr">
        <is>
          <t>Cabin water filter</t>
        </is>
      </c>
      <c r="C19" s="67" t="inlineStr">
        <is>
          <t>Berkey</t>
        </is>
      </c>
      <c r="D19" s="67" t="inlineStr">
        <is>
          <t>PROP-002</t>
        </is>
      </c>
      <c r="E19" s="68" t="inlineStr">
        <is>
          <t>Plumbing</t>
        </is>
      </c>
      <c r="F19" s="69" t="n">
        <v>45047</v>
      </c>
      <c r="G19" s="83" t="n">
        <v>320</v>
      </c>
      <c r="H19" s="67" t="n">
        <v>2</v>
      </c>
      <c r="I19" s="118">
        <f>IF(OR($A19="",$F19="",$H19=""),"",EDATE($F19,$H19*12))</f>
        <v/>
      </c>
      <c r="J19" s="67" t="inlineStr"/>
      <c r="K19" s="68" t="inlineStr">
        <is>
          <t>Royal</t>
        </is>
      </c>
      <c r="L19" s="68" t="inlineStr"/>
      <c r="M19" s="67" t="inlineStr">
        <is>
          <t>Good</t>
        </is>
      </c>
      <c r="N19" s="71" t="n">
        <v>280</v>
      </c>
      <c r="O19" s="67" t="inlineStr">
        <is>
          <t>Replace elements 2026-11</t>
        </is>
      </c>
    </row>
    <row r="20">
      <c r="A20" s="82" t="n"/>
      <c r="B20" s="82" t="n"/>
      <c r="C20" s="82" t="n"/>
      <c r="D20" s="82" t="n"/>
      <c r="E20" s="82" t="n"/>
      <c r="F20" s="82" t="n"/>
      <c r="G20" s="82" t="n"/>
      <c r="H20" s="82" t="n"/>
      <c r="J20" s="82" t="n"/>
      <c r="K20" s="82" t="n"/>
      <c r="L20" s="82" t="n"/>
      <c r="M20" s="82" t="n"/>
      <c r="N20" s="82" t="n"/>
      <c r="O20" s="82" t="n"/>
    </row>
    <row r="21">
      <c r="A21" s="82" t="n"/>
      <c r="B21" s="82" t="n"/>
      <c r="C21" s="82" t="n"/>
      <c r="D21" s="82" t="n"/>
      <c r="E21" s="82" t="n"/>
      <c r="F21" s="82" t="n"/>
      <c r="G21" s="82" t="n"/>
      <c r="H21" s="82" t="n"/>
      <c r="J21" s="82" t="n"/>
      <c r="K21" s="82" t="n"/>
      <c r="L21" s="82" t="n"/>
      <c r="M21" s="82" t="n"/>
      <c r="N21" s="82" t="n"/>
      <c r="O21" s="82" t="n"/>
    </row>
    <row r="22">
      <c r="A22" s="82" t="n"/>
      <c r="B22" s="82" t="n"/>
      <c r="C22" s="82" t="n"/>
      <c r="D22" s="82" t="n"/>
      <c r="E22" s="82" t="n"/>
      <c r="F22" s="82" t="n"/>
      <c r="G22" s="82" t="n"/>
      <c r="H22" s="82" t="n"/>
      <c r="J22" s="82" t="n"/>
      <c r="K22" s="82" t="n"/>
      <c r="L22" s="82" t="n"/>
      <c r="M22" s="82" t="n"/>
      <c r="N22" s="82" t="n"/>
      <c r="O22" s="82" t="n"/>
    </row>
    <row r="23">
      <c r="A23" s="82" t="n"/>
      <c r="B23" s="82" t="n"/>
      <c r="C23" s="82" t="n"/>
      <c r="D23" s="82" t="n"/>
      <c r="E23" s="82" t="n"/>
      <c r="F23" s="82" t="n"/>
      <c r="G23" s="82" t="n"/>
      <c r="H23" s="82" t="n"/>
      <c r="J23" s="82" t="n"/>
      <c r="K23" s="82" t="n"/>
      <c r="L23" s="82" t="n"/>
      <c r="M23" s="82" t="n"/>
      <c r="N23" s="82" t="n"/>
      <c r="O23" s="82" t="n"/>
    </row>
    <row r="24">
      <c r="A24" s="82" t="n"/>
      <c r="B24" s="82" t="n"/>
      <c r="C24" s="82" t="n"/>
      <c r="D24" s="82" t="n"/>
      <c r="E24" s="82" t="n"/>
      <c r="F24" s="82" t="n"/>
      <c r="G24" s="82" t="n"/>
      <c r="H24" s="82" t="n"/>
      <c r="J24" s="82" t="n"/>
      <c r="K24" s="82" t="n"/>
      <c r="L24" s="82" t="n"/>
      <c r="M24" s="82" t="n"/>
      <c r="N24" s="82" t="n"/>
      <c r="O24" s="82" t="n"/>
    </row>
    <row r="25">
      <c r="A25" s="82" t="n"/>
      <c r="B25" s="82" t="n"/>
      <c r="C25" s="82" t="n"/>
      <c r="D25" s="82" t="n"/>
      <c r="E25" s="82" t="n"/>
      <c r="F25" s="82" t="n"/>
      <c r="G25" s="82" t="n"/>
      <c r="H25" s="82" t="n"/>
      <c r="J25" s="82" t="n"/>
      <c r="K25" s="82" t="n"/>
      <c r="L25" s="82" t="n"/>
      <c r="M25" s="82" t="n"/>
      <c r="N25" s="82" t="n"/>
      <c r="O25" s="82" t="n"/>
    </row>
    <row r="26">
      <c r="A26" s="82" t="n"/>
      <c r="B26" s="82" t="n"/>
      <c r="C26" s="82" t="n"/>
      <c r="D26" s="82" t="n"/>
      <c r="E26" s="82" t="n"/>
      <c r="F26" s="82" t="n"/>
      <c r="G26" s="82" t="n"/>
      <c r="H26" s="82" t="n"/>
      <c r="J26" s="82" t="n"/>
      <c r="K26" s="82" t="n"/>
      <c r="L26" s="82" t="n"/>
      <c r="M26" s="82" t="n"/>
      <c r="N26" s="82" t="n"/>
      <c r="O26" s="82" t="n"/>
    </row>
    <row r="27">
      <c r="A27" s="82" t="n"/>
      <c r="B27" s="82" t="n"/>
      <c r="C27" s="82" t="n"/>
      <c r="D27" s="82" t="n"/>
      <c r="E27" s="82" t="n"/>
      <c r="F27" s="82" t="n"/>
      <c r="G27" s="82" t="n"/>
      <c r="H27" s="82" t="n"/>
      <c r="J27" s="82" t="n"/>
      <c r="K27" s="82" t="n"/>
      <c r="L27" s="82" t="n"/>
      <c r="M27" s="82" t="n"/>
      <c r="N27" s="82" t="n"/>
      <c r="O27" s="82" t="n"/>
    </row>
    <row r="28">
      <c r="A28" s="82" t="n"/>
      <c r="B28" s="82" t="n"/>
      <c r="C28" s="82" t="n"/>
      <c r="D28" s="82" t="n"/>
      <c r="E28" s="82" t="n"/>
      <c r="F28" s="82" t="n"/>
      <c r="G28" s="82" t="n"/>
      <c r="H28" s="82" t="n"/>
      <c r="J28" s="82" t="n"/>
      <c r="K28" s="82" t="n"/>
      <c r="L28" s="82" t="n"/>
      <c r="M28" s="82" t="n"/>
      <c r="N28" s="82" t="n"/>
      <c r="O28" s="82" t="n"/>
    </row>
    <row r="29">
      <c r="A29" s="82" t="n"/>
      <c r="B29" s="82" t="n"/>
      <c r="C29" s="82" t="n"/>
      <c r="D29" s="82" t="n"/>
      <c r="E29" s="82" t="n"/>
      <c r="F29" s="82" t="n"/>
      <c r="G29" s="82" t="n"/>
      <c r="H29" s="82" t="n"/>
      <c r="J29" s="82" t="n"/>
      <c r="K29" s="82" t="n"/>
      <c r="L29" s="82" t="n"/>
      <c r="M29" s="82" t="n"/>
      <c r="N29" s="82" t="n"/>
      <c r="O29" s="82" t="n"/>
    </row>
    <row r="30">
      <c r="A30" s="82" t="n"/>
      <c r="B30" s="82" t="n"/>
      <c r="C30" s="82" t="n"/>
      <c r="D30" s="82" t="n"/>
      <c r="E30" s="82" t="n"/>
      <c r="F30" s="82" t="n"/>
      <c r="G30" s="82" t="n"/>
      <c r="H30" s="82" t="n"/>
      <c r="J30" s="82" t="n"/>
      <c r="K30" s="82" t="n"/>
      <c r="L30" s="82" t="n"/>
      <c r="M30" s="82" t="n"/>
      <c r="N30" s="82" t="n"/>
      <c r="O30" s="82" t="n"/>
    </row>
    <row r="31">
      <c r="A31" s="82" t="n"/>
      <c r="B31" s="82" t="n"/>
      <c r="C31" s="82" t="n"/>
      <c r="D31" s="82" t="n"/>
      <c r="E31" s="82" t="n"/>
      <c r="F31" s="82" t="n"/>
      <c r="G31" s="82" t="n"/>
      <c r="H31" s="82" t="n"/>
      <c r="J31" s="82" t="n"/>
      <c r="K31" s="82" t="n"/>
      <c r="L31" s="82" t="n"/>
      <c r="M31" s="82" t="n"/>
      <c r="N31" s="82" t="n"/>
      <c r="O31" s="82" t="n"/>
    </row>
    <row r="32">
      <c r="A32" s="82" t="n"/>
      <c r="B32" s="82" t="n"/>
      <c r="C32" s="82" t="n"/>
      <c r="D32" s="82" t="n"/>
      <c r="E32" s="82" t="n"/>
      <c r="F32" s="82" t="n"/>
      <c r="G32" s="82" t="n"/>
      <c r="H32" s="82" t="n"/>
      <c r="J32" s="82" t="n"/>
      <c r="K32" s="82" t="n"/>
      <c r="L32" s="82" t="n"/>
      <c r="M32" s="82" t="n"/>
      <c r="N32" s="82" t="n"/>
      <c r="O32" s="82" t="n"/>
    </row>
    <row r="33">
      <c r="A33" s="82" t="n"/>
      <c r="B33" s="82" t="n"/>
      <c r="C33" s="82" t="n"/>
      <c r="D33" s="82" t="n"/>
      <c r="E33" s="82" t="n"/>
      <c r="F33" s="82" t="n"/>
      <c r="G33" s="82" t="n"/>
      <c r="H33" s="82" t="n"/>
      <c r="J33" s="82" t="n"/>
      <c r="K33" s="82" t="n"/>
      <c r="L33" s="82" t="n"/>
      <c r="M33" s="82" t="n"/>
      <c r="N33" s="82" t="n"/>
      <c r="O33" s="82" t="n"/>
    </row>
    <row r="34">
      <c r="A34" s="82" t="n"/>
      <c r="B34" s="82" t="n"/>
      <c r="C34" s="82" t="n"/>
      <c r="D34" s="82" t="n"/>
      <c r="E34" s="82" t="n"/>
      <c r="F34" s="82" t="n"/>
      <c r="G34" s="82" t="n"/>
      <c r="H34" s="82" t="n"/>
      <c r="J34" s="82" t="n"/>
      <c r="K34" s="82" t="n"/>
      <c r="L34" s="82" t="n"/>
      <c r="M34" s="82" t="n"/>
      <c r="N34" s="82" t="n"/>
      <c r="O34" s="82" t="n"/>
    </row>
    <row r="35">
      <c r="A35" s="82" t="n"/>
      <c r="B35" s="82" t="n"/>
      <c r="C35" s="82" t="n"/>
      <c r="D35" s="82" t="n"/>
      <c r="E35" s="82" t="n"/>
      <c r="F35" s="82" t="n"/>
      <c r="G35" s="82" t="n"/>
      <c r="H35" s="82" t="n"/>
      <c r="J35" s="82" t="n"/>
      <c r="K35" s="82" t="n"/>
      <c r="L35" s="82" t="n"/>
      <c r="M35" s="82" t="n"/>
      <c r="N35" s="82" t="n"/>
      <c r="O35" s="82" t="n"/>
    </row>
    <row r="36">
      <c r="A36" s="82" t="n"/>
      <c r="B36" s="82" t="n"/>
      <c r="C36" s="82" t="n"/>
      <c r="D36" s="82" t="n"/>
      <c r="E36" s="82" t="n"/>
      <c r="F36" s="82" t="n"/>
      <c r="G36" s="82" t="n"/>
      <c r="H36" s="82" t="n"/>
      <c r="J36" s="82" t="n"/>
      <c r="K36" s="82" t="n"/>
      <c r="L36" s="82" t="n"/>
      <c r="M36" s="82" t="n"/>
      <c r="N36" s="82" t="n"/>
      <c r="O36" s="82" t="n"/>
    </row>
    <row r="37">
      <c r="A37" s="82" t="n"/>
      <c r="B37" s="82" t="n"/>
      <c r="C37" s="82" t="n"/>
      <c r="D37" s="82" t="n"/>
      <c r="E37" s="82" t="n"/>
      <c r="F37" s="82" t="n"/>
      <c r="G37" s="82" t="n"/>
      <c r="H37" s="82" t="n"/>
      <c r="J37" s="82" t="n"/>
      <c r="K37" s="82" t="n"/>
      <c r="L37" s="82" t="n"/>
      <c r="M37" s="82" t="n"/>
      <c r="N37" s="82" t="n"/>
      <c r="O37" s="82" t="n"/>
    </row>
    <row r="38">
      <c r="A38" s="82" t="n"/>
      <c r="B38" s="82" t="n"/>
      <c r="C38" s="82" t="n"/>
      <c r="D38" s="82" t="n"/>
      <c r="E38" s="82" t="n"/>
      <c r="F38" s="82" t="n"/>
      <c r="G38" s="82" t="n"/>
      <c r="H38" s="82" t="n"/>
      <c r="J38" s="82" t="n"/>
      <c r="K38" s="82" t="n"/>
      <c r="L38" s="82" t="n"/>
      <c r="M38" s="82" t="n"/>
      <c r="N38" s="82" t="n"/>
      <c r="O38" s="82" t="n"/>
    </row>
    <row r="39">
      <c r="A39" s="82" t="n"/>
      <c r="B39" s="82" t="n"/>
      <c r="C39" s="82" t="n"/>
      <c r="D39" s="82" t="n"/>
      <c r="E39" s="82" t="n"/>
      <c r="F39" s="82" t="n"/>
      <c r="G39" s="82" t="n"/>
      <c r="H39" s="82" t="n"/>
      <c r="J39" s="82" t="n"/>
      <c r="K39" s="82" t="n"/>
      <c r="L39" s="82" t="n"/>
      <c r="M39" s="82" t="n"/>
      <c r="N39" s="82" t="n"/>
      <c r="O39" s="82" t="n"/>
    </row>
    <row r="40">
      <c r="A40" s="82" t="n"/>
      <c r="B40" s="82" t="n"/>
      <c r="C40" s="82" t="n"/>
      <c r="D40" s="82" t="n"/>
      <c r="E40" s="82" t="n"/>
      <c r="F40" s="82" t="n"/>
      <c r="G40" s="82" t="n"/>
      <c r="H40" s="82" t="n"/>
      <c r="J40" s="82" t="n"/>
      <c r="K40" s="82" t="n"/>
      <c r="L40" s="82" t="n"/>
      <c r="M40" s="82" t="n"/>
      <c r="N40" s="82" t="n"/>
      <c r="O40" s="82" t="n"/>
    </row>
    <row r="41">
      <c r="A41" s="82" t="n"/>
      <c r="B41" s="82" t="n"/>
      <c r="C41" s="82" t="n"/>
      <c r="D41" s="82" t="n"/>
      <c r="E41" s="82" t="n"/>
      <c r="F41" s="82" t="n"/>
      <c r="G41" s="82" t="n"/>
      <c r="H41" s="82" t="n"/>
      <c r="J41" s="82" t="n"/>
      <c r="K41" s="82" t="n"/>
      <c r="L41" s="82" t="n"/>
      <c r="M41" s="82" t="n"/>
      <c r="N41" s="82" t="n"/>
      <c r="O41" s="82" t="n"/>
    </row>
    <row r="42">
      <c r="A42" s="82" t="n"/>
      <c r="B42" s="82" t="n"/>
      <c r="C42" s="82" t="n"/>
      <c r="D42" s="82" t="n"/>
      <c r="E42" s="82" t="n"/>
      <c r="F42" s="82" t="n"/>
      <c r="G42" s="82" t="n"/>
      <c r="H42" s="82" t="n"/>
      <c r="J42" s="82" t="n"/>
      <c r="K42" s="82" t="n"/>
      <c r="L42" s="82" t="n"/>
      <c r="M42" s="82" t="n"/>
      <c r="N42" s="82" t="n"/>
      <c r="O42" s="82" t="n"/>
    </row>
    <row r="43">
      <c r="A43" s="82" t="n"/>
      <c r="B43" s="82" t="n"/>
      <c r="C43" s="82" t="n"/>
      <c r="D43" s="82" t="n"/>
      <c r="E43" s="82" t="n"/>
      <c r="F43" s="82" t="n"/>
      <c r="G43" s="82" t="n"/>
      <c r="H43" s="82" t="n"/>
      <c r="J43" s="82" t="n"/>
      <c r="K43" s="82" t="n"/>
      <c r="L43" s="82" t="n"/>
      <c r="M43" s="82" t="n"/>
      <c r="N43" s="82" t="n"/>
      <c r="O43" s="82" t="n"/>
    </row>
    <row r="44">
      <c r="A44" s="82" t="n"/>
      <c r="B44" s="82" t="n"/>
      <c r="C44" s="82" t="n"/>
      <c r="D44" s="82" t="n"/>
      <c r="E44" s="82" t="n"/>
      <c r="F44" s="82" t="n"/>
      <c r="G44" s="82" t="n"/>
      <c r="H44" s="82" t="n"/>
      <c r="J44" s="82" t="n"/>
      <c r="K44" s="82" t="n"/>
      <c r="L44" s="82" t="n"/>
      <c r="M44" s="82" t="n"/>
      <c r="N44" s="82" t="n"/>
      <c r="O44" s="82" t="n"/>
    </row>
    <row r="45">
      <c r="A45" s="82" t="n"/>
      <c r="B45" s="82" t="n"/>
      <c r="C45" s="82" t="n"/>
      <c r="D45" s="82" t="n"/>
      <c r="E45" s="82" t="n"/>
      <c r="F45" s="82" t="n"/>
      <c r="G45" s="82" t="n"/>
      <c r="H45" s="82" t="n"/>
      <c r="J45" s="82" t="n"/>
      <c r="K45" s="82" t="n"/>
      <c r="L45" s="82" t="n"/>
      <c r="M45" s="82" t="n"/>
      <c r="N45" s="82" t="n"/>
      <c r="O45" s="82" t="n"/>
    </row>
    <row r="46">
      <c r="A46" s="82" t="n"/>
      <c r="B46" s="82" t="n"/>
      <c r="C46" s="82" t="n"/>
      <c r="D46" s="82" t="n"/>
      <c r="E46" s="82" t="n"/>
      <c r="F46" s="82" t="n"/>
      <c r="G46" s="82" t="n"/>
      <c r="H46" s="82" t="n"/>
      <c r="J46" s="82" t="n"/>
      <c r="K46" s="82" t="n"/>
      <c r="L46" s="82" t="n"/>
      <c r="M46" s="82" t="n"/>
      <c r="N46" s="82" t="n"/>
      <c r="O46" s="82" t="n"/>
    </row>
    <row r="47">
      <c r="A47" s="82" t="n"/>
      <c r="B47" s="82" t="n"/>
      <c r="C47" s="82" t="n"/>
      <c r="D47" s="82" t="n"/>
      <c r="E47" s="82" t="n"/>
      <c r="F47" s="82" t="n"/>
      <c r="G47" s="82" t="n"/>
      <c r="H47" s="82" t="n"/>
      <c r="J47" s="82" t="n"/>
      <c r="K47" s="82" t="n"/>
      <c r="L47" s="82" t="n"/>
      <c r="M47" s="82" t="n"/>
      <c r="N47" s="82" t="n"/>
      <c r="O47" s="82" t="n"/>
    </row>
    <row r="48">
      <c r="A48" s="82" t="n"/>
      <c r="B48" s="82" t="n"/>
      <c r="C48" s="82" t="n"/>
      <c r="D48" s="82" t="n"/>
      <c r="E48" s="82" t="n"/>
      <c r="F48" s="82" t="n"/>
      <c r="G48" s="82" t="n"/>
      <c r="H48" s="82" t="n"/>
      <c r="J48" s="82" t="n"/>
      <c r="K48" s="82" t="n"/>
      <c r="L48" s="82" t="n"/>
      <c r="M48" s="82" t="n"/>
      <c r="N48" s="82" t="n"/>
      <c r="O48" s="82" t="n"/>
    </row>
    <row r="49">
      <c r="A49" s="82" t="n"/>
      <c r="B49" s="82" t="n"/>
      <c r="C49" s="82" t="n"/>
      <c r="D49" s="82" t="n"/>
      <c r="E49" s="82" t="n"/>
      <c r="F49" s="82" t="n"/>
      <c r="G49" s="82" t="n"/>
      <c r="H49" s="82" t="n"/>
      <c r="J49" s="82" t="n"/>
      <c r="K49" s="82" t="n"/>
      <c r="L49" s="82" t="n"/>
      <c r="M49" s="82" t="n"/>
      <c r="N49" s="82" t="n"/>
      <c r="O49" s="82" t="n"/>
    </row>
    <row r="50">
      <c r="A50" s="82" t="n"/>
      <c r="B50" s="82" t="n"/>
      <c r="C50" s="82" t="n"/>
      <c r="D50" s="82" t="n"/>
      <c r="E50" s="82" t="n"/>
      <c r="F50" s="82" t="n"/>
      <c r="G50" s="82" t="n"/>
      <c r="H50" s="82" t="n"/>
      <c r="J50" s="82" t="n"/>
      <c r="K50" s="82" t="n"/>
      <c r="L50" s="82" t="n"/>
      <c r="M50" s="82" t="n"/>
      <c r="N50" s="82" t="n"/>
      <c r="O50" s="82" t="n"/>
    </row>
    <row r="51">
      <c r="A51" s="82" t="n"/>
      <c r="B51" s="82" t="n"/>
      <c r="C51" s="82" t="n"/>
      <c r="D51" s="82" t="n"/>
      <c r="E51" s="82" t="n"/>
      <c r="F51" s="82" t="n"/>
      <c r="G51" s="82" t="n"/>
      <c r="H51" s="82" t="n"/>
      <c r="J51" s="82" t="n"/>
      <c r="K51" s="82" t="n"/>
      <c r="L51" s="82" t="n"/>
      <c r="M51" s="82" t="n"/>
      <c r="N51" s="82" t="n"/>
      <c r="O51" s="82" t="n"/>
    </row>
    <row r="52">
      <c r="A52" s="82" t="n"/>
      <c r="B52" s="82" t="n"/>
      <c r="C52" s="82" t="n"/>
      <c r="D52" s="82" t="n"/>
      <c r="E52" s="82" t="n"/>
      <c r="F52" s="82" t="n"/>
      <c r="G52" s="82" t="n"/>
      <c r="H52" s="82" t="n"/>
      <c r="J52" s="82" t="n"/>
      <c r="K52" s="82" t="n"/>
      <c r="L52" s="82" t="n"/>
      <c r="M52" s="82" t="n"/>
      <c r="N52" s="82" t="n"/>
      <c r="O52" s="82" t="n"/>
    </row>
    <row r="53">
      <c r="A53" s="82" t="n"/>
      <c r="B53" s="82" t="n"/>
      <c r="C53" s="82" t="n"/>
      <c r="D53" s="82" t="n"/>
      <c r="E53" s="82" t="n"/>
      <c r="F53" s="82" t="n"/>
      <c r="G53" s="82" t="n"/>
      <c r="H53" s="82" t="n"/>
      <c r="J53" s="82" t="n"/>
      <c r="K53" s="82" t="n"/>
      <c r="L53" s="82" t="n"/>
      <c r="M53" s="82" t="n"/>
      <c r="N53" s="82" t="n"/>
      <c r="O53" s="82" t="n"/>
    </row>
    <row r="54">
      <c r="A54" s="82" t="n"/>
      <c r="B54" s="82" t="n"/>
      <c r="C54" s="82" t="n"/>
      <c r="D54" s="82" t="n"/>
      <c r="E54" s="82" t="n"/>
      <c r="F54" s="82" t="n"/>
      <c r="G54" s="82" t="n"/>
      <c r="H54" s="82" t="n"/>
      <c r="J54" s="82" t="n"/>
      <c r="K54" s="82" t="n"/>
      <c r="L54" s="82" t="n"/>
      <c r="M54" s="82" t="n"/>
      <c r="N54" s="82" t="n"/>
      <c r="O54" s="82" t="n"/>
    </row>
    <row r="55">
      <c r="A55" s="82" t="n"/>
      <c r="B55" s="82" t="n"/>
      <c r="C55" s="82" t="n"/>
      <c r="D55" s="82" t="n"/>
      <c r="E55" s="82" t="n"/>
      <c r="F55" s="82" t="n"/>
      <c r="G55" s="82" t="n"/>
      <c r="H55" s="82" t="n"/>
      <c r="J55" s="82" t="n"/>
      <c r="K55" s="82" t="n"/>
      <c r="L55" s="82" t="n"/>
      <c r="M55" s="82" t="n"/>
      <c r="N55" s="82" t="n"/>
      <c r="O55" s="82" t="n"/>
    </row>
    <row r="56">
      <c r="A56" s="82" t="n"/>
      <c r="B56" s="82" t="n"/>
      <c r="C56" s="82" t="n"/>
      <c r="D56" s="82" t="n"/>
      <c r="E56" s="82" t="n"/>
      <c r="F56" s="82" t="n"/>
      <c r="G56" s="82" t="n"/>
      <c r="H56" s="82" t="n"/>
      <c r="J56" s="82" t="n"/>
      <c r="K56" s="82" t="n"/>
      <c r="L56" s="82" t="n"/>
      <c r="M56" s="82" t="n"/>
      <c r="N56" s="82" t="n"/>
      <c r="O56" s="82" t="n"/>
    </row>
    <row r="57">
      <c r="A57" s="82" t="n"/>
      <c r="B57" s="82" t="n"/>
      <c r="C57" s="82" t="n"/>
      <c r="D57" s="82" t="n"/>
      <c r="E57" s="82" t="n"/>
      <c r="F57" s="82" t="n"/>
      <c r="G57" s="82" t="n"/>
      <c r="H57" s="82" t="n"/>
      <c r="J57" s="82" t="n"/>
      <c r="K57" s="82" t="n"/>
      <c r="L57" s="82" t="n"/>
      <c r="M57" s="82" t="n"/>
      <c r="N57" s="82" t="n"/>
      <c r="O57" s="82" t="n"/>
    </row>
    <row r="58">
      <c r="A58" s="82" t="n"/>
      <c r="B58" s="82" t="n"/>
      <c r="C58" s="82" t="n"/>
      <c r="D58" s="82" t="n"/>
      <c r="E58" s="82" t="n"/>
      <c r="F58" s="82" t="n"/>
      <c r="G58" s="82" t="n"/>
      <c r="H58" s="82" t="n"/>
      <c r="J58" s="82" t="n"/>
      <c r="K58" s="82" t="n"/>
      <c r="L58" s="82" t="n"/>
      <c r="M58" s="82" t="n"/>
      <c r="N58" s="82" t="n"/>
      <c r="O58" s="82" t="n"/>
    </row>
    <row r="59">
      <c r="A59" s="82" t="n"/>
      <c r="B59" s="82" t="n"/>
      <c r="C59" s="82" t="n"/>
      <c r="D59" s="82" t="n"/>
      <c r="E59" s="82" t="n"/>
      <c r="F59" s="82" t="n"/>
      <c r="G59" s="82" t="n"/>
      <c r="H59" s="82" t="n"/>
      <c r="J59" s="82" t="n"/>
      <c r="K59" s="82" t="n"/>
      <c r="L59" s="82" t="n"/>
      <c r="M59" s="82" t="n"/>
      <c r="N59" s="82" t="n"/>
      <c r="O59" s="82" t="n"/>
    </row>
    <row r="60">
      <c r="A60" s="82" t="n"/>
      <c r="B60" s="82" t="n"/>
      <c r="C60" s="82" t="n"/>
      <c r="D60" s="82" t="n"/>
      <c r="E60" s="82" t="n"/>
      <c r="F60" s="82" t="n"/>
      <c r="G60" s="82" t="n"/>
      <c r="H60" s="82" t="n"/>
      <c r="J60" s="82" t="n"/>
      <c r="K60" s="82" t="n"/>
      <c r="L60" s="82" t="n"/>
      <c r="M60" s="82" t="n"/>
      <c r="N60" s="82" t="n"/>
      <c r="O60" s="82" t="n"/>
    </row>
    <row r="61">
      <c r="A61" s="82" t="n"/>
      <c r="B61" s="82" t="n"/>
      <c r="C61" s="82" t="n"/>
      <c r="D61" s="82" t="n"/>
      <c r="E61" s="82" t="n"/>
      <c r="F61" s="82" t="n"/>
      <c r="G61" s="82" t="n"/>
      <c r="H61" s="82" t="n"/>
      <c r="J61" s="82" t="n"/>
      <c r="K61" s="82" t="n"/>
      <c r="L61" s="82" t="n"/>
      <c r="M61" s="82" t="n"/>
      <c r="N61" s="82" t="n"/>
      <c r="O61" s="82" t="n"/>
    </row>
    <row r="62">
      <c r="A62" s="82" t="n"/>
      <c r="B62" s="82" t="n"/>
      <c r="C62" s="82" t="n"/>
      <c r="D62" s="82" t="n"/>
      <c r="E62" s="82" t="n"/>
      <c r="F62" s="82" t="n"/>
      <c r="G62" s="82" t="n"/>
      <c r="H62" s="82" t="n"/>
      <c r="J62" s="82" t="n"/>
      <c r="K62" s="82" t="n"/>
      <c r="L62" s="82" t="n"/>
      <c r="M62" s="82" t="n"/>
      <c r="N62" s="82" t="n"/>
      <c r="O62" s="82" t="n"/>
    </row>
    <row r="63">
      <c r="A63" s="82" t="n"/>
      <c r="B63" s="82" t="n"/>
      <c r="C63" s="82" t="n"/>
      <c r="D63" s="82" t="n"/>
      <c r="E63" s="82" t="n"/>
      <c r="F63" s="82" t="n"/>
      <c r="G63" s="82" t="n"/>
      <c r="H63" s="82" t="n"/>
      <c r="J63" s="82" t="n"/>
      <c r="K63" s="82" t="n"/>
      <c r="L63" s="82" t="n"/>
      <c r="M63" s="82" t="n"/>
      <c r="N63" s="82" t="n"/>
      <c r="O63" s="82" t="n"/>
    </row>
    <row r="64">
      <c r="A64" s="82" t="n"/>
      <c r="B64" s="82" t="n"/>
      <c r="C64" s="82" t="n"/>
      <c r="D64" s="82" t="n"/>
      <c r="E64" s="82" t="n"/>
      <c r="F64" s="82" t="n"/>
      <c r="G64" s="82" t="n"/>
      <c r="H64" s="82" t="n"/>
      <c r="J64" s="82" t="n"/>
      <c r="K64" s="82" t="n"/>
      <c r="L64" s="82" t="n"/>
      <c r="M64" s="82" t="n"/>
      <c r="N64" s="82" t="n"/>
      <c r="O64" s="82" t="n"/>
    </row>
    <row r="65">
      <c r="A65" s="82" t="n"/>
      <c r="B65" s="82" t="n"/>
      <c r="C65" s="82" t="n"/>
      <c r="D65" s="82" t="n"/>
      <c r="E65" s="82" t="n"/>
      <c r="F65" s="82" t="n"/>
      <c r="G65" s="82" t="n"/>
      <c r="H65" s="82" t="n"/>
      <c r="J65" s="82" t="n"/>
      <c r="K65" s="82" t="n"/>
      <c r="L65" s="82" t="n"/>
      <c r="M65" s="82" t="n"/>
      <c r="N65" s="82" t="n"/>
      <c r="O65" s="82" t="n"/>
    </row>
    <row r="66">
      <c r="A66" s="82" t="n"/>
      <c r="B66" s="82" t="n"/>
      <c r="C66" s="82" t="n"/>
      <c r="D66" s="82" t="n"/>
      <c r="E66" s="82" t="n"/>
      <c r="F66" s="82" t="n"/>
      <c r="G66" s="82" t="n"/>
      <c r="H66" s="82" t="n"/>
      <c r="J66" s="82" t="n"/>
      <c r="K66" s="82" t="n"/>
      <c r="L66" s="82" t="n"/>
      <c r="M66" s="82" t="n"/>
      <c r="N66" s="82" t="n"/>
      <c r="O66" s="82" t="n"/>
    </row>
    <row r="67">
      <c r="A67" s="82" t="n"/>
      <c r="B67" s="82" t="n"/>
      <c r="C67" s="82" t="n"/>
      <c r="D67" s="82" t="n"/>
      <c r="E67" s="82" t="n"/>
      <c r="F67" s="82" t="n"/>
      <c r="G67" s="82" t="n"/>
      <c r="H67" s="82" t="n"/>
      <c r="J67" s="82" t="n"/>
      <c r="K67" s="82" t="n"/>
      <c r="L67" s="82" t="n"/>
      <c r="M67" s="82" t="n"/>
      <c r="N67" s="82" t="n"/>
      <c r="O67" s="82" t="n"/>
    </row>
    <row r="68">
      <c r="A68" s="82" t="n"/>
      <c r="B68" s="82" t="n"/>
      <c r="C68" s="82" t="n"/>
      <c r="D68" s="82" t="n"/>
      <c r="E68" s="82" t="n"/>
      <c r="F68" s="82" t="n"/>
      <c r="G68" s="82" t="n"/>
      <c r="H68" s="82" t="n"/>
      <c r="J68" s="82" t="n"/>
      <c r="K68" s="82" t="n"/>
      <c r="L68" s="82" t="n"/>
      <c r="M68" s="82" t="n"/>
      <c r="N68" s="82" t="n"/>
      <c r="O68" s="82" t="n"/>
    </row>
    <row r="69">
      <c r="A69" s="82" t="n"/>
      <c r="B69" s="82" t="n"/>
      <c r="C69" s="82" t="n"/>
      <c r="D69" s="82" t="n"/>
      <c r="E69" s="82" t="n"/>
      <c r="F69" s="82" t="n"/>
      <c r="G69" s="82" t="n"/>
      <c r="H69" s="82" t="n"/>
      <c r="J69" s="82" t="n"/>
      <c r="K69" s="82" t="n"/>
      <c r="L69" s="82" t="n"/>
      <c r="M69" s="82" t="n"/>
      <c r="N69" s="82" t="n"/>
      <c r="O69" s="82" t="n"/>
    </row>
    <row r="70">
      <c r="A70" s="82" t="n"/>
      <c r="B70" s="82" t="n"/>
      <c r="C70" s="82" t="n"/>
      <c r="D70" s="82" t="n"/>
      <c r="E70" s="82" t="n"/>
      <c r="F70" s="82" t="n"/>
      <c r="G70" s="82" t="n"/>
      <c r="H70" s="82" t="n"/>
      <c r="J70" s="82" t="n"/>
      <c r="K70" s="82" t="n"/>
      <c r="L70" s="82" t="n"/>
      <c r="M70" s="82" t="n"/>
      <c r="N70" s="82" t="n"/>
      <c r="O70" s="82" t="n"/>
    </row>
    <row r="71">
      <c r="A71" s="82" t="n"/>
      <c r="B71" s="82" t="n"/>
      <c r="C71" s="82" t="n"/>
      <c r="D71" s="82" t="n"/>
      <c r="E71" s="82" t="n"/>
      <c r="F71" s="82" t="n"/>
      <c r="G71" s="82" t="n"/>
      <c r="H71" s="82" t="n"/>
      <c r="J71" s="82" t="n"/>
      <c r="K71" s="82" t="n"/>
      <c r="L71" s="82" t="n"/>
      <c r="M71" s="82" t="n"/>
      <c r="N71" s="82" t="n"/>
      <c r="O71" s="82" t="n"/>
    </row>
    <row r="72">
      <c r="A72" s="82" t="n"/>
      <c r="B72" s="82" t="n"/>
      <c r="C72" s="82" t="n"/>
      <c r="D72" s="82" t="n"/>
      <c r="E72" s="82" t="n"/>
      <c r="F72" s="82" t="n"/>
      <c r="G72" s="82" t="n"/>
      <c r="H72" s="82" t="n"/>
      <c r="J72" s="82" t="n"/>
      <c r="K72" s="82" t="n"/>
      <c r="L72" s="82" t="n"/>
      <c r="M72" s="82" t="n"/>
      <c r="N72" s="82" t="n"/>
      <c r="O72" s="82" t="n"/>
    </row>
    <row r="73">
      <c r="A73" s="82" t="n"/>
      <c r="B73" s="82" t="n"/>
      <c r="C73" s="82" t="n"/>
      <c r="D73" s="82" t="n"/>
      <c r="E73" s="82" t="n"/>
      <c r="F73" s="82" t="n"/>
      <c r="G73" s="82" t="n"/>
      <c r="H73" s="82" t="n"/>
      <c r="J73" s="82" t="n"/>
      <c r="K73" s="82" t="n"/>
      <c r="L73" s="82" t="n"/>
      <c r="M73" s="82" t="n"/>
      <c r="N73" s="82" t="n"/>
      <c r="O73" s="82" t="n"/>
    </row>
    <row r="74">
      <c r="A74" s="82" t="n"/>
      <c r="B74" s="82" t="n"/>
      <c r="C74" s="82" t="n"/>
      <c r="D74" s="82" t="n"/>
      <c r="E74" s="82" t="n"/>
      <c r="F74" s="82" t="n"/>
      <c r="G74" s="82" t="n"/>
      <c r="H74" s="82" t="n"/>
      <c r="J74" s="82" t="n"/>
      <c r="K74" s="82" t="n"/>
      <c r="L74" s="82" t="n"/>
      <c r="M74" s="82" t="n"/>
      <c r="N74" s="82" t="n"/>
      <c r="O74" s="82" t="n"/>
    </row>
    <row r="75">
      <c r="A75" s="82" t="n"/>
      <c r="B75" s="82" t="n"/>
      <c r="C75" s="82" t="n"/>
      <c r="D75" s="82" t="n"/>
      <c r="E75" s="82" t="n"/>
      <c r="F75" s="82" t="n"/>
      <c r="G75" s="82" t="n"/>
      <c r="H75" s="82" t="n"/>
      <c r="J75" s="82" t="n"/>
      <c r="K75" s="82" t="n"/>
      <c r="L75" s="82" t="n"/>
      <c r="M75" s="82" t="n"/>
      <c r="N75" s="82" t="n"/>
      <c r="O75" s="82" t="n"/>
    </row>
    <row r="76">
      <c r="A76" s="82" t="n"/>
      <c r="B76" s="82" t="n"/>
      <c r="C76" s="82" t="n"/>
      <c r="D76" s="82" t="n"/>
      <c r="E76" s="82" t="n"/>
      <c r="F76" s="82" t="n"/>
      <c r="G76" s="82" t="n"/>
      <c r="H76" s="82" t="n"/>
      <c r="J76" s="82" t="n"/>
      <c r="K76" s="82" t="n"/>
      <c r="L76" s="82" t="n"/>
      <c r="M76" s="82" t="n"/>
      <c r="N76" s="82" t="n"/>
      <c r="O76" s="82" t="n"/>
    </row>
    <row r="77">
      <c r="A77" s="82" t="n"/>
      <c r="B77" s="82" t="n"/>
      <c r="C77" s="82" t="n"/>
      <c r="D77" s="82" t="n"/>
      <c r="E77" s="82" t="n"/>
      <c r="F77" s="82" t="n"/>
      <c r="G77" s="82" t="n"/>
      <c r="H77" s="82" t="n"/>
      <c r="J77" s="82" t="n"/>
      <c r="K77" s="82" t="n"/>
      <c r="L77" s="82" t="n"/>
      <c r="M77" s="82" t="n"/>
      <c r="N77" s="82" t="n"/>
      <c r="O77" s="82" t="n"/>
    </row>
    <row r="78">
      <c r="A78" s="82" t="n"/>
      <c r="B78" s="82" t="n"/>
      <c r="C78" s="82" t="n"/>
      <c r="D78" s="82" t="n"/>
      <c r="E78" s="82" t="n"/>
      <c r="F78" s="82" t="n"/>
      <c r="G78" s="82" t="n"/>
      <c r="H78" s="82" t="n"/>
      <c r="J78" s="82" t="n"/>
      <c r="K78" s="82" t="n"/>
      <c r="L78" s="82" t="n"/>
      <c r="M78" s="82" t="n"/>
      <c r="N78" s="82" t="n"/>
      <c r="O78" s="82" t="n"/>
    </row>
    <row r="79">
      <c r="A79" s="82" t="n"/>
      <c r="B79" s="82" t="n"/>
      <c r="C79" s="82" t="n"/>
      <c r="D79" s="82" t="n"/>
      <c r="E79" s="82" t="n"/>
      <c r="F79" s="82" t="n"/>
      <c r="G79" s="82" t="n"/>
      <c r="H79" s="82" t="n"/>
      <c r="J79" s="82" t="n"/>
      <c r="K79" s="82" t="n"/>
      <c r="L79" s="82" t="n"/>
      <c r="M79" s="82" t="n"/>
      <c r="N79" s="82" t="n"/>
      <c r="O79" s="82" t="n"/>
    </row>
    <row r="80">
      <c r="A80" s="82" t="n"/>
      <c r="B80" s="82" t="n"/>
      <c r="C80" s="82" t="n"/>
      <c r="D80" s="82" t="n"/>
      <c r="E80" s="82" t="n"/>
      <c r="F80" s="82" t="n"/>
      <c r="G80" s="82" t="n"/>
      <c r="H80" s="82" t="n"/>
      <c r="J80" s="82" t="n"/>
      <c r="K80" s="82" t="n"/>
      <c r="L80" s="82" t="n"/>
      <c r="M80" s="82" t="n"/>
      <c r="N80" s="82" t="n"/>
      <c r="O80" s="82" t="n"/>
    </row>
    <row r="81">
      <c r="A81" s="82" t="n"/>
      <c r="B81" s="82" t="n"/>
      <c r="C81" s="82" t="n"/>
      <c r="D81" s="82" t="n"/>
      <c r="E81" s="82" t="n"/>
      <c r="F81" s="82" t="n"/>
      <c r="G81" s="82" t="n"/>
      <c r="H81" s="82" t="n"/>
      <c r="J81" s="82" t="n"/>
      <c r="K81" s="82" t="n"/>
      <c r="L81" s="82" t="n"/>
      <c r="M81" s="82" t="n"/>
      <c r="N81" s="82" t="n"/>
      <c r="O81" s="82" t="n"/>
    </row>
    <row r="82">
      <c r="A82" s="82" t="n"/>
      <c r="B82" s="82" t="n"/>
      <c r="C82" s="82" t="n"/>
      <c r="D82" s="82" t="n"/>
      <c r="E82" s="82" t="n"/>
      <c r="F82" s="82" t="n"/>
      <c r="G82" s="82" t="n"/>
      <c r="H82" s="82" t="n"/>
      <c r="J82" s="82" t="n"/>
      <c r="K82" s="82" t="n"/>
      <c r="L82" s="82" t="n"/>
      <c r="M82" s="82" t="n"/>
      <c r="N82" s="82" t="n"/>
      <c r="O82" s="82" t="n"/>
    </row>
    <row r="83">
      <c r="A83" s="82" t="n"/>
      <c r="B83" s="82" t="n"/>
      <c r="C83" s="82" t="n"/>
      <c r="D83" s="82" t="n"/>
      <c r="E83" s="82" t="n"/>
      <c r="F83" s="82" t="n"/>
      <c r="G83" s="82" t="n"/>
      <c r="H83" s="82" t="n"/>
      <c r="J83" s="82" t="n"/>
      <c r="K83" s="82" t="n"/>
      <c r="L83" s="82" t="n"/>
      <c r="M83" s="82" t="n"/>
      <c r="N83" s="82" t="n"/>
      <c r="O83" s="82" t="n"/>
    </row>
    <row r="84">
      <c r="A84" s="82" t="n"/>
      <c r="B84" s="82" t="n"/>
      <c r="C84" s="82" t="n"/>
      <c r="D84" s="82" t="n"/>
      <c r="E84" s="82" t="n"/>
      <c r="F84" s="82" t="n"/>
      <c r="G84" s="82" t="n"/>
      <c r="H84" s="82" t="n"/>
      <c r="J84" s="82" t="n"/>
      <c r="K84" s="82" t="n"/>
      <c r="L84" s="82" t="n"/>
      <c r="M84" s="82" t="n"/>
      <c r="N84" s="82" t="n"/>
      <c r="O84" s="82" t="n"/>
    </row>
    <row r="85">
      <c r="A85" s="82" t="n"/>
      <c r="B85" s="82" t="n"/>
      <c r="C85" s="82" t="n"/>
      <c r="D85" s="82" t="n"/>
      <c r="E85" s="82" t="n"/>
      <c r="F85" s="82" t="n"/>
      <c r="G85" s="82" t="n"/>
      <c r="H85" s="82" t="n"/>
      <c r="J85" s="82" t="n"/>
      <c r="K85" s="82" t="n"/>
      <c r="L85" s="82" t="n"/>
      <c r="M85" s="82" t="n"/>
      <c r="N85" s="82" t="n"/>
      <c r="O85" s="82" t="n"/>
    </row>
    <row r="86">
      <c r="A86" s="82" t="n"/>
      <c r="B86" s="82" t="n"/>
      <c r="C86" s="82" t="n"/>
      <c r="D86" s="82" t="n"/>
      <c r="E86" s="82" t="n"/>
      <c r="F86" s="82" t="n"/>
      <c r="G86" s="82" t="n"/>
      <c r="H86" s="82" t="n"/>
      <c r="J86" s="82" t="n"/>
      <c r="K86" s="82" t="n"/>
      <c r="L86" s="82" t="n"/>
      <c r="M86" s="82" t="n"/>
      <c r="N86" s="82" t="n"/>
      <c r="O86" s="82" t="n"/>
    </row>
    <row r="87">
      <c r="A87" s="82" t="n"/>
      <c r="B87" s="82" t="n"/>
      <c r="C87" s="82" t="n"/>
      <c r="D87" s="82" t="n"/>
      <c r="E87" s="82" t="n"/>
      <c r="F87" s="82" t="n"/>
      <c r="G87" s="82" t="n"/>
      <c r="H87" s="82" t="n"/>
      <c r="J87" s="82" t="n"/>
      <c r="K87" s="82" t="n"/>
      <c r="L87" s="82" t="n"/>
      <c r="M87" s="82" t="n"/>
      <c r="N87" s="82" t="n"/>
      <c r="O87" s="82" t="n"/>
    </row>
    <row r="88">
      <c r="A88" s="82" t="n"/>
      <c r="B88" s="82" t="n"/>
      <c r="C88" s="82" t="n"/>
      <c r="D88" s="82" t="n"/>
      <c r="E88" s="82" t="n"/>
      <c r="F88" s="82" t="n"/>
      <c r="G88" s="82" t="n"/>
      <c r="H88" s="82" t="n"/>
      <c r="J88" s="82" t="n"/>
      <c r="K88" s="82" t="n"/>
      <c r="L88" s="82" t="n"/>
      <c r="M88" s="82" t="n"/>
      <c r="N88" s="82" t="n"/>
      <c r="O88" s="82" t="n"/>
    </row>
    <row r="89">
      <c r="A89" s="82" t="n"/>
      <c r="B89" s="82" t="n"/>
      <c r="C89" s="82" t="n"/>
      <c r="D89" s="82" t="n"/>
      <c r="E89" s="82" t="n"/>
      <c r="F89" s="82" t="n"/>
      <c r="G89" s="82" t="n"/>
      <c r="H89" s="82" t="n"/>
      <c r="J89" s="82" t="n"/>
      <c r="K89" s="82" t="n"/>
      <c r="L89" s="82" t="n"/>
      <c r="M89" s="82" t="n"/>
      <c r="N89" s="82" t="n"/>
      <c r="O89" s="82" t="n"/>
    </row>
    <row r="90">
      <c r="A90" s="82" t="n"/>
      <c r="B90" s="82" t="n"/>
      <c r="C90" s="82" t="n"/>
      <c r="D90" s="82" t="n"/>
      <c r="E90" s="82" t="n"/>
      <c r="F90" s="82" t="n"/>
      <c r="G90" s="82" t="n"/>
      <c r="H90" s="82" t="n"/>
      <c r="J90" s="82" t="n"/>
      <c r="K90" s="82" t="n"/>
      <c r="L90" s="82" t="n"/>
      <c r="M90" s="82" t="n"/>
      <c r="N90" s="82" t="n"/>
      <c r="O90" s="82" t="n"/>
    </row>
    <row r="91">
      <c r="A91" s="82" t="n"/>
      <c r="B91" s="82" t="n"/>
      <c r="C91" s="82" t="n"/>
      <c r="D91" s="82" t="n"/>
      <c r="E91" s="82" t="n"/>
      <c r="F91" s="82" t="n"/>
      <c r="G91" s="82" t="n"/>
      <c r="H91" s="82" t="n"/>
      <c r="J91" s="82" t="n"/>
      <c r="K91" s="82" t="n"/>
      <c r="L91" s="82" t="n"/>
      <c r="M91" s="82" t="n"/>
      <c r="N91" s="82" t="n"/>
      <c r="O91" s="82" t="n"/>
    </row>
    <row r="92">
      <c r="A92" s="82" t="n"/>
      <c r="B92" s="82" t="n"/>
      <c r="C92" s="82" t="n"/>
      <c r="D92" s="82" t="n"/>
      <c r="E92" s="82" t="n"/>
      <c r="F92" s="82" t="n"/>
      <c r="G92" s="82" t="n"/>
      <c r="H92" s="82" t="n"/>
      <c r="J92" s="82" t="n"/>
      <c r="K92" s="82" t="n"/>
      <c r="L92" s="82" t="n"/>
      <c r="M92" s="82" t="n"/>
      <c r="N92" s="82" t="n"/>
      <c r="O92" s="82" t="n"/>
    </row>
    <row r="93">
      <c r="A93" s="82" t="n"/>
      <c r="B93" s="82" t="n"/>
      <c r="C93" s="82" t="n"/>
      <c r="D93" s="82" t="n"/>
      <c r="E93" s="82" t="n"/>
      <c r="F93" s="82" t="n"/>
      <c r="G93" s="82" t="n"/>
      <c r="H93" s="82" t="n"/>
      <c r="J93" s="82" t="n"/>
      <c r="K93" s="82" t="n"/>
      <c r="L93" s="82" t="n"/>
      <c r="M93" s="82" t="n"/>
      <c r="N93" s="82" t="n"/>
      <c r="O93" s="82" t="n"/>
    </row>
    <row r="94">
      <c r="A94" s="82" t="n"/>
      <c r="B94" s="82" t="n"/>
      <c r="C94" s="82" t="n"/>
      <c r="D94" s="82" t="n"/>
      <c r="E94" s="82" t="n"/>
      <c r="F94" s="82" t="n"/>
      <c r="G94" s="82" t="n"/>
      <c r="H94" s="82" t="n"/>
      <c r="J94" s="82" t="n"/>
      <c r="K94" s="82" t="n"/>
      <c r="L94" s="82" t="n"/>
      <c r="M94" s="82" t="n"/>
      <c r="N94" s="82" t="n"/>
      <c r="O94" s="82" t="n"/>
    </row>
    <row r="95">
      <c r="A95" s="82" t="n"/>
      <c r="B95" s="82" t="n"/>
      <c r="C95" s="82" t="n"/>
      <c r="D95" s="82" t="n"/>
      <c r="E95" s="82" t="n"/>
      <c r="F95" s="82" t="n"/>
      <c r="G95" s="82" t="n"/>
      <c r="H95" s="82" t="n"/>
      <c r="J95" s="82" t="n"/>
      <c r="K95" s="82" t="n"/>
      <c r="L95" s="82" t="n"/>
      <c r="M95" s="82" t="n"/>
      <c r="N95" s="82" t="n"/>
      <c r="O95" s="82" t="n"/>
    </row>
    <row r="96">
      <c r="A96" s="82" t="n"/>
      <c r="B96" s="82" t="n"/>
      <c r="C96" s="82" t="n"/>
      <c r="D96" s="82" t="n"/>
      <c r="E96" s="82" t="n"/>
      <c r="F96" s="82" t="n"/>
      <c r="G96" s="82" t="n"/>
      <c r="H96" s="82" t="n"/>
      <c r="J96" s="82" t="n"/>
      <c r="K96" s="82" t="n"/>
      <c r="L96" s="82" t="n"/>
      <c r="M96" s="82" t="n"/>
      <c r="N96" s="82" t="n"/>
      <c r="O96" s="82" t="n"/>
    </row>
    <row r="97">
      <c r="A97" s="82" t="n"/>
      <c r="B97" s="82" t="n"/>
      <c r="C97" s="82" t="n"/>
      <c r="D97" s="82" t="n"/>
      <c r="E97" s="82" t="n"/>
      <c r="F97" s="82" t="n"/>
      <c r="G97" s="82" t="n"/>
      <c r="H97" s="82" t="n"/>
      <c r="J97" s="82" t="n"/>
      <c r="K97" s="82" t="n"/>
      <c r="L97" s="82" t="n"/>
      <c r="M97" s="82" t="n"/>
      <c r="N97" s="82" t="n"/>
      <c r="O97" s="82" t="n"/>
    </row>
    <row r="98">
      <c r="A98" s="82" t="n"/>
      <c r="B98" s="82" t="n"/>
      <c r="C98" s="82" t="n"/>
      <c r="D98" s="82" t="n"/>
      <c r="E98" s="82" t="n"/>
      <c r="F98" s="82" t="n"/>
      <c r="G98" s="82" t="n"/>
      <c r="H98" s="82" t="n"/>
      <c r="J98" s="82" t="n"/>
      <c r="K98" s="82" t="n"/>
      <c r="L98" s="82" t="n"/>
      <c r="M98" s="82" t="n"/>
      <c r="N98" s="82" t="n"/>
      <c r="O98" s="82" t="n"/>
    </row>
    <row r="99">
      <c r="A99" s="82" t="n"/>
      <c r="B99" s="82" t="n"/>
      <c r="C99" s="82" t="n"/>
      <c r="D99" s="82" t="n"/>
      <c r="E99" s="82" t="n"/>
      <c r="F99" s="82" t="n"/>
      <c r="G99" s="82" t="n"/>
      <c r="H99" s="82" t="n"/>
      <c r="J99" s="82" t="n"/>
      <c r="K99" s="82" t="n"/>
      <c r="L99" s="82" t="n"/>
      <c r="M99" s="82" t="n"/>
      <c r="N99" s="82" t="n"/>
      <c r="O99" s="82" t="n"/>
    </row>
    <row r="100">
      <c r="A100" s="82" t="n"/>
      <c r="B100" s="82" t="n"/>
      <c r="C100" s="82" t="n"/>
      <c r="D100" s="82" t="n"/>
      <c r="E100" s="82" t="n"/>
      <c r="F100" s="82" t="n"/>
      <c r="G100" s="82" t="n"/>
      <c r="H100" s="82" t="n"/>
      <c r="J100" s="82" t="n"/>
      <c r="K100" s="82" t="n"/>
      <c r="L100" s="82" t="n"/>
      <c r="M100" s="82" t="n"/>
      <c r="N100" s="82" t="n"/>
      <c r="O100" s="82" t="n"/>
    </row>
    <row r="101">
      <c r="A101" s="82" t="n"/>
      <c r="B101" s="82" t="n"/>
      <c r="C101" s="82" t="n"/>
      <c r="D101" s="82" t="n"/>
      <c r="E101" s="82" t="n"/>
      <c r="F101" s="82" t="n"/>
      <c r="G101" s="82" t="n"/>
      <c r="H101" s="82" t="n"/>
      <c r="J101" s="82" t="n"/>
      <c r="K101" s="82" t="n"/>
      <c r="L101" s="82" t="n"/>
      <c r="M101" s="82" t="n"/>
      <c r="N101" s="82" t="n"/>
      <c r="O101" s="82" t="n"/>
    </row>
    <row r="102">
      <c r="A102" s="82" t="n"/>
      <c r="B102" s="82" t="n"/>
      <c r="C102" s="82" t="n"/>
      <c r="D102" s="82" t="n"/>
      <c r="E102" s="82" t="n"/>
      <c r="F102" s="82" t="n"/>
      <c r="G102" s="82" t="n"/>
      <c r="H102" s="82" t="n"/>
      <c r="J102" s="82" t="n"/>
      <c r="K102" s="82" t="n"/>
      <c r="L102" s="82" t="n"/>
      <c r="M102" s="82" t="n"/>
      <c r="N102" s="82" t="n"/>
      <c r="O102" s="82" t="n"/>
    </row>
    <row r="103">
      <c r="A103" s="82" t="n"/>
      <c r="B103" s="82" t="n"/>
      <c r="C103" s="82" t="n"/>
      <c r="D103" s="82" t="n"/>
      <c r="E103" s="82" t="n"/>
      <c r="F103" s="82" t="n"/>
      <c r="G103" s="82" t="n"/>
      <c r="H103" s="82" t="n"/>
      <c r="J103" s="82" t="n"/>
      <c r="K103" s="82" t="n"/>
      <c r="L103" s="82" t="n"/>
      <c r="M103" s="82" t="n"/>
      <c r="N103" s="82" t="n"/>
      <c r="O103" s="82" t="n"/>
    </row>
    <row r="104">
      <c r="A104" s="82" t="n"/>
      <c r="B104" s="82" t="n"/>
      <c r="C104" s="82" t="n"/>
      <c r="D104" s="82" t="n"/>
      <c r="E104" s="82" t="n"/>
      <c r="F104" s="82" t="n"/>
      <c r="G104" s="82" t="n"/>
      <c r="H104" s="82" t="n"/>
      <c r="J104" s="82" t="n"/>
      <c r="K104" s="82" t="n"/>
      <c r="L104" s="82" t="n"/>
      <c r="M104" s="82" t="n"/>
      <c r="N104" s="82" t="n"/>
      <c r="O104" s="82" t="n"/>
    </row>
    <row r="105">
      <c r="A105" s="82" t="n"/>
      <c r="B105" s="82" t="n"/>
      <c r="C105" s="82" t="n"/>
      <c r="D105" s="82" t="n"/>
      <c r="E105" s="82" t="n"/>
      <c r="F105" s="82" t="n"/>
      <c r="G105" s="82" t="n"/>
      <c r="H105" s="82" t="n"/>
      <c r="J105" s="82" t="n"/>
      <c r="K105" s="82" t="n"/>
      <c r="L105" s="82" t="n"/>
      <c r="M105" s="82" t="n"/>
      <c r="N105" s="82" t="n"/>
      <c r="O105" s="82" t="n"/>
    </row>
    <row r="106">
      <c r="A106" s="82" t="n"/>
      <c r="B106" s="82" t="n"/>
      <c r="C106" s="82" t="n"/>
      <c r="D106" s="82" t="n"/>
      <c r="E106" s="82" t="n"/>
      <c r="F106" s="82" t="n"/>
      <c r="G106" s="82" t="n"/>
      <c r="H106" s="82" t="n"/>
      <c r="J106" s="82" t="n"/>
      <c r="K106" s="82" t="n"/>
      <c r="L106" s="82" t="n"/>
      <c r="M106" s="82" t="n"/>
      <c r="N106" s="82" t="n"/>
      <c r="O106" s="82" t="n"/>
    </row>
    <row r="107">
      <c r="A107" s="82" t="n"/>
      <c r="B107" s="82" t="n"/>
      <c r="C107" s="82" t="n"/>
      <c r="D107" s="82" t="n"/>
      <c r="E107" s="82" t="n"/>
      <c r="F107" s="82" t="n"/>
      <c r="G107" s="82" t="n"/>
      <c r="H107" s="82" t="n"/>
      <c r="J107" s="82" t="n"/>
      <c r="K107" s="82" t="n"/>
      <c r="L107" s="82" t="n"/>
      <c r="M107" s="82" t="n"/>
      <c r="N107" s="82" t="n"/>
      <c r="O107" s="82" t="n"/>
    </row>
    <row r="108">
      <c r="A108" s="82" t="n"/>
      <c r="B108" s="82" t="n"/>
      <c r="C108" s="82" t="n"/>
      <c r="D108" s="82" t="n"/>
      <c r="E108" s="82" t="n"/>
      <c r="F108" s="82" t="n"/>
      <c r="G108" s="82" t="n"/>
      <c r="H108" s="82" t="n"/>
      <c r="J108" s="82" t="n"/>
      <c r="K108" s="82" t="n"/>
      <c r="L108" s="82" t="n"/>
      <c r="M108" s="82" t="n"/>
      <c r="N108" s="82" t="n"/>
      <c r="O108" s="82" t="n"/>
    </row>
    <row r="109">
      <c r="A109" s="82" t="n"/>
      <c r="B109" s="82" t="n"/>
      <c r="C109" s="82" t="n"/>
      <c r="D109" s="82" t="n"/>
      <c r="E109" s="82" t="n"/>
      <c r="F109" s="82" t="n"/>
      <c r="G109" s="82" t="n"/>
      <c r="H109" s="82" t="n"/>
      <c r="J109" s="82" t="n"/>
      <c r="K109" s="82" t="n"/>
      <c r="L109" s="82" t="n"/>
      <c r="M109" s="82" t="n"/>
      <c r="N109" s="82" t="n"/>
      <c r="O109" s="82" t="n"/>
    </row>
    <row r="110">
      <c r="A110" s="82" t="n"/>
      <c r="B110" s="82" t="n"/>
      <c r="C110" s="82" t="n"/>
      <c r="D110" s="82" t="n"/>
      <c r="E110" s="82" t="n"/>
      <c r="F110" s="82" t="n"/>
      <c r="G110" s="82" t="n"/>
      <c r="H110" s="82" t="n"/>
      <c r="J110" s="82" t="n"/>
      <c r="K110" s="82" t="n"/>
      <c r="L110" s="82" t="n"/>
      <c r="M110" s="82" t="n"/>
      <c r="N110" s="82" t="n"/>
      <c r="O110" s="82" t="n"/>
    </row>
    <row r="111">
      <c r="A111" s="82" t="n"/>
      <c r="B111" s="82" t="n"/>
      <c r="C111" s="82" t="n"/>
      <c r="D111" s="82" t="n"/>
      <c r="E111" s="82" t="n"/>
      <c r="F111" s="82" t="n"/>
      <c r="G111" s="82" t="n"/>
      <c r="H111" s="82" t="n"/>
      <c r="J111" s="82" t="n"/>
      <c r="K111" s="82" t="n"/>
      <c r="L111" s="82" t="n"/>
      <c r="M111" s="82" t="n"/>
      <c r="N111" s="82" t="n"/>
      <c r="O111" s="82" t="n"/>
    </row>
    <row r="112">
      <c r="A112" s="82" t="n"/>
      <c r="B112" s="82" t="n"/>
      <c r="C112" s="82" t="n"/>
      <c r="D112" s="82" t="n"/>
      <c r="E112" s="82" t="n"/>
      <c r="F112" s="82" t="n"/>
      <c r="G112" s="82" t="n"/>
      <c r="H112" s="82" t="n"/>
      <c r="J112" s="82" t="n"/>
      <c r="K112" s="82" t="n"/>
      <c r="L112" s="82" t="n"/>
      <c r="M112" s="82" t="n"/>
      <c r="N112" s="82" t="n"/>
      <c r="O112" s="82" t="n"/>
    </row>
    <row r="113">
      <c r="A113" s="82" t="n"/>
      <c r="B113" s="82" t="n"/>
      <c r="C113" s="82" t="n"/>
      <c r="D113" s="82" t="n"/>
      <c r="E113" s="82" t="n"/>
      <c r="F113" s="82" t="n"/>
      <c r="G113" s="82" t="n"/>
      <c r="H113" s="82" t="n"/>
      <c r="J113" s="82" t="n"/>
      <c r="K113" s="82" t="n"/>
      <c r="L113" s="82" t="n"/>
      <c r="M113" s="82" t="n"/>
      <c r="N113" s="82" t="n"/>
      <c r="O113" s="82" t="n"/>
    </row>
    <row r="114">
      <c r="A114" s="82" t="n"/>
      <c r="B114" s="82" t="n"/>
      <c r="C114" s="82" t="n"/>
      <c r="D114" s="82" t="n"/>
      <c r="E114" s="82" t="n"/>
      <c r="F114" s="82" t="n"/>
      <c r="G114" s="82" t="n"/>
      <c r="H114" s="82" t="n"/>
      <c r="J114" s="82" t="n"/>
      <c r="K114" s="82" t="n"/>
      <c r="L114" s="82" t="n"/>
      <c r="M114" s="82" t="n"/>
      <c r="N114" s="82" t="n"/>
      <c r="O114" s="82" t="n"/>
    </row>
    <row r="115">
      <c r="A115" s="82" t="n"/>
      <c r="B115" s="82" t="n"/>
      <c r="C115" s="82" t="n"/>
      <c r="D115" s="82" t="n"/>
      <c r="E115" s="82" t="n"/>
      <c r="F115" s="82" t="n"/>
      <c r="G115" s="82" t="n"/>
      <c r="H115" s="82" t="n"/>
      <c r="J115" s="82" t="n"/>
      <c r="K115" s="82" t="n"/>
      <c r="L115" s="82" t="n"/>
      <c r="M115" s="82" t="n"/>
      <c r="N115" s="82" t="n"/>
      <c r="O115" s="82" t="n"/>
    </row>
    <row r="116">
      <c r="A116" s="82" t="n"/>
      <c r="B116" s="82" t="n"/>
      <c r="C116" s="82" t="n"/>
      <c r="D116" s="82" t="n"/>
      <c r="E116" s="82" t="n"/>
      <c r="F116" s="82" t="n"/>
      <c r="G116" s="82" t="n"/>
      <c r="H116" s="82" t="n"/>
      <c r="J116" s="82" t="n"/>
      <c r="K116" s="82" t="n"/>
      <c r="L116" s="82" t="n"/>
      <c r="M116" s="82" t="n"/>
      <c r="N116" s="82" t="n"/>
      <c r="O116" s="82" t="n"/>
    </row>
    <row r="117">
      <c r="A117" s="82" t="n"/>
      <c r="B117" s="82" t="n"/>
      <c r="C117" s="82" t="n"/>
      <c r="D117" s="82" t="n"/>
      <c r="E117" s="82" t="n"/>
      <c r="F117" s="82" t="n"/>
      <c r="G117" s="82" t="n"/>
      <c r="H117" s="82" t="n"/>
      <c r="J117" s="82" t="n"/>
      <c r="K117" s="82" t="n"/>
      <c r="L117" s="82" t="n"/>
      <c r="M117" s="82" t="n"/>
      <c r="N117" s="82" t="n"/>
      <c r="O117" s="82" t="n"/>
    </row>
    <row r="118">
      <c r="A118" s="82" t="n"/>
      <c r="B118" s="82" t="n"/>
      <c r="C118" s="82" t="n"/>
      <c r="D118" s="82" t="n"/>
      <c r="E118" s="82" t="n"/>
      <c r="F118" s="82" t="n"/>
      <c r="G118" s="82" t="n"/>
      <c r="H118" s="82" t="n"/>
      <c r="J118" s="82" t="n"/>
      <c r="K118" s="82" t="n"/>
      <c r="L118" s="82" t="n"/>
      <c r="M118" s="82" t="n"/>
      <c r="N118" s="82" t="n"/>
      <c r="O118" s="82" t="n"/>
    </row>
    <row r="119">
      <c r="A119" s="82" t="n"/>
      <c r="B119" s="82" t="n"/>
      <c r="C119" s="82" t="n"/>
      <c r="D119" s="82" t="n"/>
      <c r="E119" s="82" t="n"/>
      <c r="F119" s="82" t="n"/>
      <c r="G119" s="82" t="n"/>
      <c r="H119" s="82" t="n"/>
      <c r="J119" s="82" t="n"/>
      <c r="K119" s="82" t="n"/>
      <c r="L119" s="82" t="n"/>
      <c r="M119" s="82" t="n"/>
      <c r="N119" s="82" t="n"/>
      <c r="O119" s="82" t="n"/>
    </row>
    <row r="120">
      <c r="A120" s="82" t="n"/>
      <c r="B120" s="82" t="n"/>
      <c r="C120" s="82" t="n"/>
      <c r="D120" s="82" t="n"/>
      <c r="E120" s="82" t="n"/>
      <c r="F120" s="82" t="n"/>
      <c r="G120" s="82" t="n"/>
      <c r="H120" s="82" t="n"/>
      <c r="J120" s="82" t="n"/>
      <c r="K120" s="82" t="n"/>
      <c r="L120" s="82" t="n"/>
      <c r="M120" s="82" t="n"/>
      <c r="N120" s="82" t="n"/>
      <c r="O120" s="82" t="n"/>
    </row>
    <row r="121">
      <c r="A121" s="82" t="n"/>
      <c r="B121" s="82" t="n"/>
      <c r="C121" s="82" t="n"/>
      <c r="D121" s="82" t="n"/>
      <c r="E121" s="82" t="n"/>
      <c r="F121" s="82" t="n"/>
      <c r="G121" s="82" t="n"/>
      <c r="H121" s="82" t="n"/>
      <c r="J121" s="82" t="n"/>
      <c r="K121" s="82" t="n"/>
      <c r="L121" s="82" t="n"/>
      <c r="M121" s="82" t="n"/>
      <c r="N121" s="82" t="n"/>
      <c r="O121" s="82" t="n"/>
    </row>
    <row r="122">
      <c r="A122" s="82" t="n"/>
      <c r="B122" s="82" t="n"/>
      <c r="C122" s="82" t="n"/>
      <c r="D122" s="82" t="n"/>
      <c r="E122" s="82" t="n"/>
      <c r="F122" s="82" t="n"/>
      <c r="G122" s="82" t="n"/>
      <c r="H122" s="82" t="n"/>
      <c r="J122" s="82" t="n"/>
      <c r="K122" s="82" t="n"/>
      <c r="L122" s="82" t="n"/>
      <c r="M122" s="82" t="n"/>
      <c r="N122" s="82" t="n"/>
      <c r="O122" s="82" t="n"/>
    </row>
    <row r="123">
      <c r="A123" s="82" t="n"/>
      <c r="B123" s="82" t="n"/>
      <c r="C123" s="82" t="n"/>
      <c r="D123" s="82" t="n"/>
      <c r="E123" s="82" t="n"/>
      <c r="F123" s="82" t="n"/>
      <c r="G123" s="82" t="n"/>
      <c r="H123" s="82" t="n"/>
      <c r="J123" s="82" t="n"/>
      <c r="K123" s="82" t="n"/>
      <c r="L123" s="82" t="n"/>
      <c r="M123" s="82" t="n"/>
      <c r="N123" s="82" t="n"/>
      <c r="O123" s="82" t="n"/>
    </row>
    <row r="124">
      <c r="A124" s="82" t="n"/>
      <c r="B124" s="82" t="n"/>
      <c r="C124" s="82" t="n"/>
      <c r="D124" s="82" t="n"/>
      <c r="E124" s="82" t="n"/>
      <c r="F124" s="82" t="n"/>
      <c r="G124" s="82" t="n"/>
      <c r="H124" s="82" t="n"/>
      <c r="J124" s="82" t="n"/>
      <c r="K124" s="82" t="n"/>
      <c r="L124" s="82" t="n"/>
      <c r="M124" s="82" t="n"/>
      <c r="N124" s="82" t="n"/>
      <c r="O124" s="82" t="n"/>
    </row>
    <row r="125">
      <c r="A125" s="82" t="n"/>
      <c r="B125" s="82" t="n"/>
      <c r="C125" s="82" t="n"/>
      <c r="D125" s="82" t="n"/>
      <c r="E125" s="82" t="n"/>
      <c r="F125" s="82" t="n"/>
      <c r="G125" s="82" t="n"/>
      <c r="H125" s="82" t="n"/>
      <c r="J125" s="82" t="n"/>
      <c r="K125" s="82" t="n"/>
      <c r="L125" s="82" t="n"/>
      <c r="M125" s="82" t="n"/>
      <c r="N125" s="82" t="n"/>
      <c r="O125" s="82" t="n"/>
    </row>
    <row r="126">
      <c r="A126" s="82" t="n"/>
      <c r="B126" s="82" t="n"/>
      <c r="C126" s="82" t="n"/>
      <c r="D126" s="82" t="n"/>
      <c r="E126" s="82" t="n"/>
      <c r="F126" s="82" t="n"/>
      <c r="G126" s="82" t="n"/>
      <c r="H126" s="82" t="n"/>
      <c r="J126" s="82" t="n"/>
      <c r="K126" s="82" t="n"/>
      <c r="L126" s="82" t="n"/>
      <c r="M126" s="82" t="n"/>
      <c r="N126" s="82" t="n"/>
      <c r="O126" s="82" t="n"/>
    </row>
    <row r="127">
      <c r="A127" s="82" t="n"/>
      <c r="B127" s="82" t="n"/>
      <c r="C127" s="82" t="n"/>
      <c r="D127" s="82" t="n"/>
      <c r="E127" s="82" t="n"/>
      <c r="F127" s="82" t="n"/>
      <c r="G127" s="82" t="n"/>
      <c r="H127" s="82" t="n"/>
      <c r="J127" s="82" t="n"/>
      <c r="K127" s="82" t="n"/>
      <c r="L127" s="82" t="n"/>
      <c r="M127" s="82" t="n"/>
      <c r="N127" s="82" t="n"/>
      <c r="O127" s="82" t="n"/>
    </row>
    <row r="128">
      <c r="A128" s="82" t="n"/>
      <c r="B128" s="82" t="n"/>
      <c r="C128" s="82" t="n"/>
      <c r="D128" s="82" t="n"/>
      <c r="E128" s="82" t="n"/>
      <c r="F128" s="82" t="n"/>
      <c r="G128" s="82" t="n"/>
      <c r="H128" s="82" t="n"/>
      <c r="J128" s="82" t="n"/>
      <c r="K128" s="82" t="n"/>
      <c r="L128" s="82" t="n"/>
      <c r="M128" s="82" t="n"/>
      <c r="N128" s="82" t="n"/>
      <c r="O128" s="82" t="n"/>
    </row>
    <row r="129">
      <c r="A129" s="82" t="n"/>
      <c r="B129" s="82" t="n"/>
      <c r="C129" s="82" t="n"/>
      <c r="D129" s="82" t="n"/>
      <c r="E129" s="82" t="n"/>
      <c r="F129" s="82" t="n"/>
      <c r="G129" s="82" t="n"/>
      <c r="H129" s="82" t="n"/>
      <c r="J129" s="82" t="n"/>
      <c r="K129" s="82" t="n"/>
      <c r="L129" s="82" t="n"/>
      <c r="M129" s="82" t="n"/>
      <c r="N129" s="82" t="n"/>
      <c r="O129" s="82" t="n"/>
    </row>
    <row r="130">
      <c r="A130" s="82" t="n"/>
      <c r="B130" s="82" t="n"/>
      <c r="C130" s="82" t="n"/>
      <c r="D130" s="82" t="n"/>
      <c r="E130" s="82" t="n"/>
      <c r="F130" s="82" t="n"/>
      <c r="G130" s="82" t="n"/>
      <c r="H130" s="82" t="n"/>
      <c r="J130" s="82" t="n"/>
      <c r="K130" s="82" t="n"/>
      <c r="L130" s="82" t="n"/>
      <c r="M130" s="82" t="n"/>
      <c r="N130" s="82" t="n"/>
      <c r="O130" s="82" t="n"/>
    </row>
    <row r="131">
      <c r="A131" s="82" t="n"/>
      <c r="B131" s="82" t="n"/>
      <c r="C131" s="82" t="n"/>
      <c r="D131" s="82" t="n"/>
      <c r="E131" s="82" t="n"/>
      <c r="F131" s="82" t="n"/>
      <c r="G131" s="82" t="n"/>
      <c r="H131" s="82" t="n"/>
      <c r="J131" s="82" t="n"/>
      <c r="K131" s="82" t="n"/>
      <c r="L131" s="82" t="n"/>
      <c r="M131" s="82" t="n"/>
      <c r="N131" s="82" t="n"/>
      <c r="O131" s="82" t="n"/>
    </row>
    <row r="132">
      <c r="A132" s="82" t="n"/>
      <c r="B132" s="82" t="n"/>
      <c r="C132" s="82" t="n"/>
      <c r="D132" s="82" t="n"/>
      <c r="E132" s="82" t="n"/>
      <c r="F132" s="82" t="n"/>
      <c r="G132" s="82" t="n"/>
      <c r="H132" s="82" t="n"/>
      <c r="J132" s="82" t="n"/>
      <c r="K132" s="82" t="n"/>
      <c r="L132" s="82" t="n"/>
      <c r="M132" s="82" t="n"/>
      <c r="N132" s="82" t="n"/>
      <c r="O132" s="82" t="n"/>
    </row>
    <row r="133">
      <c r="A133" s="82" t="n"/>
      <c r="B133" s="82" t="n"/>
      <c r="C133" s="82" t="n"/>
      <c r="D133" s="82" t="n"/>
      <c r="E133" s="82" t="n"/>
      <c r="F133" s="82" t="n"/>
      <c r="G133" s="82" t="n"/>
      <c r="H133" s="82" t="n"/>
      <c r="J133" s="82" t="n"/>
      <c r="K133" s="82" t="n"/>
      <c r="L133" s="82" t="n"/>
      <c r="M133" s="82" t="n"/>
      <c r="N133" s="82" t="n"/>
      <c r="O133" s="82" t="n"/>
    </row>
    <row r="134">
      <c r="A134" s="82" t="n"/>
      <c r="B134" s="82" t="n"/>
      <c r="C134" s="82" t="n"/>
      <c r="D134" s="82" t="n"/>
      <c r="E134" s="82" t="n"/>
      <c r="F134" s="82" t="n"/>
      <c r="G134" s="82" t="n"/>
      <c r="H134" s="82" t="n"/>
      <c r="J134" s="82" t="n"/>
      <c r="K134" s="82" t="n"/>
      <c r="L134" s="82" t="n"/>
      <c r="M134" s="82" t="n"/>
      <c r="N134" s="82" t="n"/>
      <c r="O134" s="82" t="n"/>
    </row>
    <row r="135">
      <c r="A135" s="82" t="n"/>
      <c r="B135" s="82" t="n"/>
      <c r="C135" s="82" t="n"/>
      <c r="D135" s="82" t="n"/>
      <c r="E135" s="82" t="n"/>
      <c r="F135" s="82" t="n"/>
      <c r="G135" s="82" t="n"/>
      <c r="H135" s="82" t="n"/>
      <c r="J135" s="82" t="n"/>
      <c r="K135" s="82" t="n"/>
      <c r="L135" s="82" t="n"/>
      <c r="M135" s="82" t="n"/>
      <c r="N135" s="82" t="n"/>
      <c r="O135" s="82" t="n"/>
    </row>
    <row r="136">
      <c r="A136" s="82" t="n"/>
      <c r="B136" s="82" t="n"/>
      <c r="C136" s="82" t="n"/>
      <c r="D136" s="82" t="n"/>
      <c r="E136" s="82" t="n"/>
      <c r="F136" s="82" t="n"/>
      <c r="G136" s="82" t="n"/>
      <c r="H136" s="82" t="n"/>
      <c r="J136" s="82" t="n"/>
      <c r="K136" s="82" t="n"/>
      <c r="L136" s="82" t="n"/>
      <c r="M136" s="82" t="n"/>
      <c r="N136" s="82" t="n"/>
      <c r="O136" s="82" t="n"/>
    </row>
    <row r="137">
      <c r="A137" s="82" t="n"/>
      <c r="B137" s="82" t="n"/>
      <c r="C137" s="82" t="n"/>
      <c r="D137" s="82" t="n"/>
      <c r="E137" s="82" t="n"/>
      <c r="F137" s="82" t="n"/>
      <c r="G137" s="82" t="n"/>
      <c r="H137" s="82" t="n"/>
      <c r="J137" s="82" t="n"/>
      <c r="K137" s="82" t="n"/>
      <c r="L137" s="82" t="n"/>
      <c r="M137" s="82" t="n"/>
      <c r="N137" s="82" t="n"/>
      <c r="O137" s="82" t="n"/>
    </row>
    <row r="138">
      <c r="A138" s="82" t="n"/>
      <c r="B138" s="82" t="n"/>
      <c r="C138" s="82" t="n"/>
      <c r="D138" s="82" t="n"/>
      <c r="E138" s="82" t="n"/>
      <c r="F138" s="82" t="n"/>
      <c r="G138" s="82" t="n"/>
      <c r="H138" s="82" t="n"/>
      <c r="J138" s="82" t="n"/>
      <c r="K138" s="82" t="n"/>
      <c r="L138" s="82" t="n"/>
      <c r="M138" s="82" t="n"/>
      <c r="N138" s="82" t="n"/>
      <c r="O138" s="82" t="n"/>
    </row>
    <row r="139">
      <c r="A139" s="82" t="n"/>
      <c r="B139" s="82" t="n"/>
      <c r="C139" s="82" t="n"/>
      <c r="D139" s="82" t="n"/>
      <c r="E139" s="82" t="n"/>
      <c r="F139" s="82" t="n"/>
      <c r="G139" s="82" t="n"/>
      <c r="H139" s="82" t="n"/>
      <c r="J139" s="82" t="n"/>
      <c r="K139" s="82" t="n"/>
      <c r="L139" s="82" t="n"/>
      <c r="M139" s="82" t="n"/>
      <c r="N139" s="82" t="n"/>
      <c r="O139" s="82" t="n"/>
    </row>
    <row r="140">
      <c r="A140" s="82" t="n"/>
      <c r="B140" s="82" t="n"/>
      <c r="C140" s="82" t="n"/>
      <c r="D140" s="82" t="n"/>
      <c r="E140" s="82" t="n"/>
      <c r="F140" s="82" t="n"/>
      <c r="G140" s="82" t="n"/>
      <c r="H140" s="82" t="n"/>
      <c r="J140" s="82" t="n"/>
      <c r="K140" s="82" t="n"/>
      <c r="L140" s="82" t="n"/>
      <c r="M140" s="82" t="n"/>
      <c r="N140" s="82" t="n"/>
      <c r="O140" s="82" t="n"/>
    </row>
    <row r="141">
      <c r="A141" s="82" t="n"/>
      <c r="B141" s="82" t="n"/>
      <c r="C141" s="82" t="n"/>
      <c r="D141" s="82" t="n"/>
      <c r="E141" s="82" t="n"/>
      <c r="F141" s="82" t="n"/>
      <c r="G141" s="82" t="n"/>
      <c r="H141" s="82" t="n"/>
      <c r="J141" s="82" t="n"/>
      <c r="K141" s="82" t="n"/>
      <c r="L141" s="82" t="n"/>
      <c r="M141" s="82" t="n"/>
      <c r="N141" s="82" t="n"/>
      <c r="O141" s="82" t="n"/>
    </row>
    <row r="142">
      <c r="A142" s="82" t="n"/>
      <c r="B142" s="82" t="n"/>
      <c r="C142" s="82" t="n"/>
      <c r="D142" s="82" t="n"/>
      <c r="E142" s="82" t="n"/>
      <c r="F142" s="82" t="n"/>
      <c r="G142" s="82" t="n"/>
      <c r="H142" s="82" t="n"/>
      <c r="J142" s="82" t="n"/>
      <c r="K142" s="82" t="n"/>
      <c r="L142" s="82" t="n"/>
      <c r="M142" s="82" t="n"/>
      <c r="N142" s="82" t="n"/>
      <c r="O142" s="82" t="n"/>
    </row>
    <row r="143">
      <c r="A143" s="82" t="n"/>
      <c r="B143" s="82" t="n"/>
      <c r="C143" s="82" t="n"/>
      <c r="D143" s="82" t="n"/>
      <c r="E143" s="82" t="n"/>
      <c r="F143" s="82" t="n"/>
      <c r="G143" s="82" t="n"/>
      <c r="H143" s="82" t="n"/>
      <c r="J143" s="82" t="n"/>
      <c r="K143" s="82" t="n"/>
      <c r="L143" s="82" t="n"/>
      <c r="M143" s="82" t="n"/>
      <c r="N143" s="82" t="n"/>
      <c r="O143" s="82" t="n"/>
    </row>
    <row r="144">
      <c r="A144" s="82" t="n"/>
      <c r="B144" s="82" t="n"/>
      <c r="C144" s="82" t="n"/>
      <c r="D144" s="82" t="n"/>
      <c r="E144" s="82" t="n"/>
      <c r="F144" s="82" t="n"/>
      <c r="G144" s="82" t="n"/>
      <c r="H144" s="82" t="n"/>
      <c r="J144" s="82" t="n"/>
      <c r="K144" s="82" t="n"/>
      <c r="L144" s="82" t="n"/>
      <c r="M144" s="82" t="n"/>
      <c r="N144" s="82" t="n"/>
      <c r="O144" s="82" t="n"/>
    </row>
    <row r="145">
      <c r="A145" s="82" t="n"/>
      <c r="B145" s="82" t="n"/>
      <c r="C145" s="82" t="n"/>
      <c r="D145" s="82" t="n"/>
      <c r="E145" s="82" t="n"/>
      <c r="F145" s="82" t="n"/>
      <c r="G145" s="82" t="n"/>
      <c r="H145" s="82" t="n"/>
      <c r="J145" s="82" t="n"/>
      <c r="K145" s="82" t="n"/>
      <c r="L145" s="82" t="n"/>
      <c r="M145" s="82" t="n"/>
      <c r="N145" s="82" t="n"/>
      <c r="O145" s="82" t="n"/>
    </row>
    <row r="146">
      <c r="A146" s="82" t="n"/>
      <c r="B146" s="82" t="n"/>
      <c r="C146" s="82" t="n"/>
      <c r="D146" s="82" t="n"/>
      <c r="E146" s="82" t="n"/>
      <c r="F146" s="82" t="n"/>
      <c r="G146" s="82" t="n"/>
      <c r="H146" s="82" t="n"/>
      <c r="J146" s="82" t="n"/>
      <c r="K146" s="82" t="n"/>
      <c r="L146" s="82" t="n"/>
      <c r="M146" s="82" t="n"/>
      <c r="N146" s="82" t="n"/>
      <c r="O146" s="82" t="n"/>
    </row>
    <row r="147">
      <c r="A147" s="82" t="n"/>
      <c r="B147" s="82" t="n"/>
      <c r="C147" s="82" t="n"/>
      <c r="D147" s="82" t="n"/>
      <c r="E147" s="82" t="n"/>
      <c r="F147" s="82" t="n"/>
      <c r="G147" s="82" t="n"/>
      <c r="H147" s="82" t="n"/>
      <c r="J147" s="82" t="n"/>
      <c r="K147" s="82" t="n"/>
      <c r="L147" s="82" t="n"/>
      <c r="M147" s="82" t="n"/>
      <c r="N147" s="82" t="n"/>
      <c r="O147" s="82" t="n"/>
    </row>
    <row r="148">
      <c r="A148" s="82" t="n"/>
      <c r="B148" s="82" t="n"/>
      <c r="C148" s="82" t="n"/>
      <c r="D148" s="82" t="n"/>
      <c r="E148" s="82" t="n"/>
      <c r="F148" s="82" t="n"/>
      <c r="G148" s="82" t="n"/>
      <c r="H148" s="82" t="n"/>
      <c r="J148" s="82" t="n"/>
      <c r="K148" s="82" t="n"/>
      <c r="L148" s="82" t="n"/>
      <c r="M148" s="82" t="n"/>
      <c r="N148" s="82" t="n"/>
      <c r="O148" s="82" t="n"/>
    </row>
    <row r="149">
      <c r="A149" s="82" t="n"/>
      <c r="B149" s="82" t="n"/>
      <c r="C149" s="82" t="n"/>
      <c r="D149" s="82" t="n"/>
      <c r="E149" s="82" t="n"/>
      <c r="F149" s="82" t="n"/>
      <c r="G149" s="82" t="n"/>
      <c r="H149" s="82" t="n"/>
      <c r="J149" s="82" t="n"/>
      <c r="K149" s="82" t="n"/>
      <c r="L149" s="82" t="n"/>
      <c r="M149" s="82" t="n"/>
      <c r="N149" s="82" t="n"/>
      <c r="O149" s="82" t="n"/>
    </row>
    <row r="150">
      <c r="A150" s="82" t="n"/>
      <c r="B150" s="82" t="n"/>
      <c r="C150" s="82" t="n"/>
      <c r="D150" s="82" t="n"/>
      <c r="E150" s="82" t="n"/>
      <c r="F150" s="82" t="n"/>
      <c r="G150" s="82" t="n"/>
      <c r="H150" s="82" t="n"/>
      <c r="J150" s="82" t="n"/>
      <c r="K150" s="82" t="n"/>
      <c r="L150" s="82" t="n"/>
      <c r="M150" s="82" t="n"/>
      <c r="N150" s="82" t="n"/>
      <c r="O150" s="82" t="n"/>
    </row>
    <row r="151">
      <c r="A151" s="82" t="n"/>
      <c r="B151" s="82" t="n"/>
      <c r="C151" s="82" t="n"/>
      <c r="D151" s="82" t="n"/>
      <c r="E151" s="82" t="n"/>
      <c r="F151" s="82" t="n"/>
      <c r="G151" s="82" t="n"/>
      <c r="H151" s="82" t="n"/>
      <c r="J151" s="82" t="n"/>
      <c r="K151" s="82" t="n"/>
      <c r="L151" s="82" t="n"/>
      <c r="M151" s="82" t="n"/>
      <c r="N151" s="82" t="n"/>
      <c r="O151" s="82" t="n"/>
    </row>
    <row r="152">
      <c r="A152" s="82" t="n"/>
      <c r="B152" s="82" t="n"/>
      <c r="C152" s="82" t="n"/>
      <c r="D152" s="82" t="n"/>
      <c r="E152" s="82" t="n"/>
      <c r="F152" s="82" t="n"/>
      <c r="G152" s="82" t="n"/>
      <c r="H152" s="82" t="n"/>
      <c r="J152" s="82" t="n"/>
      <c r="K152" s="82" t="n"/>
      <c r="L152" s="82" t="n"/>
      <c r="M152" s="82" t="n"/>
      <c r="N152" s="82" t="n"/>
      <c r="O152" s="82" t="n"/>
    </row>
    <row r="153">
      <c r="A153" s="82" t="n"/>
      <c r="B153" s="82" t="n"/>
      <c r="C153" s="82" t="n"/>
      <c r="D153" s="82" t="n"/>
      <c r="E153" s="82" t="n"/>
      <c r="F153" s="82" t="n"/>
      <c r="G153" s="82" t="n"/>
      <c r="H153" s="82" t="n"/>
      <c r="J153" s="82" t="n"/>
      <c r="K153" s="82" t="n"/>
      <c r="L153" s="82" t="n"/>
      <c r="M153" s="82" t="n"/>
      <c r="N153" s="82" t="n"/>
      <c r="O153" s="82" t="n"/>
    </row>
    <row r="154">
      <c r="A154" s="82" t="n"/>
      <c r="B154" s="82" t="n"/>
      <c r="C154" s="82" t="n"/>
      <c r="D154" s="82" t="n"/>
      <c r="E154" s="82" t="n"/>
      <c r="F154" s="82" t="n"/>
      <c r="G154" s="82" t="n"/>
      <c r="H154" s="82" t="n"/>
      <c r="J154" s="82" t="n"/>
      <c r="K154" s="82" t="n"/>
      <c r="L154" s="82" t="n"/>
      <c r="M154" s="82" t="n"/>
      <c r="N154" s="82" t="n"/>
      <c r="O154" s="82" t="n"/>
    </row>
    <row r="155">
      <c r="A155" s="82" t="n"/>
      <c r="B155" s="82" t="n"/>
      <c r="C155" s="82" t="n"/>
      <c r="D155" s="82" t="n"/>
      <c r="E155" s="82" t="n"/>
      <c r="F155" s="82" t="n"/>
      <c r="G155" s="82" t="n"/>
      <c r="H155" s="82" t="n"/>
      <c r="J155" s="82" t="n"/>
      <c r="K155" s="82" t="n"/>
      <c r="L155" s="82" t="n"/>
      <c r="M155" s="82" t="n"/>
      <c r="N155" s="82" t="n"/>
      <c r="O155" s="82" t="n"/>
    </row>
    <row r="156">
      <c r="A156" s="82" t="n"/>
      <c r="B156" s="82" t="n"/>
      <c r="C156" s="82" t="n"/>
      <c r="D156" s="82" t="n"/>
      <c r="E156" s="82" t="n"/>
      <c r="F156" s="82" t="n"/>
      <c r="G156" s="82" t="n"/>
      <c r="H156" s="82" t="n"/>
      <c r="J156" s="82" t="n"/>
      <c r="K156" s="82" t="n"/>
      <c r="L156" s="82" t="n"/>
      <c r="M156" s="82" t="n"/>
      <c r="N156" s="82" t="n"/>
      <c r="O156" s="82" t="n"/>
    </row>
    <row r="157">
      <c r="A157" s="82" t="n"/>
      <c r="B157" s="82" t="n"/>
      <c r="C157" s="82" t="n"/>
      <c r="D157" s="82" t="n"/>
      <c r="E157" s="82" t="n"/>
      <c r="F157" s="82" t="n"/>
      <c r="G157" s="82" t="n"/>
      <c r="H157" s="82" t="n"/>
      <c r="J157" s="82" t="n"/>
      <c r="K157" s="82" t="n"/>
      <c r="L157" s="82" t="n"/>
      <c r="M157" s="82" t="n"/>
      <c r="N157" s="82" t="n"/>
      <c r="O157" s="82" t="n"/>
    </row>
    <row r="158">
      <c r="A158" s="82" t="n"/>
      <c r="B158" s="82" t="n"/>
      <c r="C158" s="82" t="n"/>
      <c r="D158" s="82" t="n"/>
      <c r="E158" s="82" t="n"/>
      <c r="F158" s="82" t="n"/>
      <c r="G158" s="82" t="n"/>
      <c r="H158" s="82" t="n"/>
      <c r="J158" s="82" t="n"/>
      <c r="K158" s="82" t="n"/>
      <c r="L158" s="82" t="n"/>
      <c r="M158" s="82" t="n"/>
      <c r="N158" s="82" t="n"/>
      <c r="O158" s="82" t="n"/>
    </row>
    <row r="159">
      <c r="A159" s="82" t="n"/>
      <c r="B159" s="82" t="n"/>
      <c r="C159" s="82" t="n"/>
      <c r="D159" s="82" t="n"/>
      <c r="E159" s="82" t="n"/>
      <c r="F159" s="82" t="n"/>
      <c r="G159" s="82" t="n"/>
      <c r="H159" s="82" t="n"/>
      <c r="J159" s="82" t="n"/>
      <c r="K159" s="82" t="n"/>
      <c r="L159" s="82" t="n"/>
      <c r="M159" s="82" t="n"/>
      <c r="N159" s="82" t="n"/>
      <c r="O159" s="82" t="n"/>
    </row>
    <row r="160">
      <c r="A160" s="82" t="n"/>
      <c r="B160" s="82" t="n"/>
      <c r="C160" s="82" t="n"/>
      <c r="D160" s="82" t="n"/>
      <c r="E160" s="82" t="n"/>
      <c r="F160" s="82" t="n"/>
      <c r="G160" s="82" t="n"/>
      <c r="H160" s="82" t="n"/>
      <c r="J160" s="82" t="n"/>
      <c r="K160" s="82" t="n"/>
      <c r="L160" s="82" t="n"/>
      <c r="M160" s="82" t="n"/>
      <c r="N160" s="82" t="n"/>
      <c r="O160" s="82" t="n"/>
    </row>
    <row r="161">
      <c r="A161" s="82" t="n"/>
      <c r="B161" s="82" t="n"/>
      <c r="C161" s="82" t="n"/>
      <c r="D161" s="82" t="n"/>
      <c r="E161" s="82" t="n"/>
      <c r="F161" s="82" t="n"/>
      <c r="G161" s="82" t="n"/>
      <c r="H161" s="82" t="n"/>
      <c r="J161" s="82" t="n"/>
      <c r="K161" s="82" t="n"/>
      <c r="L161" s="82" t="n"/>
      <c r="M161" s="82" t="n"/>
      <c r="N161" s="82" t="n"/>
      <c r="O161" s="82" t="n"/>
    </row>
    <row r="162">
      <c r="A162" s="82" t="n"/>
      <c r="B162" s="82" t="n"/>
      <c r="C162" s="82" t="n"/>
      <c r="D162" s="82" t="n"/>
      <c r="E162" s="82" t="n"/>
      <c r="F162" s="82" t="n"/>
      <c r="G162" s="82" t="n"/>
      <c r="H162" s="82" t="n"/>
      <c r="J162" s="82" t="n"/>
      <c r="K162" s="82" t="n"/>
      <c r="L162" s="82" t="n"/>
      <c r="M162" s="82" t="n"/>
      <c r="N162" s="82" t="n"/>
      <c r="O162" s="82" t="n"/>
    </row>
    <row r="163">
      <c r="A163" s="82" t="n"/>
      <c r="B163" s="82" t="n"/>
      <c r="C163" s="82" t="n"/>
      <c r="D163" s="82" t="n"/>
      <c r="E163" s="82" t="n"/>
      <c r="F163" s="82" t="n"/>
      <c r="G163" s="82" t="n"/>
      <c r="H163" s="82" t="n"/>
      <c r="J163" s="82" t="n"/>
      <c r="K163" s="82" t="n"/>
      <c r="L163" s="82" t="n"/>
      <c r="M163" s="82" t="n"/>
      <c r="N163" s="82" t="n"/>
      <c r="O163" s="82" t="n"/>
    </row>
    <row r="164">
      <c r="A164" s="82" t="n"/>
      <c r="B164" s="82" t="n"/>
      <c r="C164" s="82" t="n"/>
      <c r="D164" s="82" t="n"/>
      <c r="E164" s="82" t="n"/>
      <c r="F164" s="82" t="n"/>
      <c r="G164" s="82" t="n"/>
      <c r="H164" s="82" t="n"/>
      <c r="J164" s="82" t="n"/>
      <c r="K164" s="82" t="n"/>
      <c r="L164" s="82" t="n"/>
      <c r="M164" s="82" t="n"/>
      <c r="N164" s="82" t="n"/>
      <c r="O164" s="82" t="n"/>
    </row>
    <row r="165">
      <c r="A165" s="82" t="n"/>
      <c r="B165" s="82" t="n"/>
      <c r="C165" s="82" t="n"/>
      <c r="D165" s="82" t="n"/>
      <c r="E165" s="82" t="n"/>
      <c r="F165" s="82" t="n"/>
      <c r="G165" s="82" t="n"/>
      <c r="H165" s="82" t="n"/>
      <c r="J165" s="82" t="n"/>
      <c r="K165" s="82" t="n"/>
      <c r="L165" s="82" t="n"/>
      <c r="M165" s="82" t="n"/>
      <c r="N165" s="82" t="n"/>
      <c r="O165" s="82" t="n"/>
    </row>
    <row r="166">
      <c r="A166" s="82" t="n"/>
      <c r="B166" s="82" t="n"/>
      <c r="C166" s="82" t="n"/>
      <c r="D166" s="82" t="n"/>
      <c r="E166" s="82" t="n"/>
      <c r="F166" s="82" t="n"/>
      <c r="G166" s="82" t="n"/>
      <c r="H166" s="82" t="n"/>
      <c r="J166" s="82" t="n"/>
      <c r="K166" s="82" t="n"/>
      <c r="L166" s="82" t="n"/>
      <c r="M166" s="82" t="n"/>
      <c r="N166" s="82" t="n"/>
      <c r="O166" s="82" t="n"/>
    </row>
    <row r="167">
      <c r="A167" s="82" t="n"/>
      <c r="B167" s="82" t="n"/>
      <c r="C167" s="82" t="n"/>
      <c r="D167" s="82" t="n"/>
      <c r="E167" s="82" t="n"/>
      <c r="F167" s="82" t="n"/>
      <c r="G167" s="82" t="n"/>
      <c r="H167" s="82" t="n"/>
      <c r="J167" s="82" t="n"/>
      <c r="K167" s="82" t="n"/>
      <c r="L167" s="82" t="n"/>
      <c r="M167" s="82" t="n"/>
      <c r="N167" s="82" t="n"/>
      <c r="O167" s="82" t="n"/>
    </row>
    <row r="168">
      <c r="A168" s="82" t="n"/>
      <c r="B168" s="82" t="n"/>
      <c r="C168" s="82" t="n"/>
      <c r="D168" s="82" t="n"/>
      <c r="E168" s="82" t="n"/>
      <c r="F168" s="82" t="n"/>
      <c r="G168" s="82" t="n"/>
      <c r="H168" s="82" t="n"/>
      <c r="J168" s="82" t="n"/>
      <c r="K168" s="82" t="n"/>
      <c r="L168" s="82" t="n"/>
      <c r="M168" s="82" t="n"/>
      <c r="N168" s="82" t="n"/>
      <c r="O168" s="82" t="n"/>
    </row>
    <row r="169">
      <c r="A169" s="82" t="n"/>
      <c r="B169" s="82" t="n"/>
      <c r="C169" s="82" t="n"/>
      <c r="D169" s="82" t="n"/>
      <c r="E169" s="82" t="n"/>
      <c r="F169" s="82" t="n"/>
      <c r="G169" s="82" t="n"/>
      <c r="H169" s="82" t="n"/>
      <c r="J169" s="82" t="n"/>
      <c r="K169" s="82" t="n"/>
      <c r="L169" s="82" t="n"/>
      <c r="M169" s="82" t="n"/>
      <c r="N169" s="82" t="n"/>
      <c r="O169" s="82" t="n"/>
    </row>
    <row r="170">
      <c r="A170" s="82" t="n"/>
      <c r="B170" s="82" t="n"/>
      <c r="C170" s="82" t="n"/>
      <c r="D170" s="82" t="n"/>
      <c r="E170" s="82" t="n"/>
      <c r="F170" s="82" t="n"/>
      <c r="G170" s="82" t="n"/>
      <c r="H170" s="82" t="n"/>
      <c r="J170" s="82" t="n"/>
      <c r="K170" s="82" t="n"/>
      <c r="L170" s="82" t="n"/>
      <c r="M170" s="82" t="n"/>
      <c r="N170" s="82" t="n"/>
      <c r="O170" s="82" t="n"/>
    </row>
    <row r="171">
      <c r="A171" s="82" t="n"/>
      <c r="B171" s="82" t="n"/>
      <c r="C171" s="82" t="n"/>
      <c r="D171" s="82" t="n"/>
      <c r="E171" s="82" t="n"/>
      <c r="F171" s="82" t="n"/>
      <c r="G171" s="82" t="n"/>
      <c r="H171" s="82" t="n"/>
      <c r="J171" s="82" t="n"/>
      <c r="K171" s="82" t="n"/>
      <c r="L171" s="82" t="n"/>
      <c r="M171" s="82" t="n"/>
      <c r="N171" s="82" t="n"/>
      <c r="O171" s="82" t="n"/>
    </row>
    <row r="172">
      <c r="A172" s="82" t="n"/>
      <c r="B172" s="82" t="n"/>
      <c r="C172" s="82" t="n"/>
      <c r="D172" s="82" t="n"/>
      <c r="E172" s="82" t="n"/>
      <c r="F172" s="82" t="n"/>
      <c r="G172" s="82" t="n"/>
      <c r="H172" s="82" t="n"/>
      <c r="J172" s="82" t="n"/>
      <c r="K172" s="82" t="n"/>
      <c r="L172" s="82" t="n"/>
      <c r="M172" s="82" t="n"/>
      <c r="N172" s="82" t="n"/>
      <c r="O172" s="82" t="n"/>
    </row>
    <row r="173">
      <c r="A173" s="82" t="n"/>
      <c r="B173" s="82" t="n"/>
      <c r="C173" s="82" t="n"/>
      <c r="D173" s="82" t="n"/>
      <c r="E173" s="82" t="n"/>
      <c r="F173" s="82" t="n"/>
      <c r="G173" s="82" t="n"/>
      <c r="H173" s="82" t="n"/>
      <c r="J173" s="82" t="n"/>
      <c r="K173" s="82" t="n"/>
      <c r="L173" s="82" t="n"/>
      <c r="M173" s="82" t="n"/>
      <c r="N173" s="82" t="n"/>
      <c r="O173" s="82" t="n"/>
    </row>
    <row r="174">
      <c r="A174" s="82" t="n"/>
      <c r="B174" s="82" t="n"/>
      <c r="C174" s="82" t="n"/>
      <c r="D174" s="82" t="n"/>
      <c r="E174" s="82" t="n"/>
      <c r="F174" s="82" t="n"/>
      <c r="G174" s="82" t="n"/>
      <c r="H174" s="82" t="n"/>
      <c r="J174" s="82" t="n"/>
      <c r="K174" s="82" t="n"/>
      <c r="L174" s="82" t="n"/>
      <c r="M174" s="82" t="n"/>
      <c r="N174" s="82" t="n"/>
      <c r="O174" s="82" t="n"/>
    </row>
    <row r="175">
      <c r="A175" s="82" t="n"/>
      <c r="B175" s="82" t="n"/>
      <c r="C175" s="82" t="n"/>
      <c r="D175" s="82" t="n"/>
      <c r="E175" s="82" t="n"/>
      <c r="F175" s="82" t="n"/>
      <c r="G175" s="82" t="n"/>
      <c r="H175" s="82" t="n"/>
      <c r="J175" s="82" t="n"/>
      <c r="K175" s="82" t="n"/>
      <c r="L175" s="82" t="n"/>
      <c r="M175" s="82" t="n"/>
      <c r="N175" s="82" t="n"/>
      <c r="O175" s="82" t="n"/>
    </row>
    <row r="176">
      <c r="A176" s="82" t="n"/>
      <c r="B176" s="82" t="n"/>
      <c r="C176" s="82" t="n"/>
      <c r="D176" s="82" t="n"/>
      <c r="E176" s="82" t="n"/>
      <c r="F176" s="82" t="n"/>
      <c r="G176" s="82" t="n"/>
      <c r="H176" s="82" t="n"/>
      <c r="J176" s="82" t="n"/>
      <c r="K176" s="82" t="n"/>
      <c r="L176" s="82" t="n"/>
      <c r="M176" s="82" t="n"/>
      <c r="N176" s="82" t="n"/>
      <c r="O176" s="82" t="n"/>
    </row>
    <row r="177">
      <c r="A177" s="82" t="n"/>
      <c r="B177" s="82" t="n"/>
      <c r="C177" s="82" t="n"/>
      <c r="D177" s="82" t="n"/>
      <c r="E177" s="82" t="n"/>
      <c r="F177" s="82" t="n"/>
      <c r="G177" s="82" t="n"/>
      <c r="H177" s="82" t="n"/>
      <c r="J177" s="82" t="n"/>
      <c r="K177" s="82" t="n"/>
      <c r="L177" s="82" t="n"/>
      <c r="M177" s="82" t="n"/>
      <c r="N177" s="82" t="n"/>
      <c r="O177" s="82" t="n"/>
    </row>
    <row r="178">
      <c r="A178" s="82" t="n"/>
      <c r="B178" s="82" t="n"/>
      <c r="C178" s="82" t="n"/>
      <c r="D178" s="82" t="n"/>
      <c r="E178" s="82" t="n"/>
      <c r="F178" s="82" t="n"/>
      <c r="G178" s="82" t="n"/>
      <c r="H178" s="82" t="n"/>
      <c r="J178" s="82" t="n"/>
      <c r="K178" s="82" t="n"/>
      <c r="L178" s="82" t="n"/>
      <c r="M178" s="82" t="n"/>
      <c r="N178" s="82" t="n"/>
      <c r="O178" s="82" t="n"/>
    </row>
    <row r="179">
      <c r="A179" s="82" t="n"/>
      <c r="B179" s="82" t="n"/>
      <c r="C179" s="82" t="n"/>
      <c r="D179" s="82" t="n"/>
      <c r="E179" s="82" t="n"/>
      <c r="F179" s="82" t="n"/>
      <c r="G179" s="82" t="n"/>
      <c r="H179" s="82" t="n"/>
      <c r="J179" s="82" t="n"/>
      <c r="K179" s="82" t="n"/>
      <c r="L179" s="82" t="n"/>
      <c r="M179" s="82" t="n"/>
      <c r="N179" s="82" t="n"/>
      <c r="O179" s="82" t="n"/>
    </row>
    <row r="180">
      <c r="A180" s="82" t="n"/>
      <c r="B180" s="82" t="n"/>
      <c r="C180" s="82" t="n"/>
      <c r="D180" s="82" t="n"/>
      <c r="E180" s="82" t="n"/>
      <c r="F180" s="82" t="n"/>
      <c r="G180" s="82" t="n"/>
      <c r="H180" s="82" t="n"/>
      <c r="J180" s="82" t="n"/>
      <c r="K180" s="82" t="n"/>
      <c r="L180" s="82" t="n"/>
      <c r="M180" s="82" t="n"/>
      <c r="N180" s="82" t="n"/>
      <c r="O180" s="82" t="n"/>
    </row>
    <row r="181">
      <c r="A181" s="82" t="n"/>
      <c r="B181" s="82" t="n"/>
      <c r="C181" s="82" t="n"/>
      <c r="D181" s="82" t="n"/>
      <c r="E181" s="82" t="n"/>
      <c r="F181" s="82" t="n"/>
      <c r="G181" s="82" t="n"/>
      <c r="H181" s="82" t="n"/>
      <c r="J181" s="82" t="n"/>
      <c r="K181" s="82" t="n"/>
      <c r="L181" s="82" t="n"/>
      <c r="M181" s="82" t="n"/>
      <c r="N181" s="82" t="n"/>
      <c r="O181" s="82" t="n"/>
    </row>
    <row r="182">
      <c r="A182" s="82" t="n"/>
      <c r="B182" s="82" t="n"/>
      <c r="C182" s="82" t="n"/>
      <c r="D182" s="82" t="n"/>
      <c r="E182" s="82" t="n"/>
      <c r="F182" s="82" t="n"/>
      <c r="G182" s="82" t="n"/>
      <c r="H182" s="82" t="n"/>
      <c r="J182" s="82" t="n"/>
      <c r="K182" s="82" t="n"/>
      <c r="L182" s="82" t="n"/>
      <c r="M182" s="82" t="n"/>
      <c r="N182" s="82" t="n"/>
      <c r="O182" s="82" t="n"/>
    </row>
    <row r="183">
      <c r="A183" s="82" t="n"/>
      <c r="B183" s="82" t="n"/>
      <c r="C183" s="82" t="n"/>
      <c r="D183" s="82" t="n"/>
      <c r="E183" s="82" t="n"/>
      <c r="F183" s="82" t="n"/>
      <c r="G183" s="82" t="n"/>
      <c r="H183" s="82" t="n"/>
      <c r="J183" s="82" t="n"/>
      <c r="K183" s="82" t="n"/>
      <c r="L183" s="82" t="n"/>
      <c r="M183" s="82" t="n"/>
      <c r="N183" s="82" t="n"/>
      <c r="O183" s="82" t="n"/>
    </row>
    <row r="184">
      <c r="A184" s="82" t="n"/>
      <c r="B184" s="82" t="n"/>
      <c r="C184" s="82" t="n"/>
      <c r="D184" s="82" t="n"/>
      <c r="E184" s="82" t="n"/>
      <c r="F184" s="82" t="n"/>
      <c r="G184" s="82" t="n"/>
      <c r="H184" s="82" t="n"/>
      <c r="J184" s="82" t="n"/>
      <c r="K184" s="82" t="n"/>
      <c r="L184" s="82" t="n"/>
      <c r="M184" s="82" t="n"/>
      <c r="N184" s="82" t="n"/>
      <c r="O184" s="82" t="n"/>
    </row>
    <row r="185">
      <c r="A185" s="82" t="n"/>
      <c r="B185" s="82" t="n"/>
      <c r="C185" s="82" t="n"/>
      <c r="D185" s="82" t="n"/>
      <c r="E185" s="82" t="n"/>
      <c r="F185" s="82" t="n"/>
      <c r="G185" s="82" t="n"/>
      <c r="H185" s="82" t="n"/>
      <c r="J185" s="82" t="n"/>
      <c r="K185" s="82" t="n"/>
      <c r="L185" s="82" t="n"/>
      <c r="M185" s="82" t="n"/>
      <c r="N185" s="82" t="n"/>
      <c r="O185" s="82" t="n"/>
    </row>
    <row r="186">
      <c r="A186" s="82" t="n"/>
      <c r="B186" s="82" t="n"/>
      <c r="C186" s="82" t="n"/>
      <c r="D186" s="82" t="n"/>
      <c r="E186" s="82" t="n"/>
      <c r="F186" s="82" t="n"/>
      <c r="G186" s="82" t="n"/>
      <c r="H186" s="82" t="n"/>
      <c r="J186" s="82" t="n"/>
      <c r="K186" s="82" t="n"/>
      <c r="L186" s="82" t="n"/>
      <c r="M186" s="82" t="n"/>
      <c r="N186" s="82" t="n"/>
      <c r="O186" s="82" t="n"/>
    </row>
    <row r="187">
      <c r="A187" s="82" t="n"/>
      <c r="B187" s="82" t="n"/>
      <c r="C187" s="82" t="n"/>
      <c r="D187" s="82" t="n"/>
      <c r="E187" s="82" t="n"/>
      <c r="F187" s="82" t="n"/>
      <c r="G187" s="82" t="n"/>
      <c r="H187" s="82" t="n"/>
      <c r="J187" s="82" t="n"/>
      <c r="K187" s="82" t="n"/>
      <c r="L187" s="82" t="n"/>
      <c r="M187" s="82" t="n"/>
      <c r="N187" s="82" t="n"/>
      <c r="O187" s="82" t="n"/>
    </row>
    <row r="188">
      <c r="A188" s="82" t="n"/>
      <c r="B188" s="82" t="n"/>
      <c r="C188" s="82" t="n"/>
      <c r="D188" s="82" t="n"/>
      <c r="E188" s="82" t="n"/>
      <c r="F188" s="82" t="n"/>
      <c r="G188" s="82" t="n"/>
      <c r="H188" s="82" t="n"/>
      <c r="J188" s="82" t="n"/>
      <c r="K188" s="82" t="n"/>
      <c r="L188" s="82" t="n"/>
      <c r="M188" s="82" t="n"/>
      <c r="N188" s="82" t="n"/>
      <c r="O188" s="82" t="n"/>
    </row>
    <row r="189">
      <c r="A189" s="82" t="n"/>
      <c r="B189" s="82" t="n"/>
      <c r="C189" s="82" t="n"/>
      <c r="D189" s="82" t="n"/>
      <c r="E189" s="82" t="n"/>
      <c r="F189" s="82" t="n"/>
      <c r="G189" s="82" t="n"/>
      <c r="H189" s="82" t="n"/>
      <c r="J189" s="82" t="n"/>
      <c r="K189" s="82" t="n"/>
      <c r="L189" s="82" t="n"/>
      <c r="M189" s="82" t="n"/>
      <c r="N189" s="82" t="n"/>
      <c r="O189" s="82" t="n"/>
    </row>
    <row r="190">
      <c r="A190" s="82" t="n"/>
      <c r="B190" s="82" t="n"/>
      <c r="C190" s="82" t="n"/>
      <c r="D190" s="82" t="n"/>
      <c r="E190" s="82" t="n"/>
      <c r="F190" s="82" t="n"/>
      <c r="G190" s="82" t="n"/>
      <c r="H190" s="82" t="n"/>
      <c r="J190" s="82" t="n"/>
      <c r="K190" s="82" t="n"/>
      <c r="L190" s="82" t="n"/>
      <c r="M190" s="82" t="n"/>
      <c r="N190" s="82" t="n"/>
      <c r="O190" s="82" t="n"/>
    </row>
    <row r="191">
      <c r="A191" s="82" t="n"/>
      <c r="B191" s="82" t="n"/>
      <c r="C191" s="82" t="n"/>
      <c r="D191" s="82" t="n"/>
      <c r="E191" s="82" t="n"/>
      <c r="F191" s="82" t="n"/>
      <c r="G191" s="82" t="n"/>
      <c r="H191" s="82" t="n"/>
      <c r="J191" s="82" t="n"/>
      <c r="K191" s="82" t="n"/>
      <c r="L191" s="82" t="n"/>
      <c r="M191" s="82" t="n"/>
      <c r="N191" s="82" t="n"/>
      <c r="O191" s="82" t="n"/>
    </row>
    <row r="192">
      <c r="A192" s="82" t="n"/>
      <c r="B192" s="82" t="n"/>
      <c r="C192" s="82" t="n"/>
      <c r="D192" s="82" t="n"/>
      <c r="E192" s="82" t="n"/>
      <c r="F192" s="82" t="n"/>
      <c r="G192" s="82" t="n"/>
      <c r="H192" s="82" t="n"/>
      <c r="J192" s="82" t="n"/>
      <c r="K192" s="82" t="n"/>
      <c r="L192" s="82" t="n"/>
      <c r="M192" s="82" t="n"/>
      <c r="N192" s="82" t="n"/>
      <c r="O192" s="82" t="n"/>
    </row>
    <row r="193">
      <c r="A193" s="82" t="n"/>
      <c r="B193" s="82" t="n"/>
      <c r="C193" s="82" t="n"/>
      <c r="D193" s="82" t="n"/>
      <c r="E193" s="82" t="n"/>
      <c r="F193" s="82" t="n"/>
      <c r="G193" s="82" t="n"/>
      <c r="H193" s="82" t="n"/>
      <c r="J193" s="82" t="n"/>
      <c r="K193" s="82" t="n"/>
      <c r="L193" s="82" t="n"/>
      <c r="M193" s="82" t="n"/>
      <c r="N193" s="82" t="n"/>
      <c r="O193" s="82" t="n"/>
    </row>
    <row r="194">
      <c r="A194" s="82" t="n"/>
      <c r="B194" s="82" t="n"/>
      <c r="C194" s="82" t="n"/>
      <c r="D194" s="82" t="n"/>
      <c r="E194" s="82" t="n"/>
      <c r="F194" s="82" t="n"/>
      <c r="G194" s="82" t="n"/>
      <c r="H194" s="82" t="n"/>
      <c r="J194" s="82" t="n"/>
      <c r="K194" s="82" t="n"/>
      <c r="L194" s="82" t="n"/>
      <c r="M194" s="82" t="n"/>
      <c r="N194" s="82" t="n"/>
      <c r="O194" s="82" t="n"/>
    </row>
    <row r="195">
      <c r="A195" s="82" t="n"/>
      <c r="B195" s="82" t="n"/>
      <c r="C195" s="82" t="n"/>
      <c r="D195" s="82" t="n"/>
      <c r="E195" s="82" t="n"/>
      <c r="F195" s="82" t="n"/>
      <c r="G195" s="82" t="n"/>
      <c r="H195" s="82" t="n"/>
      <c r="J195" s="82" t="n"/>
      <c r="K195" s="82" t="n"/>
      <c r="L195" s="82" t="n"/>
      <c r="M195" s="82" t="n"/>
      <c r="N195" s="82" t="n"/>
      <c r="O195" s="82" t="n"/>
    </row>
    <row r="196">
      <c r="A196" s="82" t="n"/>
      <c r="B196" s="82" t="n"/>
      <c r="C196" s="82" t="n"/>
      <c r="D196" s="82" t="n"/>
      <c r="E196" s="82" t="n"/>
      <c r="F196" s="82" t="n"/>
      <c r="G196" s="82" t="n"/>
      <c r="H196" s="82" t="n"/>
      <c r="J196" s="82" t="n"/>
      <c r="K196" s="82" t="n"/>
      <c r="L196" s="82" t="n"/>
      <c r="M196" s="82" t="n"/>
      <c r="N196" s="82" t="n"/>
      <c r="O196" s="82" t="n"/>
    </row>
    <row r="197">
      <c r="A197" s="82" t="n"/>
      <c r="B197" s="82" t="n"/>
      <c r="C197" s="82" t="n"/>
      <c r="D197" s="82" t="n"/>
      <c r="E197" s="82" t="n"/>
      <c r="F197" s="82" t="n"/>
      <c r="G197" s="82" t="n"/>
      <c r="H197" s="82" t="n"/>
      <c r="J197" s="82" t="n"/>
      <c r="K197" s="82" t="n"/>
      <c r="L197" s="82" t="n"/>
      <c r="M197" s="82" t="n"/>
      <c r="N197" s="82" t="n"/>
      <c r="O197" s="82" t="n"/>
    </row>
    <row r="198">
      <c r="A198" s="82" t="n"/>
      <c r="B198" s="82" t="n"/>
      <c r="C198" s="82" t="n"/>
      <c r="D198" s="82" t="n"/>
      <c r="E198" s="82" t="n"/>
      <c r="F198" s="82" t="n"/>
      <c r="G198" s="82" t="n"/>
      <c r="H198" s="82" t="n"/>
      <c r="J198" s="82" t="n"/>
      <c r="K198" s="82" t="n"/>
      <c r="L198" s="82" t="n"/>
      <c r="M198" s="82" t="n"/>
      <c r="N198" s="82" t="n"/>
      <c r="O198" s="82" t="n"/>
    </row>
    <row r="199">
      <c r="A199" s="82" t="n"/>
      <c r="B199" s="82" t="n"/>
      <c r="C199" s="82" t="n"/>
      <c r="D199" s="82" t="n"/>
      <c r="E199" s="82" t="n"/>
      <c r="F199" s="82" t="n"/>
      <c r="G199" s="82" t="n"/>
      <c r="H199" s="82" t="n"/>
      <c r="J199" s="82" t="n"/>
      <c r="K199" s="82" t="n"/>
      <c r="L199" s="82" t="n"/>
      <c r="M199" s="82" t="n"/>
      <c r="N199" s="82" t="n"/>
      <c r="O199" s="82" t="n"/>
    </row>
    <row r="200">
      <c r="A200" s="82" t="n"/>
      <c r="B200" s="82" t="n"/>
      <c r="C200" s="82" t="n"/>
      <c r="D200" s="82" t="n"/>
      <c r="E200" s="82" t="n"/>
      <c r="F200" s="82" t="n"/>
      <c r="G200" s="82" t="n"/>
      <c r="H200" s="82" t="n"/>
      <c r="J200" s="82" t="n"/>
      <c r="K200" s="82" t="n"/>
      <c r="L200" s="82" t="n"/>
      <c r="M200" s="82" t="n"/>
      <c r="N200" s="82" t="n"/>
      <c r="O200" s="82" t="n"/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autoFilter ref="A4:O19"/>
  <mergeCells count="2">
    <mergeCell ref="A1:O1"/>
    <mergeCell ref="A2:O2"/>
  </mergeCells>
  <pageMargins left="0.4" right="0.4" top="0.6" bottom="0.5" header="0.25" footer="0.25"/>
  <pageSetup orientation="landscape" paperSize="3" fitToHeight="0" fitToWidth="1"/>
  <headerFooter>
    <oddHeader>&amp;LNovality Store  ·  Home Renovation System&amp;RInventory</oddHeader>
    <oddFooter>&amp;LConfidential  ·  Digital twin of the home&amp;RPage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rgb="00719B7A"/>
    <outlinePr summaryBelow="1" summaryRight="1"/>
    <pageSetUpPr fitToPage="1"/>
  </sheetPr>
  <dimension ref="A1:N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2" customWidth="1" min="4" max="4"/>
    <col width="12" customWidth="1" min="5" max="5"/>
    <col width="14" customWidth="1" min="6" max="6"/>
    <col width="12" customWidth="1" min="7" max="7"/>
    <col width="20" customWidth="1" min="8" max="8"/>
    <col width="12" customWidth="1" min="9" max="9"/>
    <col width="12" customWidth="1" min="10" max="10"/>
    <col width="12" customWidth="1" min="11" max="11"/>
    <col width="28" customWidth="1" min="12" max="12"/>
    <col width="14" customWidth="1" min="13" max="13"/>
    <col width="16" customWidth="1" min="14" max="14"/>
  </cols>
  <sheetData>
    <row r="1" ht="28" customHeight="1">
      <c r="A1" s="1" t="inlineStr">
        <is>
          <t>MAINTENANCE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8" customHeight="1">
      <c r="A2" s="3" t="inlineStr">
        <is>
          <t>The system does not end at handover  ·  HVAC, roof, warranties, pest, water, solar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 ht="22" customHeight="1">
      <c r="A4" s="66" t="inlineStr">
        <is>
          <t>Maint ID</t>
        </is>
      </c>
      <c r="B4" s="66" t="inlineStr">
        <is>
          <t>Item / System</t>
        </is>
      </c>
      <c r="C4" s="66" t="inlineStr">
        <is>
          <t>Room / Location</t>
        </is>
      </c>
      <c r="D4" s="66" t="inlineStr">
        <is>
          <t>Type</t>
        </is>
      </c>
      <c r="E4" s="66" t="inlineStr">
        <is>
          <t>Frequency</t>
        </is>
      </c>
      <c r="F4" s="66" t="inlineStr">
        <is>
          <t>Last Service</t>
        </is>
      </c>
      <c r="G4" s="66" t="inlineStr">
        <is>
          <t>Next Due</t>
        </is>
      </c>
      <c r="H4" s="66" t="inlineStr">
        <is>
          <t>Vendor</t>
        </is>
      </c>
      <c r="I4" s="66" t="inlineStr">
        <is>
          <t>Est. Cost</t>
        </is>
      </c>
      <c r="J4" s="66" t="inlineStr">
        <is>
          <t>Status</t>
        </is>
      </c>
      <c r="K4" s="66" t="inlineStr">
        <is>
          <t>Remind (days)</t>
        </is>
      </c>
      <c r="L4" s="66" t="inlineStr">
        <is>
          <t>Notes</t>
        </is>
      </c>
      <c r="M4" s="66" t="inlineStr">
        <is>
          <t>Days Until Due</t>
        </is>
      </c>
      <c r="N4" s="66" t="inlineStr">
        <is>
          <t>Reminder</t>
        </is>
      </c>
    </row>
    <row r="5" ht="18" customHeight="1">
      <c r="A5" s="67" t="inlineStr">
        <is>
          <t>MNT-001</t>
        </is>
      </c>
      <c r="B5" s="67" t="inlineStr">
        <is>
          <t>HVAC furnace service</t>
        </is>
      </c>
      <c r="C5" s="67" t="inlineStr">
        <is>
          <t>Laundry / mech</t>
        </is>
      </c>
      <c r="D5" s="67" t="inlineStr">
        <is>
          <t>HVAC</t>
        </is>
      </c>
      <c r="E5" s="68" t="inlineStr">
        <is>
          <t>Annual</t>
        </is>
      </c>
      <c r="F5" s="69" t="n">
        <v>45942</v>
      </c>
      <c r="G5" s="69" t="n">
        <v>46307</v>
      </c>
      <c r="H5" s="67" t="inlineStr">
        <is>
          <t>Allied Heating</t>
        </is>
      </c>
      <c r="I5" s="71" t="n">
        <v>180</v>
      </c>
      <c r="J5" s="67" t="inlineStr">
        <is>
          <t>Upcoming</t>
        </is>
      </c>
      <c r="K5" s="68" t="n">
        <v>14</v>
      </c>
      <c r="L5" s="68" t="inlineStr">
        <is>
          <t>Replace filter at service</t>
        </is>
      </c>
      <c r="M5" s="113">
        <f>IF(OR($A5="",$G5=""),"",$G5-AsOfDate)</f>
        <v/>
      </c>
      <c r="N5" s="113">
        <f>IF($A5="","",IF($J5="Complete","—",IF($G5&lt;AsOfDate,"🔔 OVERDUE",IF($G5&lt;=AsOfDate+$K5,"🔔 Due soon","OK"))))</f>
        <v/>
      </c>
    </row>
    <row r="6" ht="18" customHeight="1">
      <c r="A6" s="75" t="inlineStr">
        <is>
          <t>MNT-002</t>
        </is>
      </c>
      <c r="B6" s="75" t="inlineStr">
        <is>
          <t>Heat-pump water heater flush</t>
        </is>
      </c>
      <c r="C6" s="75" t="inlineStr">
        <is>
          <t>Laundry / mech</t>
        </is>
      </c>
      <c r="D6" s="75" t="inlineStr">
        <is>
          <t>Plumbing</t>
        </is>
      </c>
      <c r="E6" s="76" t="inlineStr">
        <is>
          <t>Annual</t>
        </is>
      </c>
      <c r="F6" s="77" t="n">
        <v>45698</v>
      </c>
      <c r="G6" s="77" t="n">
        <v>46275</v>
      </c>
      <c r="H6" s="75" t="inlineStr">
        <is>
          <t>Pacific Plumbing</t>
        </is>
      </c>
      <c r="I6" s="79" t="n">
        <v>140</v>
      </c>
      <c r="J6" s="75" t="inlineStr">
        <is>
          <t>Due Soon</t>
        </is>
      </c>
      <c r="K6" s="76" t="n">
        <v>14</v>
      </c>
      <c r="L6" s="76" t="inlineStr">
        <is>
          <t>Check anode</t>
        </is>
      </c>
      <c r="M6" s="113">
        <f>IF(OR($A6="",$G6=""),"",$G6-AsOfDate)</f>
        <v/>
      </c>
      <c r="N6" s="113">
        <f>IF($A6="","",IF($J6="Complete","—",IF($G6&lt;AsOfDate,"🔔 OVERDUE",IF($G6&lt;=AsOfDate+$K6,"🔔 Due soon","OK"))))</f>
        <v/>
      </c>
    </row>
    <row r="7" ht="18" customHeight="1">
      <c r="A7" s="67" t="inlineStr">
        <is>
          <t>MNT-003</t>
        </is>
      </c>
      <c r="B7" s="67" t="inlineStr">
        <is>
          <t>Gutter clean + roof walk</t>
        </is>
      </c>
      <c r="C7" s="67" t="inlineStr">
        <is>
          <t>Exterior</t>
        </is>
      </c>
      <c r="D7" s="67" t="inlineStr">
        <is>
          <t>Envelope</t>
        </is>
      </c>
      <c r="E7" s="68" t="inlineStr">
        <is>
          <t>Biannual</t>
        </is>
      </c>
      <c r="F7" s="69" t="n">
        <v>46114</v>
      </c>
      <c r="G7" s="69" t="n">
        <v>46310</v>
      </c>
      <c r="H7" s="67" t="inlineStr">
        <is>
          <t>Ironwood / roofer</t>
        </is>
      </c>
      <c r="I7" s="71" t="n">
        <v>220</v>
      </c>
      <c r="J7" s="67" t="inlineStr">
        <is>
          <t>Upcoming</t>
        </is>
      </c>
      <c r="K7" s="68" t="n">
        <v>14</v>
      </c>
      <c r="L7" s="68" t="inlineStr">
        <is>
          <t>After leaf drop</t>
        </is>
      </c>
      <c r="M7" s="113">
        <f>IF(OR($A7="",$G7=""),"",$G7-AsOfDate)</f>
        <v/>
      </c>
      <c r="N7" s="113">
        <f>IF($A7="","",IF($J7="Complete","—",IF($G7&lt;AsOfDate,"🔔 OVERDUE",IF($G7&lt;=AsOfDate+$K7,"🔔 Due soon","OK"))))</f>
        <v/>
      </c>
    </row>
    <row r="8" ht="18" customHeight="1">
      <c r="A8" s="75" t="inlineStr">
        <is>
          <t>MNT-004</t>
        </is>
      </c>
      <c r="B8" s="75" t="inlineStr">
        <is>
          <t>Paint touch-up interior</t>
        </is>
      </c>
      <c r="C8" s="75" t="inlineStr">
        <is>
          <t>Whole home</t>
        </is>
      </c>
      <c r="D8" s="75" t="inlineStr">
        <is>
          <t>Finishes</t>
        </is>
      </c>
      <c r="E8" s="76" t="inlineStr">
        <is>
          <t>As needed</t>
        </is>
      </c>
      <c r="F8" s="77" t="n"/>
      <c r="G8" s="77" t="n">
        <v>46346</v>
      </c>
      <c r="H8" s="75" t="inlineStr">
        <is>
          <t>Greenfield Painting</t>
        </is>
      </c>
      <c r="I8" s="79" t="n">
        <v>0</v>
      </c>
      <c r="J8" s="75" t="inlineStr">
        <is>
          <t>Upcoming</t>
        </is>
      </c>
      <c r="K8" s="76" t="n">
        <v>7</v>
      </c>
      <c r="L8" s="76" t="inlineStr">
        <is>
          <t>Leave labeled quarts</t>
        </is>
      </c>
      <c r="M8" s="113">
        <f>IF(OR($A8="",$G8=""),"",$G8-AsOfDate)</f>
        <v/>
      </c>
      <c r="N8" s="113">
        <f>IF($A8="","",IF($J8="Complete","—",IF($G8&lt;AsOfDate,"🔔 OVERDUE",IF($G8&lt;=AsOfDate+$K8,"🔔 Due soon","OK"))))</f>
        <v/>
      </c>
    </row>
    <row r="9" ht="18" customHeight="1">
      <c r="A9" s="67" t="inlineStr">
        <is>
          <t>MNT-005</t>
        </is>
      </c>
      <c r="B9" s="67" t="inlineStr">
        <is>
          <t>Pest control</t>
        </is>
      </c>
      <c r="C9" s="67" t="inlineStr">
        <is>
          <t>Exterior</t>
        </is>
      </c>
      <c r="D9" s="67" t="inlineStr">
        <is>
          <t>Pest</t>
        </is>
      </c>
      <c r="E9" s="68" t="inlineStr">
        <is>
          <t>Quarterly</t>
        </is>
      </c>
      <c r="F9" s="69" t="n">
        <v>46174</v>
      </c>
      <c r="G9" s="69" t="n">
        <v>46266</v>
      </c>
      <c r="H9" s="67" t="inlineStr">
        <is>
          <t>Oregon Pest</t>
        </is>
      </c>
      <c r="I9" s="71" t="n">
        <v>95</v>
      </c>
      <c r="J9" s="67" t="inlineStr">
        <is>
          <t>Due Soon</t>
        </is>
      </c>
      <c r="K9" s="68" t="n">
        <v>7</v>
      </c>
      <c r="L9" s="68" t="inlineStr"/>
      <c r="M9" s="113">
        <f>IF(OR($A9="",$G9=""),"",$G9-AsOfDate)</f>
        <v/>
      </c>
      <c r="N9" s="113">
        <f>IF($A9="","",IF($J9="Complete","—",IF($G9&lt;AsOfDate,"🔔 OVERDUE",IF($G9&lt;=AsOfDate+$K9,"🔔 Due soon","OK"))))</f>
        <v/>
      </c>
    </row>
    <row r="10" ht="18" customHeight="1">
      <c r="A10" s="75" t="inlineStr">
        <is>
          <t>MNT-006</t>
        </is>
      </c>
      <c r="B10" s="75" t="inlineStr">
        <is>
          <t>Radiant floor test</t>
        </is>
      </c>
      <c r="C10" s="75" t="inlineStr">
        <is>
          <t>RM-03</t>
        </is>
      </c>
      <c r="D10" s="75" t="inlineStr">
        <is>
          <t>Electrical</t>
        </is>
      </c>
      <c r="E10" s="76" t="inlineStr">
        <is>
          <t>Annual</t>
        </is>
      </c>
      <c r="F10" s="77" t="n">
        <v>46209</v>
      </c>
      <c r="G10" s="77" t="n">
        <v>46574</v>
      </c>
      <c r="H10" s="75" t="inlineStr">
        <is>
          <t>WarmFloor / NWE</t>
        </is>
      </c>
      <c r="I10" s="79" t="n">
        <v>0</v>
      </c>
      <c r="J10" s="75" t="inlineStr">
        <is>
          <t>Upcoming</t>
        </is>
      </c>
      <c r="K10" s="76" t="n">
        <v>30</v>
      </c>
      <c r="L10" s="76" t="inlineStr">
        <is>
          <t>First winter check</t>
        </is>
      </c>
      <c r="M10" s="113">
        <f>IF(OR($A10="",$G10=""),"",$G10-AsOfDate)</f>
        <v/>
      </c>
      <c r="N10" s="113">
        <f>IF($A10="","",IF($J10="Complete","—",IF($G10&lt;AsOfDate,"🔔 OVERDUE",IF($G10&lt;=AsOfDate+$K10,"🔔 Due soon","OK"))))</f>
        <v/>
      </c>
    </row>
    <row r="11" ht="18" customHeight="1">
      <c r="A11" s="67" t="inlineStr">
        <is>
          <t>MNT-007</t>
        </is>
      </c>
      <c r="B11" s="67" t="inlineStr">
        <is>
          <t>Appliance warranty photo set</t>
        </is>
      </c>
      <c r="C11" s="67" t="inlineStr">
        <is>
          <t>RM-01</t>
        </is>
      </c>
      <c r="D11" s="67" t="inlineStr">
        <is>
          <t>Appliance</t>
        </is>
      </c>
      <c r="E11" s="68" t="inlineStr">
        <is>
          <t>Once</t>
        </is>
      </c>
      <c r="F11" s="69" t="n"/>
      <c r="G11" s="69" t="n">
        <v>46285</v>
      </c>
      <c r="H11" s="67" t="inlineStr">
        <is>
          <t>Alex Rivera</t>
        </is>
      </c>
      <c r="I11" s="71" t="n">
        <v>0</v>
      </c>
      <c r="J11" s="67" t="inlineStr">
        <is>
          <t>Upcoming</t>
        </is>
      </c>
      <c r="K11" s="68" t="n">
        <v>3</v>
      </c>
      <c r="L11" s="68" t="inlineStr">
        <is>
          <t>After delivery</t>
        </is>
      </c>
      <c r="M11" s="113">
        <f>IF(OR($A11="",$G11=""),"",$G11-AsOfDate)</f>
        <v/>
      </c>
      <c r="N11" s="113">
        <f>IF($A11="","",IF($J11="Complete","—",IF($G11&lt;AsOfDate,"🔔 OVERDUE",IF($G11&lt;=AsOfDate+$K11,"🔔 Due soon","OK"))))</f>
        <v/>
      </c>
    </row>
    <row r="12" ht="18" customHeight="1">
      <c r="A12" s="75" t="inlineStr">
        <is>
          <t>MNT-008</t>
        </is>
      </c>
      <c r="B12" s="75" t="inlineStr">
        <is>
          <t>Smoke / CO test</t>
        </is>
      </c>
      <c r="C12" s="75" t="inlineStr">
        <is>
          <t>Whole home</t>
        </is>
      </c>
      <c r="D12" s="75" t="inlineStr">
        <is>
          <t>Safety</t>
        </is>
      </c>
      <c r="E12" s="76" t="inlineStr">
        <is>
          <t>Monthly</t>
        </is>
      </c>
      <c r="F12" s="77" t="n">
        <v>46235</v>
      </c>
      <c r="G12" s="77" t="n">
        <v>46266</v>
      </c>
      <c r="H12" s="75" t="inlineStr">
        <is>
          <t>Alex Rivera</t>
        </is>
      </c>
      <c r="I12" s="79" t="n">
        <v>0</v>
      </c>
      <c r="J12" s="75" t="inlineStr">
        <is>
          <t>Upcoming</t>
        </is>
      </c>
      <c r="K12" s="76" t="n">
        <v>3</v>
      </c>
      <c r="L12" s="76" t="inlineStr"/>
      <c r="M12" s="113">
        <f>IF(OR($A12="",$G12=""),"",$G12-AsOfDate)</f>
        <v/>
      </c>
      <c r="N12" s="113">
        <f>IF($A12="","",IF($J12="Complete","—",IF($G12&lt;AsOfDate,"🔔 OVERDUE",IF($G12&lt;=AsOfDate+$K12,"🔔 Due soon","OK"))))</f>
        <v/>
      </c>
    </row>
    <row r="13" ht="18" customHeight="1">
      <c r="A13" s="67" t="inlineStr">
        <is>
          <t>MNT-009</t>
        </is>
      </c>
      <c r="B13" s="67" t="inlineStr">
        <is>
          <t>Cabin water filter elements</t>
        </is>
      </c>
      <c r="C13" s="67" t="inlineStr">
        <is>
          <t>PROP-002</t>
        </is>
      </c>
      <c r="D13" s="67" t="inlineStr">
        <is>
          <t>Plumbing</t>
        </is>
      </c>
      <c r="E13" s="68" t="inlineStr">
        <is>
          <t>Annual</t>
        </is>
      </c>
      <c r="F13" s="69" t="n">
        <v>45962</v>
      </c>
      <c r="G13" s="69" t="n">
        <v>46327</v>
      </c>
      <c r="H13" s="67" t="inlineStr">
        <is>
          <t>Alex Rivera</t>
        </is>
      </c>
      <c r="I13" s="71" t="n">
        <v>60</v>
      </c>
      <c r="J13" s="67" t="inlineStr">
        <is>
          <t>Upcoming</t>
        </is>
      </c>
      <c r="K13" s="68" t="n">
        <v>14</v>
      </c>
      <c r="L13" s="68" t="inlineStr"/>
      <c r="M13" s="113">
        <f>IF(OR($A13="",$G13=""),"",$G13-AsOfDate)</f>
        <v/>
      </c>
      <c r="N13" s="113">
        <f>IF($A13="","",IF($J13="Complete","—",IF($G13&lt;AsOfDate,"🔔 OVERDUE",IF($G13&lt;=AsOfDate+$K13,"🔔 Due soon","OK"))))</f>
        <v/>
      </c>
    </row>
    <row r="14" ht="18" customHeight="1">
      <c r="A14" s="75" t="inlineStr">
        <is>
          <t>MNT-010</t>
        </is>
      </c>
      <c r="B14" s="75" t="inlineStr">
        <is>
          <t>Window weatherstrip</t>
        </is>
      </c>
      <c r="C14" s="75" t="inlineStr">
        <is>
          <t>Whole home</t>
        </is>
      </c>
      <c r="D14" s="75" t="inlineStr">
        <is>
          <t>Envelope</t>
        </is>
      </c>
      <c r="E14" s="76" t="inlineStr">
        <is>
          <t>Annual</t>
        </is>
      </c>
      <c r="F14" s="77" t="n">
        <v>45976</v>
      </c>
      <c r="G14" s="77" t="n">
        <v>46336</v>
      </c>
      <c r="H14" s="75" t="inlineStr">
        <is>
          <t>Ironwood</t>
        </is>
      </c>
      <c r="I14" s="79" t="n">
        <v>160</v>
      </c>
      <c r="J14" s="75" t="inlineStr">
        <is>
          <t>Upcoming</t>
        </is>
      </c>
      <c r="K14" s="76" t="n">
        <v>14</v>
      </c>
      <c r="L14" s="76" t="inlineStr">
        <is>
          <t>Before handover winter</t>
        </is>
      </c>
      <c r="M14" s="113">
        <f>IF(OR($A14="",$G14=""),"",$G14-AsOfDate)</f>
        <v/>
      </c>
      <c r="N14" s="113">
        <f>IF($A14="","",IF($J14="Complete","—",IF($G14&lt;AsOfDate,"🔔 OVERDUE",IF($G14&lt;=AsOfDate+$K14,"🔔 Due soon","OK"))))</f>
        <v/>
      </c>
    </row>
    <row r="15" ht="18" customHeight="1">
      <c r="A15" s="67" t="inlineStr">
        <is>
          <t>MNT-011</t>
        </is>
      </c>
      <c r="B15" s="67" t="inlineStr">
        <is>
          <t>Irrigation blowout</t>
        </is>
      </c>
      <c r="C15" s="67" t="inlineStr">
        <is>
          <t>RM-06</t>
        </is>
      </c>
      <c r="D15" s="67" t="inlineStr">
        <is>
          <t>Landscape</t>
        </is>
      </c>
      <c r="E15" s="68" t="inlineStr">
        <is>
          <t>Annual</t>
        </is>
      </c>
      <c r="F15" s="69" t="n">
        <v>45950</v>
      </c>
      <c r="G15" s="69" t="n">
        <v>46315</v>
      </c>
      <c r="H15" s="67" t="inlineStr">
        <is>
          <t>Garden &amp; Gate</t>
        </is>
      </c>
      <c r="I15" s="71" t="n">
        <v>120</v>
      </c>
      <c r="J15" s="67" t="inlineStr">
        <is>
          <t>Upcoming</t>
        </is>
      </c>
      <c r="K15" s="68" t="n">
        <v>14</v>
      </c>
      <c r="L15" s="68" t="inlineStr">
        <is>
          <t>After path work</t>
        </is>
      </c>
      <c r="M15" s="113">
        <f>IF(OR($A15="",$G15=""),"",$G15-AsOfDate)</f>
        <v/>
      </c>
      <c r="N15" s="113">
        <f>IF($A15="","",IF($J15="Complete","—",IF($G15&lt;AsOfDate,"🔔 OVERDUE",IF($G15&lt;=AsOfDate+$K15,"🔔 Due soon","OK"))))</f>
        <v/>
      </c>
    </row>
    <row r="16" ht="18" customHeight="1">
      <c r="A16" s="75" t="inlineStr">
        <is>
          <t>MNT-012</t>
        </is>
      </c>
      <c r="B16" s="75" t="inlineStr">
        <is>
          <t>Grout seal — primary bath</t>
        </is>
      </c>
      <c r="C16" s="75" t="inlineStr">
        <is>
          <t>RM-03</t>
        </is>
      </c>
      <c r="D16" s="75" t="inlineStr">
        <is>
          <t>Tile</t>
        </is>
      </c>
      <c r="E16" s="76" t="inlineStr">
        <is>
          <t>Annual</t>
        </is>
      </c>
      <c r="F16" s="77" t="n">
        <v>46246</v>
      </c>
      <c r="G16" s="77" t="n">
        <v>46611</v>
      </c>
      <c r="H16" s="75" t="inlineStr">
        <is>
          <t>Heritage Tile</t>
        </is>
      </c>
      <c r="I16" s="79" t="n">
        <v>0</v>
      </c>
      <c r="J16" s="75" t="inlineStr">
        <is>
          <t>Complete</t>
        </is>
      </c>
      <c r="K16" s="76" t="n">
        <v>30</v>
      </c>
      <c r="L16" s="76" t="inlineStr">
        <is>
          <t>Sealed at install</t>
        </is>
      </c>
      <c r="M16" s="113">
        <f>IF(OR($A16="",$G16=""),"",$G16-AsOfDate)</f>
        <v/>
      </c>
      <c r="N16" s="113">
        <f>IF($A16="","",IF($J16="Complete","—",IF($G16&lt;AsOfDate,"🔔 OVERDUE",IF($G16&lt;=AsOfDate+$K16,"🔔 Due soon","OK"))))</f>
        <v/>
      </c>
    </row>
    <row r="17">
      <c r="A17" s="82" t="n"/>
      <c r="B17" s="82" t="n"/>
      <c r="C17" s="82" t="n"/>
      <c r="D17" s="82" t="n"/>
      <c r="E17" s="82" t="n"/>
      <c r="F17" s="82" t="n"/>
      <c r="G17" s="82" t="n"/>
      <c r="H17" s="82" t="n"/>
      <c r="I17" s="82" t="n"/>
      <c r="J17" s="82" t="n"/>
      <c r="K17" s="82" t="n"/>
      <c r="L17" s="82" t="n"/>
    </row>
    <row r="18">
      <c r="A18" s="82" t="n"/>
      <c r="B18" s="82" t="n"/>
      <c r="C18" s="82" t="n"/>
      <c r="D18" s="82" t="n"/>
      <c r="E18" s="82" t="n"/>
      <c r="F18" s="82" t="n"/>
      <c r="G18" s="82" t="n"/>
      <c r="H18" s="82" t="n"/>
      <c r="I18" s="82" t="n"/>
      <c r="J18" s="82" t="n"/>
      <c r="K18" s="82" t="n"/>
      <c r="L18" s="82" t="n"/>
    </row>
    <row r="19">
      <c r="A19" s="82" t="n"/>
      <c r="B19" s="82" t="n"/>
      <c r="C19" s="82" t="n"/>
      <c r="D19" s="82" t="n"/>
      <c r="E19" s="82" t="n"/>
      <c r="F19" s="82" t="n"/>
      <c r="G19" s="82" t="n"/>
      <c r="H19" s="82" t="n"/>
      <c r="I19" s="82" t="n"/>
      <c r="J19" s="82" t="n"/>
      <c r="K19" s="82" t="n"/>
      <c r="L19" s="82" t="n"/>
    </row>
    <row r="20">
      <c r="A20" s="82" t="n"/>
      <c r="B20" s="82" t="n"/>
      <c r="C20" s="82" t="n"/>
      <c r="D20" s="82" t="n"/>
      <c r="E20" s="82" t="n"/>
      <c r="F20" s="82" t="n"/>
      <c r="G20" s="82" t="n"/>
      <c r="H20" s="82" t="n"/>
      <c r="I20" s="82" t="n"/>
      <c r="J20" s="82" t="n"/>
      <c r="K20" s="82" t="n"/>
      <c r="L20" s="82" t="n"/>
    </row>
    <row r="21">
      <c r="A21" s="82" t="n"/>
      <c r="B21" s="82" t="n"/>
      <c r="C21" s="82" t="n"/>
      <c r="D21" s="82" t="n"/>
      <c r="E21" s="82" t="n"/>
      <c r="F21" s="82" t="n"/>
      <c r="G21" s="82" t="n"/>
      <c r="H21" s="82" t="n"/>
      <c r="I21" s="82" t="n"/>
      <c r="J21" s="82" t="n"/>
      <c r="K21" s="82" t="n"/>
      <c r="L21" s="82" t="n"/>
    </row>
    <row r="22">
      <c r="A22" s="82" t="n"/>
      <c r="B22" s="82" t="n"/>
      <c r="C22" s="82" t="n"/>
      <c r="D22" s="82" t="n"/>
      <c r="E22" s="82" t="n"/>
      <c r="F22" s="82" t="n"/>
      <c r="G22" s="82" t="n"/>
      <c r="H22" s="82" t="n"/>
      <c r="I22" s="82" t="n"/>
      <c r="J22" s="82" t="n"/>
      <c r="K22" s="82" t="n"/>
      <c r="L22" s="82" t="n"/>
    </row>
    <row r="23">
      <c r="A23" s="82" t="n"/>
      <c r="B23" s="82" t="n"/>
      <c r="C23" s="82" t="n"/>
      <c r="D23" s="82" t="n"/>
      <c r="E23" s="82" t="n"/>
      <c r="F23" s="82" t="n"/>
      <c r="G23" s="82" t="n"/>
      <c r="H23" s="82" t="n"/>
      <c r="I23" s="82" t="n"/>
      <c r="J23" s="82" t="n"/>
      <c r="K23" s="82" t="n"/>
      <c r="L23" s="82" t="n"/>
    </row>
    <row r="24">
      <c r="A24" s="82" t="n"/>
      <c r="B24" s="82" t="n"/>
      <c r="C24" s="82" t="n"/>
      <c r="D24" s="82" t="n"/>
      <c r="E24" s="82" t="n"/>
      <c r="F24" s="82" t="n"/>
      <c r="G24" s="82" t="n"/>
      <c r="H24" s="82" t="n"/>
      <c r="I24" s="82" t="n"/>
      <c r="J24" s="82" t="n"/>
      <c r="K24" s="82" t="n"/>
      <c r="L24" s="82" t="n"/>
    </row>
    <row r="25">
      <c r="A25" s="82" t="n"/>
      <c r="B25" s="82" t="n"/>
      <c r="C25" s="82" t="n"/>
      <c r="D25" s="82" t="n"/>
      <c r="E25" s="82" t="n"/>
      <c r="F25" s="82" t="n"/>
      <c r="G25" s="82" t="n"/>
      <c r="H25" s="82" t="n"/>
      <c r="I25" s="82" t="n"/>
      <c r="J25" s="82" t="n"/>
      <c r="K25" s="82" t="n"/>
      <c r="L25" s="82" t="n"/>
    </row>
    <row r="26">
      <c r="A26" s="82" t="n"/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  <c r="L26" s="82" t="n"/>
    </row>
    <row r="27">
      <c r="A27" s="82" t="n"/>
      <c r="B27" s="82" t="n"/>
      <c r="C27" s="82" t="n"/>
      <c r="D27" s="82" t="n"/>
      <c r="E27" s="82" t="n"/>
      <c r="F27" s="82" t="n"/>
      <c r="G27" s="82" t="n"/>
      <c r="H27" s="82" t="n"/>
      <c r="I27" s="82" t="n"/>
      <c r="J27" s="82" t="n"/>
      <c r="K27" s="82" t="n"/>
      <c r="L27" s="82" t="n"/>
    </row>
    <row r="28">
      <c r="A28" s="82" t="n"/>
      <c r="B28" s="82" t="n"/>
      <c r="C28" s="82" t="n"/>
      <c r="D28" s="82" t="n"/>
      <c r="E28" s="82" t="n"/>
      <c r="F28" s="82" t="n"/>
      <c r="G28" s="82" t="n"/>
      <c r="H28" s="82" t="n"/>
      <c r="I28" s="82" t="n"/>
      <c r="J28" s="82" t="n"/>
      <c r="K28" s="82" t="n"/>
      <c r="L28" s="82" t="n"/>
    </row>
    <row r="29">
      <c r="A29" s="82" t="n"/>
      <c r="B29" s="82" t="n"/>
      <c r="C29" s="82" t="n"/>
      <c r="D29" s="82" t="n"/>
      <c r="E29" s="82" t="n"/>
      <c r="F29" s="82" t="n"/>
      <c r="G29" s="82" t="n"/>
      <c r="H29" s="82" t="n"/>
      <c r="I29" s="82" t="n"/>
      <c r="J29" s="82" t="n"/>
      <c r="K29" s="82" t="n"/>
      <c r="L29" s="82" t="n"/>
    </row>
    <row r="30">
      <c r="A30" s="82" t="n"/>
      <c r="B30" s="82" t="n"/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</row>
    <row r="31">
      <c r="A31" s="82" t="n"/>
      <c r="B31" s="82" t="n"/>
      <c r="C31" s="82" t="n"/>
      <c r="D31" s="82" t="n"/>
      <c r="E31" s="82" t="n"/>
      <c r="F31" s="82" t="n"/>
      <c r="G31" s="82" t="n"/>
      <c r="H31" s="82" t="n"/>
      <c r="I31" s="82" t="n"/>
      <c r="J31" s="82" t="n"/>
      <c r="K31" s="82" t="n"/>
      <c r="L31" s="82" t="n"/>
    </row>
    <row r="32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  <c r="L32" s="82" t="n"/>
    </row>
    <row r="33">
      <c r="A33" s="82" t="n"/>
      <c r="B33" s="82" t="n"/>
      <c r="C33" s="82" t="n"/>
      <c r="D33" s="82" t="n"/>
      <c r="E33" s="82" t="n"/>
      <c r="F33" s="82" t="n"/>
      <c r="G33" s="82" t="n"/>
      <c r="H33" s="82" t="n"/>
      <c r="I33" s="82" t="n"/>
      <c r="J33" s="82" t="n"/>
      <c r="K33" s="82" t="n"/>
      <c r="L33" s="82" t="n"/>
    </row>
    <row r="34">
      <c r="A34" s="82" t="n"/>
      <c r="B34" s="82" t="n"/>
      <c r="C34" s="82" t="n"/>
      <c r="D34" s="82" t="n"/>
      <c r="E34" s="82" t="n"/>
      <c r="F34" s="82" t="n"/>
      <c r="G34" s="82" t="n"/>
      <c r="H34" s="82" t="n"/>
      <c r="I34" s="82" t="n"/>
      <c r="J34" s="82" t="n"/>
      <c r="K34" s="82" t="n"/>
      <c r="L34" s="82" t="n"/>
    </row>
    <row r="35">
      <c r="A35" s="82" t="n"/>
      <c r="B35" s="82" t="n"/>
      <c r="C35" s="82" t="n"/>
      <c r="D35" s="82" t="n"/>
      <c r="E35" s="82" t="n"/>
      <c r="F35" s="82" t="n"/>
      <c r="G35" s="82" t="n"/>
      <c r="H35" s="82" t="n"/>
      <c r="I35" s="82" t="n"/>
      <c r="J35" s="82" t="n"/>
      <c r="K35" s="82" t="n"/>
      <c r="L35" s="82" t="n"/>
    </row>
    <row r="36">
      <c r="A36" s="82" t="n"/>
      <c r="B36" s="82" t="n"/>
      <c r="C36" s="82" t="n"/>
      <c r="D36" s="82" t="n"/>
      <c r="E36" s="82" t="n"/>
      <c r="F36" s="82" t="n"/>
      <c r="G36" s="82" t="n"/>
      <c r="H36" s="82" t="n"/>
      <c r="I36" s="82" t="n"/>
      <c r="J36" s="82" t="n"/>
      <c r="K36" s="82" t="n"/>
      <c r="L36" s="82" t="n"/>
    </row>
    <row r="37">
      <c r="A37" s="82" t="n"/>
      <c r="B37" s="82" t="n"/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  <c r="L37" s="82" t="n"/>
    </row>
    <row r="38">
      <c r="A38" s="82" t="n"/>
      <c r="B38" s="82" t="n"/>
      <c r="C38" s="82" t="n"/>
      <c r="D38" s="82" t="n"/>
      <c r="E38" s="82" t="n"/>
      <c r="F38" s="82" t="n"/>
      <c r="G38" s="82" t="n"/>
      <c r="H38" s="82" t="n"/>
      <c r="I38" s="82" t="n"/>
      <c r="J38" s="82" t="n"/>
      <c r="K38" s="82" t="n"/>
      <c r="L38" s="82" t="n"/>
    </row>
    <row r="39">
      <c r="A39" s="82" t="n"/>
      <c r="B39" s="82" t="n"/>
      <c r="C39" s="82" t="n"/>
      <c r="D39" s="82" t="n"/>
      <c r="E39" s="82" t="n"/>
      <c r="F39" s="82" t="n"/>
      <c r="G39" s="82" t="n"/>
      <c r="H39" s="82" t="n"/>
      <c r="I39" s="82" t="n"/>
      <c r="J39" s="82" t="n"/>
      <c r="K39" s="82" t="n"/>
      <c r="L39" s="82" t="n"/>
    </row>
    <row r="40">
      <c r="A40" s="82" t="n"/>
      <c r="B40" s="82" t="n"/>
      <c r="C40" s="82" t="n"/>
      <c r="D40" s="82" t="n"/>
      <c r="E40" s="82" t="n"/>
      <c r="F40" s="82" t="n"/>
      <c r="G40" s="82" t="n"/>
      <c r="H40" s="82" t="n"/>
      <c r="I40" s="82" t="n"/>
      <c r="J40" s="82" t="n"/>
      <c r="K40" s="82" t="n"/>
      <c r="L40" s="82" t="n"/>
    </row>
    <row r="41">
      <c r="A41" s="82" t="n"/>
      <c r="B41" s="82" t="n"/>
      <c r="C41" s="82" t="n"/>
      <c r="D41" s="82" t="n"/>
      <c r="E41" s="82" t="n"/>
      <c r="F41" s="82" t="n"/>
      <c r="G41" s="82" t="n"/>
      <c r="H41" s="82" t="n"/>
      <c r="I41" s="82" t="n"/>
      <c r="J41" s="82" t="n"/>
      <c r="K41" s="82" t="n"/>
      <c r="L41" s="82" t="n"/>
    </row>
    <row r="42">
      <c r="A42" s="82" t="n"/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  <c r="L42" s="82" t="n"/>
    </row>
    <row r="43">
      <c r="A43" s="82" t="n"/>
      <c r="B43" s="82" t="n"/>
      <c r="C43" s="82" t="n"/>
      <c r="D43" s="82" t="n"/>
      <c r="E43" s="82" t="n"/>
      <c r="F43" s="82" t="n"/>
      <c r="G43" s="82" t="n"/>
      <c r="H43" s="82" t="n"/>
      <c r="I43" s="82" t="n"/>
      <c r="J43" s="82" t="n"/>
      <c r="K43" s="82" t="n"/>
      <c r="L43" s="82" t="n"/>
    </row>
    <row r="44">
      <c r="A44" s="82" t="n"/>
      <c r="B44" s="82" t="n"/>
      <c r="C44" s="82" t="n"/>
      <c r="D44" s="82" t="n"/>
      <c r="E44" s="82" t="n"/>
      <c r="F44" s="82" t="n"/>
      <c r="G44" s="82" t="n"/>
      <c r="H44" s="82" t="n"/>
      <c r="I44" s="82" t="n"/>
      <c r="J44" s="82" t="n"/>
      <c r="K44" s="82" t="n"/>
      <c r="L44" s="82" t="n"/>
    </row>
    <row r="45">
      <c r="A45" s="82" t="n"/>
      <c r="B45" s="82" t="n"/>
      <c r="C45" s="82" t="n"/>
      <c r="D45" s="82" t="n"/>
      <c r="E45" s="82" t="n"/>
      <c r="F45" s="82" t="n"/>
      <c r="G45" s="82" t="n"/>
      <c r="H45" s="82" t="n"/>
      <c r="I45" s="82" t="n"/>
      <c r="J45" s="82" t="n"/>
      <c r="K45" s="82" t="n"/>
      <c r="L45" s="82" t="n"/>
    </row>
    <row r="46">
      <c r="A46" s="82" t="n"/>
      <c r="B46" s="82" t="n"/>
      <c r="C46" s="82" t="n"/>
      <c r="D46" s="82" t="n"/>
      <c r="E46" s="82" t="n"/>
      <c r="F46" s="82" t="n"/>
      <c r="G46" s="82" t="n"/>
      <c r="H46" s="82" t="n"/>
      <c r="I46" s="82" t="n"/>
      <c r="J46" s="82" t="n"/>
      <c r="K46" s="82" t="n"/>
      <c r="L46" s="82" t="n"/>
    </row>
    <row r="47">
      <c r="A47" s="82" t="n"/>
      <c r="B47" s="82" t="n"/>
      <c r="C47" s="82" t="n"/>
      <c r="D47" s="82" t="n"/>
      <c r="E47" s="82" t="n"/>
      <c r="F47" s="82" t="n"/>
      <c r="G47" s="82" t="n"/>
      <c r="H47" s="82" t="n"/>
      <c r="I47" s="82" t="n"/>
      <c r="J47" s="82" t="n"/>
      <c r="K47" s="82" t="n"/>
      <c r="L47" s="82" t="n"/>
    </row>
    <row r="48">
      <c r="A48" s="82" t="n"/>
      <c r="B48" s="82" t="n"/>
      <c r="C48" s="82" t="n"/>
      <c r="D48" s="82" t="n"/>
      <c r="E48" s="82" t="n"/>
      <c r="F48" s="82" t="n"/>
      <c r="G48" s="82" t="n"/>
      <c r="H48" s="82" t="n"/>
      <c r="I48" s="82" t="n"/>
      <c r="J48" s="82" t="n"/>
      <c r="K48" s="82" t="n"/>
      <c r="L48" s="82" t="n"/>
    </row>
    <row r="49">
      <c r="A49" s="82" t="n"/>
      <c r="B49" s="82" t="n"/>
      <c r="C49" s="82" t="n"/>
      <c r="D49" s="82" t="n"/>
      <c r="E49" s="82" t="n"/>
      <c r="F49" s="82" t="n"/>
      <c r="G49" s="82" t="n"/>
      <c r="H49" s="82" t="n"/>
      <c r="I49" s="82" t="n"/>
      <c r="J49" s="82" t="n"/>
      <c r="K49" s="82" t="n"/>
      <c r="L49" s="82" t="n"/>
    </row>
    <row r="50">
      <c r="A50" s="82" t="n"/>
      <c r="B50" s="82" t="n"/>
      <c r="C50" s="82" t="n"/>
      <c r="D50" s="82" t="n"/>
      <c r="E50" s="82" t="n"/>
      <c r="F50" s="82" t="n"/>
      <c r="G50" s="82" t="n"/>
      <c r="H50" s="82" t="n"/>
      <c r="I50" s="82" t="n"/>
      <c r="J50" s="82" t="n"/>
      <c r="K50" s="82" t="n"/>
      <c r="L50" s="82" t="n"/>
    </row>
    <row r="51">
      <c r="A51" s="82" t="n"/>
      <c r="B51" s="82" t="n"/>
      <c r="C51" s="82" t="n"/>
      <c r="D51" s="82" t="n"/>
      <c r="E51" s="82" t="n"/>
      <c r="F51" s="82" t="n"/>
      <c r="G51" s="82" t="n"/>
      <c r="H51" s="82" t="n"/>
      <c r="I51" s="82" t="n"/>
      <c r="J51" s="82" t="n"/>
      <c r="K51" s="82" t="n"/>
      <c r="L51" s="82" t="n"/>
    </row>
    <row r="52">
      <c r="A52" s="82" t="n"/>
      <c r="B52" s="82" t="n"/>
      <c r="C52" s="82" t="n"/>
      <c r="D52" s="82" t="n"/>
      <c r="E52" s="82" t="n"/>
      <c r="F52" s="82" t="n"/>
      <c r="G52" s="82" t="n"/>
      <c r="H52" s="82" t="n"/>
      <c r="I52" s="82" t="n"/>
      <c r="J52" s="82" t="n"/>
      <c r="K52" s="82" t="n"/>
      <c r="L52" s="82" t="n"/>
    </row>
    <row r="53">
      <c r="A53" s="82" t="n"/>
      <c r="B53" s="82" t="n"/>
      <c r="C53" s="82" t="n"/>
      <c r="D53" s="82" t="n"/>
      <c r="E53" s="82" t="n"/>
      <c r="F53" s="82" t="n"/>
      <c r="G53" s="82" t="n"/>
      <c r="H53" s="82" t="n"/>
      <c r="I53" s="82" t="n"/>
      <c r="J53" s="82" t="n"/>
      <c r="K53" s="82" t="n"/>
      <c r="L53" s="82" t="n"/>
    </row>
    <row r="54">
      <c r="A54" s="82" t="n"/>
      <c r="B54" s="82" t="n"/>
      <c r="C54" s="82" t="n"/>
      <c r="D54" s="82" t="n"/>
      <c r="E54" s="82" t="n"/>
      <c r="F54" s="82" t="n"/>
      <c r="G54" s="82" t="n"/>
      <c r="H54" s="82" t="n"/>
      <c r="I54" s="82" t="n"/>
      <c r="J54" s="82" t="n"/>
      <c r="K54" s="82" t="n"/>
      <c r="L54" s="82" t="n"/>
    </row>
    <row r="55">
      <c r="A55" s="82" t="n"/>
      <c r="B55" s="82" t="n"/>
      <c r="C55" s="82" t="n"/>
      <c r="D55" s="82" t="n"/>
      <c r="E55" s="82" t="n"/>
      <c r="F55" s="82" t="n"/>
      <c r="G55" s="82" t="n"/>
      <c r="H55" s="82" t="n"/>
      <c r="I55" s="82" t="n"/>
      <c r="J55" s="82" t="n"/>
      <c r="K55" s="82" t="n"/>
      <c r="L55" s="82" t="n"/>
    </row>
    <row r="56">
      <c r="A56" s="82" t="n"/>
      <c r="B56" s="82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2" t="n"/>
      <c r="L56" s="82" t="n"/>
    </row>
    <row r="57">
      <c r="A57" s="82" t="n"/>
      <c r="B57" s="82" t="n"/>
      <c r="C57" s="82" t="n"/>
      <c r="D57" s="82" t="n"/>
      <c r="E57" s="82" t="n"/>
      <c r="F57" s="82" t="n"/>
      <c r="G57" s="82" t="n"/>
      <c r="H57" s="82" t="n"/>
      <c r="I57" s="82" t="n"/>
      <c r="J57" s="82" t="n"/>
      <c r="K57" s="82" t="n"/>
      <c r="L57" s="82" t="n"/>
    </row>
    <row r="58">
      <c r="A58" s="82" t="n"/>
      <c r="B58" s="82" t="n"/>
      <c r="C58" s="82" t="n"/>
      <c r="D58" s="82" t="n"/>
      <c r="E58" s="82" t="n"/>
      <c r="F58" s="82" t="n"/>
      <c r="G58" s="82" t="n"/>
      <c r="H58" s="82" t="n"/>
      <c r="I58" s="82" t="n"/>
      <c r="J58" s="82" t="n"/>
      <c r="K58" s="82" t="n"/>
      <c r="L58" s="82" t="n"/>
    </row>
    <row r="59">
      <c r="A59" s="82" t="n"/>
      <c r="B59" s="82" t="n"/>
      <c r="C59" s="82" t="n"/>
      <c r="D59" s="82" t="n"/>
      <c r="E59" s="82" t="n"/>
      <c r="F59" s="82" t="n"/>
      <c r="G59" s="82" t="n"/>
      <c r="H59" s="82" t="n"/>
      <c r="I59" s="82" t="n"/>
      <c r="J59" s="82" t="n"/>
      <c r="K59" s="82" t="n"/>
      <c r="L59" s="82" t="n"/>
    </row>
    <row r="60">
      <c r="A60" s="82" t="n"/>
      <c r="B60" s="82" t="n"/>
      <c r="C60" s="82" t="n"/>
      <c r="D60" s="82" t="n"/>
      <c r="E60" s="82" t="n"/>
      <c r="F60" s="82" t="n"/>
      <c r="G60" s="82" t="n"/>
      <c r="H60" s="82" t="n"/>
      <c r="I60" s="82" t="n"/>
      <c r="J60" s="82" t="n"/>
      <c r="K60" s="82" t="n"/>
      <c r="L60" s="82" t="n"/>
    </row>
    <row r="61">
      <c r="A61" s="82" t="n"/>
      <c r="B61" s="82" t="n"/>
      <c r="C61" s="82" t="n"/>
      <c r="D61" s="82" t="n"/>
      <c r="E61" s="82" t="n"/>
      <c r="F61" s="82" t="n"/>
      <c r="G61" s="82" t="n"/>
      <c r="H61" s="82" t="n"/>
      <c r="I61" s="82" t="n"/>
      <c r="J61" s="82" t="n"/>
      <c r="K61" s="82" t="n"/>
      <c r="L61" s="82" t="n"/>
    </row>
    <row r="62">
      <c r="A62" s="82" t="n"/>
      <c r="B62" s="82" t="n"/>
      <c r="C62" s="82" t="n"/>
      <c r="D62" s="82" t="n"/>
      <c r="E62" s="82" t="n"/>
      <c r="F62" s="82" t="n"/>
      <c r="G62" s="82" t="n"/>
      <c r="H62" s="82" t="n"/>
      <c r="I62" s="82" t="n"/>
      <c r="J62" s="82" t="n"/>
      <c r="K62" s="82" t="n"/>
      <c r="L62" s="82" t="n"/>
    </row>
    <row r="63">
      <c r="A63" s="82" t="n"/>
      <c r="B63" s="82" t="n"/>
      <c r="C63" s="82" t="n"/>
      <c r="D63" s="82" t="n"/>
      <c r="E63" s="82" t="n"/>
      <c r="F63" s="82" t="n"/>
      <c r="G63" s="82" t="n"/>
      <c r="H63" s="82" t="n"/>
      <c r="I63" s="82" t="n"/>
      <c r="J63" s="82" t="n"/>
      <c r="K63" s="82" t="n"/>
      <c r="L63" s="82" t="n"/>
    </row>
    <row r="64">
      <c r="A64" s="82" t="n"/>
      <c r="B64" s="82" t="n"/>
      <c r="C64" s="82" t="n"/>
      <c r="D64" s="82" t="n"/>
      <c r="E64" s="82" t="n"/>
      <c r="F64" s="82" t="n"/>
      <c r="G64" s="82" t="n"/>
      <c r="H64" s="82" t="n"/>
      <c r="I64" s="82" t="n"/>
      <c r="J64" s="82" t="n"/>
      <c r="K64" s="82" t="n"/>
      <c r="L64" s="82" t="n"/>
    </row>
    <row r="65">
      <c r="A65" s="82" t="n"/>
      <c r="B65" s="82" t="n"/>
      <c r="C65" s="82" t="n"/>
      <c r="D65" s="82" t="n"/>
      <c r="E65" s="82" t="n"/>
      <c r="F65" s="82" t="n"/>
      <c r="G65" s="82" t="n"/>
      <c r="H65" s="82" t="n"/>
      <c r="I65" s="82" t="n"/>
      <c r="J65" s="82" t="n"/>
      <c r="K65" s="82" t="n"/>
      <c r="L65" s="82" t="n"/>
    </row>
    <row r="66">
      <c r="A66" s="82" t="n"/>
      <c r="B66" s="82" t="n"/>
      <c r="C66" s="82" t="n"/>
      <c r="D66" s="82" t="n"/>
      <c r="E66" s="82" t="n"/>
      <c r="F66" s="82" t="n"/>
      <c r="G66" s="82" t="n"/>
      <c r="H66" s="82" t="n"/>
      <c r="I66" s="82" t="n"/>
      <c r="J66" s="82" t="n"/>
      <c r="K66" s="82" t="n"/>
      <c r="L66" s="82" t="n"/>
    </row>
    <row r="67">
      <c r="A67" s="82" t="n"/>
      <c r="B67" s="82" t="n"/>
      <c r="C67" s="82" t="n"/>
      <c r="D67" s="82" t="n"/>
      <c r="E67" s="82" t="n"/>
      <c r="F67" s="82" t="n"/>
      <c r="G67" s="82" t="n"/>
      <c r="H67" s="82" t="n"/>
      <c r="I67" s="82" t="n"/>
      <c r="J67" s="82" t="n"/>
      <c r="K67" s="82" t="n"/>
      <c r="L67" s="82" t="n"/>
    </row>
    <row r="68">
      <c r="A68" s="82" t="n"/>
      <c r="B68" s="82" t="n"/>
      <c r="C68" s="82" t="n"/>
      <c r="D68" s="82" t="n"/>
      <c r="E68" s="82" t="n"/>
      <c r="F68" s="82" t="n"/>
      <c r="G68" s="82" t="n"/>
      <c r="H68" s="82" t="n"/>
      <c r="I68" s="82" t="n"/>
      <c r="J68" s="82" t="n"/>
      <c r="K68" s="82" t="n"/>
      <c r="L68" s="82" t="n"/>
    </row>
    <row r="69">
      <c r="A69" s="82" t="n"/>
      <c r="B69" s="82" t="n"/>
      <c r="C69" s="82" t="n"/>
      <c r="D69" s="82" t="n"/>
      <c r="E69" s="82" t="n"/>
      <c r="F69" s="82" t="n"/>
      <c r="G69" s="82" t="n"/>
      <c r="H69" s="82" t="n"/>
      <c r="I69" s="82" t="n"/>
      <c r="J69" s="82" t="n"/>
      <c r="K69" s="82" t="n"/>
      <c r="L69" s="82" t="n"/>
    </row>
    <row r="70">
      <c r="A70" s="82" t="n"/>
      <c r="B70" s="82" t="n"/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</row>
    <row r="71">
      <c r="A71" s="82" t="n"/>
      <c r="B71" s="82" t="n"/>
      <c r="C71" s="82" t="n"/>
      <c r="D71" s="82" t="n"/>
      <c r="E71" s="82" t="n"/>
      <c r="F71" s="82" t="n"/>
      <c r="G71" s="82" t="n"/>
      <c r="H71" s="82" t="n"/>
      <c r="I71" s="82" t="n"/>
      <c r="J71" s="82" t="n"/>
      <c r="K71" s="82" t="n"/>
      <c r="L71" s="82" t="n"/>
    </row>
    <row r="72">
      <c r="A72" s="82" t="n"/>
      <c r="B72" s="82" t="n"/>
      <c r="C72" s="82" t="n"/>
      <c r="D72" s="82" t="n"/>
      <c r="E72" s="82" t="n"/>
      <c r="F72" s="82" t="n"/>
      <c r="G72" s="82" t="n"/>
      <c r="H72" s="82" t="n"/>
      <c r="I72" s="82" t="n"/>
      <c r="J72" s="82" t="n"/>
      <c r="K72" s="82" t="n"/>
      <c r="L72" s="82" t="n"/>
    </row>
    <row r="73">
      <c r="A73" s="82" t="n"/>
      <c r="B73" s="82" t="n"/>
      <c r="C73" s="82" t="n"/>
      <c r="D73" s="82" t="n"/>
      <c r="E73" s="82" t="n"/>
      <c r="F73" s="82" t="n"/>
      <c r="G73" s="82" t="n"/>
      <c r="H73" s="82" t="n"/>
      <c r="I73" s="82" t="n"/>
      <c r="J73" s="82" t="n"/>
      <c r="K73" s="82" t="n"/>
      <c r="L73" s="82" t="n"/>
    </row>
    <row r="74">
      <c r="A74" s="82" t="n"/>
      <c r="B74" s="82" t="n"/>
      <c r="C74" s="82" t="n"/>
      <c r="D74" s="82" t="n"/>
      <c r="E74" s="82" t="n"/>
      <c r="F74" s="82" t="n"/>
      <c r="G74" s="82" t="n"/>
      <c r="H74" s="82" t="n"/>
      <c r="I74" s="82" t="n"/>
      <c r="J74" s="82" t="n"/>
      <c r="K74" s="82" t="n"/>
      <c r="L74" s="82" t="n"/>
    </row>
    <row r="75">
      <c r="A75" s="82" t="n"/>
      <c r="B75" s="82" t="n"/>
      <c r="C75" s="82" t="n"/>
      <c r="D75" s="82" t="n"/>
      <c r="E75" s="82" t="n"/>
      <c r="F75" s="82" t="n"/>
      <c r="G75" s="82" t="n"/>
      <c r="H75" s="82" t="n"/>
      <c r="I75" s="82" t="n"/>
      <c r="J75" s="82" t="n"/>
      <c r="K75" s="82" t="n"/>
      <c r="L75" s="82" t="n"/>
    </row>
    <row r="76">
      <c r="A76" s="82" t="n"/>
      <c r="B76" s="82" t="n"/>
      <c r="C76" s="82" t="n"/>
      <c r="D76" s="82" t="n"/>
      <c r="E76" s="82" t="n"/>
      <c r="F76" s="82" t="n"/>
      <c r="G76" s="82" t="n"/>
      <c r="H76" s="82" t="n"/>
      <c r="I76" s="82" t="n"/>
      <c r="J76" s="82" t="n"/>
      <c r="K76" s="82" t="n"/>
      <c r="L76" s="82" t="n"/>
    </row>
    <row r="77">
      <c r="A77" s="82" t="n"/>
      <c r="B77" s="82" t="n"/>
      <c r="C77" s="82" t="n"/>
      <c r="D77" s="82" t="n"/>
      <c r="E77" s="82" t="n"/>
      <c r="F77" s="82" t="n"/>
      <c r="G77" s="82" t="n"/>
      <c r="H77" s="82" t="n"/>
      <c r="I77" s="82" t="n"/>
      <c r="J77" s="82" t="n"/>
      <c r="K77" s="82" t="n"/>
      <c r="L77" s="82" t="n"/>
    </row>
    <row r="78">
      <c r="A78" s="82" t="n"/>
      <c r="B78" s="82" t="n"/>
      <c r="C78" s="82" t="n"/>
      <c r="D78" s="82" t="n"/>
      <c r="E78" s="82" t="n"/>
      <c r="F78" s="82" t="n"/>
      <c r="G78" s="82" t="n"/>
      <c r="H78" s="82" t="n"/>
      <c r="I78" s="82" t="n"/>
      <c r="J78" s="82" t="n"/>
      <c r="K78" s="82" t="n"/>
      <c r="L78" s="82" t="n"/>
    </row>
    <row r="79">
      <c r="A79" s="82" t="n"/>
      <c r="B79" s="82" t="n"/>
      <c r="C79" s="82" t="n"/>
      <c r="D79" s="82" t="n"/>
      <c r="E79" s="82" t="n"/>
      <c r="F79" s="82" t="n"/>
      <c r="G79" s="82" t="n"/>
      <c r="H79" s="82" t="n"/>
      <c r="I79" s="82" t="n"/>
      <c r="J79" s="82" t="n"/>
      <c r="K79" s="82" t="n"/>
      <c r="L79" s="82" t="n"/>
    </row>
    <row r="80">
      <c r="A80" s="82" t="n"/>
      <c r="B80" s="82" t="n"/>
      <c r="C80" s="82" t="n"/>
      <c r="D80" s="82" t="n"/>
      <c r="E80" s="82" t="n"/>
      <c r="F80" s="82" t="n"/>
      <c r="G80" s="82" t="n"/>
      <c r="H80" s="82" t="n"/>
      <c r="I80" s="82" t="n"/>
      <c r="J80" s="82" t="n"/>
      <c r="K80" s="82" t="n"/>
      <c r="L80" s="82" t="n"/>
    </row>
    <row r="81">
      <c r="A81" s="82" t="n"/>
      <c r="B81" s="82" t="n"/>
      <c r="C81" s="82" t="n"/>
      <c r="D81" s="82" t="n"/>
      <c r="E81" s="82" t="n"/>
      <c r="F81" s="82" t="n"/>
      <c r="G81" s="82" t="n"/>
      <c r="H81" s="82" t="n"/>
      <c r="I81" s="82" t="n"/>
      <c r="J81" s="82" t="n"/>
      <c r="K81" s="82" t="n"/>
      <c r="L81" s="82" t="n"/>
    </row>
    <row r="82">
      <c r="A82" s="82" t="n"/>
      <c r="B82" s="82" t="n"/>
      <c r="C82" s="82" t="n"/>
      <c r="D82" s="82" t="n"/>
      <c r="E82" s="82" t="n"/>
      <c r="F82" s="82" t="n"/>
      <c r="G82" s="82" t="n"/>
      <c r="H82" s="82" t="n"/>
      <c r="I82" s="82" t="n"/>
      <c r="J82" s="82" t="n"/>
      <c r="K82" s="82" t="n"/>
      <c r="L82" s="82" t="n"/>
    </row>
    <row r="83">
      <c r="A83" s="82" t="n"/>
      <c r="B83" s="82" t="n"/>
      <c r="C83" s="82" t="n"/>
      <c r="D83" s="82" t="n"/>
      <c r="E83" s="82" t="n"/>
      <c r="F83" s="82" t="n"/>
      <c r="G83" s="82" t="n"/>
      <c r="H83" s="82" t="n"/>
      <c r="I83" s="82" t="n"/>
      <c r="J83" s="82" t="n"/>
      <c r="K83" s="82" t="n"/>
      <c r="L83" s="82" t="n"/>
    </row>
    <row r="84">
      <c r="A84" s="82" t="n"/>
      <c r="B84" s="82" t="n"/>
      <c r="C84" s="82" t="n"/>
      <c r="D84" s="82" t="n"/>
      <c r="E84" s="82" t="n"/>
      <c r="F84" s="82" t="n"/>
      <c r="G84" s="82" t="n"/>
      <c r="H84" s="82" t="n"/>
      <c r="I84" s="82" t="n"/>
      <c r="J84" s="82" t="n"/>
      <c r="K84" s="82" t="n"/>
      <c r="L84" s="82" t="n"/>
    </row>
    <row r="85">
      <c r="A85" s="82" t="n"/>
      <c r="B85" s="82" t="n"/>
      <c r="C85" s="82" t="n"/>
      <c r="D85" s="82" t="n"/>
      <c r="E85" s="82" t="n"/>
      <c r="F85" s="82" t="n"/>
      <c r="G85" s="82" t="n"/>
      <c r="H85" s="82" t="n"/>
      <c r="I85" s="82" t="n"/>
      <c r="J85" s="82" t="n"/>
      <c r="K85" s="82" t="n"/>
      <c r="L85" s="82" t="n"/>
    </row>
    <row r="86">
      <c r="A86" s="82" t="n"/>
      <c r="B86" s="82" t="n"/>
      <c r="C86" s="82" t="n"/>
      <c r="D86" s="82" t="n"/>
      <c r="E86" s="82" t="n"/>
      <c r="F86" s="82" t="n"/>
      <c r="G86" s="82" t="n"/>
      <c r="H86" s="82" t="n"/>
      <c r="I86" s="82" t="n"/>
      <c r="J86" s="82" t="n"/>
      <c r="K86" s="82" t="n"/>
      <c r="L86" s="82" t="n"/>
    </row>
    <row r="87">
      <c r="A87" s="82" t="n"/>
      <c r="B87" s="82" t="n"/>
      <c r="C87" s="82" t="n"/>
      <c r="D87" s="82" t="n"/>
      <c r="E87" s="82" t="n"/>
      <c r="F87" s="82" t="n"/>
      <c r="G87" s="82" t="n"/>
      <c r="H87" s="82" t="n"/>
      <c r="I87" s="82" t="n"/>
      <c r="J87" s="82" t="n"/>
      <c r="K87" s="82" t="n"/>
      <c r="L87" s="82" t="n"/>
    </row>
    <row r="88">
      <c r="A88" s="82" t="n"/>
      <c r="B88" s="82" t="n"/>
      <c r="C88" s="82" t="n"/>
      <c r="D88" s="82" t="n"/>
      <c r="E88" s="82" t="n"/>
      <c r="F88" s="82" t="n"/>
      <c r="G88" s="82" t="n"/>
      <c r="H88" s="82" t="n"/>
      <c r="I88" s="82" t="n"/>
      <c r="J88" s="82" t="n"/>
      <c r="K88" s="82" t="n"/>
      <c r="L88" s="82" t="n"/>
    </row>
    <row r="89">
      <c r="A89" s="82" t="n"/>
      <c r="B89" s="82" t="n"/>
      <c r="C89" s="82" t="n"/>
      <c r="D89" s="82" t="n"/>
      <c r="E89" s="82" t="n"/>
      <c r="F89" s="82" t="n"/>
      <c r="G89" s="82" t="n"/>
      <c r="H89" s="82" t="n"/>
      <c r="I89" s="82" t="n"/>
      <c r="J89" s="82" t="n"/>
      <c r="K89" s="82" t="n"/>
      <c r="L89" s="82" t="n"/>
    </row>
    <row r="90">
      <c r="A90" s="82" t="n"/>
      <c r="B90" s="82" t="n"/>
      <c r="C90" s="82" t="n"/>
      <c r="D90" s="82" t="n"/>
      <c r="E90" s="82" t="n"/>
      <c r="F90" s="82" t="n"/>
      <c r="G90" s="82" t="n"/>
      <c r="H90" s="82" t="n"/>
      <c r="I90" s="82" t="n"/>
      <c r="J90" s="82" t="n"/>
      <c r="K90" s="82" t="n"/>
      <c r="L90" s="82" t="n"/>
    </row>
    <row r="91">
      <c r="A91" s="82" t="n"/>
      <c r="B91" s="82" t="n"/>
      <c r="C91" s="82" t="n"/>
      <c r="D91" s="82" t="n"/>
      <c r="E91" s="82" t="n"/>
      <c r="F91" s="82" t="n"/>
      <c r="G91" s="82" t="n"/>
      <c r="H91" s="82" t="n"/>
      <c r="I91" s="82" t="n"/>
      <c r="J91" s="82" t="n"/>
      <c r="K91" s="82" t="n"/>
      <c r="L91" s="82" t="n"/>
    </row>
    <row r="92">
      <c r="A92" s="82" t="n"/>
      <c r="B92" s="82" t="n"/>
      <c r="C92" s="82" t="n"/>
      <c r="D92" s="82" t="n"/>
      <c r="E92" s="82" t="n"/>
      <c r="F92" s="82" t="n"/>
      <c r="G92" s="82" t="n"/>
      <c r="H92" s="82" t="n"/>
      <c r="I92" s="82" t="n"/>
      <c r="J92" s="82" t="n"/>
      <c r="K92" s="82" t="n"/>
      <c r="L92" s="82" t="n"/>
    </row>
    <row r="93">
      <c r="A93" s="82" t="n"/>
      <c r="B93" s="82" t="n"/>
      <c r="C93" s="82" t="n"/>
      <c r="D93" s="82" t="n"/>
      <c r="E93" s="82" t="n"/>
      <c r="F93" s="82" t="n"/>
      <c r="G93" s="82" t="n"/>
      <c r="H93" s="82" t="n"/>
      <c r="I93" s="82" t="n"/>
      <c r="J93" s="82" t="n"/>
      <c r="K93" s="82" t="n"/>
      <c r="L93" s="82" t="n"/>
    </row>
    <row r="94">
      <c r="A94" s="82" t="n"/>
      <c r="B94" s="82" t="n"/>
      <c r="C94" s="82" t="n"/>
      <c r="D94" s="82" t="n"/>
      <c r="E94" s="82" t="n"/>
      <c r="F94" s="82" t="n"/>
      <c r="G94" s="82" t="n"/>
      <c r="H94" s="82" t="n"/>
      <c r="I94" s="82" t="n"/>
      <c r="J94" s="82" t="n"/>
      <c r="K94" s="82" t="n"/>
      <c r="L94" s="82" t="n"/>
    </row>
    <row r="95">
      <c r="A95" s="82" t="n"/>
      <c r="B95" s="82" t="n"/>
      <c r="C95" s="82" t="n"/>
      <c r="D95" s="82" t="n"/>
      <c r="E95" s="82" t="n"/>
      <c r="F95" s="82" t="n"/>
      <c r="G95" s="82" t="n"/>
      <c r="H95" s="82" t="n"/>
      <c r="I95" s="82" t="n"/>
      <c r="J95" s="82" t="n"/>
      <c r="K95" s="82" t="n"/>
      <c r="L95" s="82" t="n"/>
    </row>
    <row r="96">
      <c r="A96" s="82" t="n"/>
      <c r="B96" s="82" t="n"/>
      <c r="C96" s="82" t="n"/>
      <c r="D96" s="82" t="n"/>
      <c r="E96" s="82" t="n"/>
      <c r="F96" s="82" t="n"/>
      <c r="G96" s="82" t="n"/>
      <c r="H96" s="82" t="n"/>
      <c r="I96" s="82" t="n"/>
      <c r="J96" s="82" t="n"/>
      <c r="K96" s="82" t="n"/>
      <c r="L96" s="82" t="n"/>
    </row>
    <row r="97">
      <c r="A97" s="82" t="n"/>
      <c r="B97" s="82" t="n"/>
      <c r="C97" s="82" t="n"/>
      <c r="D97" s="82" t="n"/>
      <c r="E97" s="82" t="n"/>
      <c r="F97" s="82" t="n"/>
      <c r="G97" s="82" t="n"/>
      <c r="H97" s="82" t="n"/>
      <c r="I97" s="82" t="n"/>
      <c r="J97" s="82" t="n"/>
      <c r="K97" s="82" t="n"/>
      <c r="L97" s="82" t="n"/>
    </row>
    <row r="98">
      <c r="A98" s="82" t="n"/>
      <c r="B98" s="82" t="n"/>
      <c r="C98" s="82" t="n"/>
      <c r="D98" s="82" t="n"/>
      <c r="E98" s="82" t="n"/>
      <c r="F98" s="82" t="n"/>
      <c r="G98" s="82" t="n"/>
      <c r="H98" s="82" t="n"/>
      <c r="I98" s="82" t="n"/>
      <c r="J98" s="82" t="n"/>
      <c r="K98" s="82" t="n"/>
      <c r="L98" s="82" t="n"/>
    </row>
    <row r="99">
      <c r="A99" s="82" t="n"/>
      <c r="B99" s="82" t="n"/>
      <c r="C99" s="82" t="n"/>
      <c r="D99" s="82" t="n"/>
      <c r="E99" s="82" t="n"/>
      <c r="F99" s="82" t="n"/>
      <c r="G99" s="82" t="n"/>
      <c r="H99" s="82" t="n"/>
      <c r="I99" s="82" t="n"/>
      <c r="J99" s="82" t="n"/>
      <c r="K99" s="82" t="n"/>
      <c r="L99" s="82" t="n"/>
    </row>
    <row r="100">
      <c r="A100" s="82" t="n"/>
      <c r="B100" s="82" t="n"/>
      <c r="C100" s="82" t="n"/>
      <c r="D100" s="82" t="n"/>
      <c r="E100" s="82" t="n"/>
      <c r="F100" s="82" t="n"/>
      <c r="G100" s="82" t="n"/>
      <c r="H100" s="82" t="n"/>
      <c r="I100" s="82" t="n"/>
      <c r="J100" s="82" t="n"/>
      <c r="K100" s="82" t="n"/>
      <c r="L100" s="82" t="n"/>
    </row>
    <row r="101">
      <c r="A101" s="82" t="n"/>
      <c r="B101" s="82" t="n"/>
      <c r="C101" s="82" t="n"/>
      <c r="D101" s="82" t="n"/>
      <c r="E101" s="82" t="n"/>
      <c r="F101" s="82" t="n"/>
      <c r="G101" s="82" t="n"/>
      <c r="H101" s="82" t="n"/>
      <c r="I101" s="82" t="n"/>
      <c r="J101" s="82" t="n"/>
      <c r="K101" s="82" t="n"/>
      <c r="L101" s="82" t="n"/>
    </row>
    <row r="102">
      <c r="A102" s="82" t="n"/>
      <c r="B102" s="82" t="n"/>
      <c r="C102" s="82" t="n"/>
      <c r="D102" s="82" t="n"/>
      <c r="E102" s="82" t="n"/>
      <c r="F102" s="82" t="n"/>
      <c r="G102" s="82" t="n"/>
      <c r="H102" s="82" t="n"/>
      <c r="I102" s="82" t="n"/>
      <c r="J102" s="82" t="n"/>
      <c r="K102" s="82" t="n"/>
      <c r="L102" s="82" t="n"/>
    </row>
    <row r="103">
      <c r="A103" s="82" t="n"/>
      <c r="B103" s="82" t="n"/>
      <c r="C103" s="82" t="n"/>
      <c r="D103" s="82" t="n"/>
      <c r="E103" s="82" t="n"/>
      <c r="F103" s="82" t="n"/>
      <c r="G103" s="82" t="n"/>
      <c r="H103" s="82" t="n"/>
      <c r="I103" s="82" t="n"/>
      <c r="J103" s="82" t="n"/>
      <c r="K103" s="82" t="n"/>
      <c r="L103" s="82" t="n"/>
    </row>
    <row r="104">
      <c r="A104" s="82" t="n"/>
      <c r="B104" s="82" t="n"/>
      <c r="C104" s="82" t="n"/>
      <c r="D104" s="82" t="n"/>
      <c r="E104" s="82" t="n"/>
      <c r="F104" s="82" t="n"/>
      <c r="G104" s="82" t="n"/>
      <c r="H104" s="82" t="n"/>
      <c r="I104" s="82" t="n"/>
      <c r="J104" s="82" t="n"/>
      <c r="K104" s="82" t="n"/>
      <c r="L104" s="82" t="n"/>
    </row>
    <row r="105">
      <c r="A105" s="82" t="n"/>
      <c r="B105" s="82" t="n"/>
      <c r="C105" s="82" t="n"/>
      <c r="D105" s="82" t="n"/>
      <c r="E105" s="82" t="n"/>
      <c r="F105" s="82" t="n"/>
      <c r="G105" s="82" t="n"/>
      <c r="H105" s="82" t="n"/>
      <c r="I105" s="82" t="n"/>
      <c r="J105" s="82" t="n"/>
      <c r="K105" s="82" t="n"/>
      <c r="L105" s="82" t="n"/>
    </row>
    <row r="106">
      <c r="A106" s="82" t="n"/>
      <c r="B106" s="82" t="n"/>
      <c r="C106" s="82" t="n"/>
      <c r="D106" s="82" t="n"/>
      <c r="E106" s="82" t="n"/>
      <c r="F106" s="82" t="n"/>
      <c r="G106" s="82" t="n"/>
      <c r="H106" s="82" t="n"/>
      <c r="I106" s="82" t="n"/>
      <c r="J106" s="82" t="n"/>
      <c r="K106" s="82" t="n"/>
      <c r="L106" s="82" t="n"/>
    </row>
    <row r="107">
      <c r="A107" s="82" t="n"/>
      <c r="B107" s="82" t="n"/>
      <c r="C107" s="82" t="n"/>
      <c r="D107" s="82" t="n"/>
      <c r="E107" s="82" t="n"/>
      <c r="F107" s="82" t="n"/>
      <c r="G107" s="82" t="n"/>
      <c r="H107" s="82" t="n"/>
      <c r="I107" s="82" t="n"/>
      <c r="J107" s="82" t="n"/>
      <c r="K107" s="82" t="n"/>
      <c r="L107" s="82" t="n"/>
    </row>
    <row r="108">
      <c r="A108" s="82" t="n"/>
      <c r="B108" s="82" t="n"/>
      <c r="C108" s="82" t="n"/>
      <c r="D108" s="82" t="n"/>
      <c r="E108" s="82" t="n"/>
      <c r="F108" s="82" t="n"/>
      <c r="G108" s="82" t="n"/>
      <c r="H108" s="82" t="n"/>
      <c r="I108" s="82" t="n"/>
      <c r="J108" s="82" t="n"/>
      <c r="K108" s="82" t="n"/>
      <c r="L108" s="82" t="n"/>
    </row>
    <row r="109">
      <c r="A109" s="82" t="n"/>
      <c r="B109" s="82" t="n"/>
      <c r="C109" s="82" t="n"/>
      <c r="D109" s="82" t="n"/>
      <c r="E109" s="82" t="n"/>
      <c r="F109" s="82" t="n"/>
      <c r="G109" s="82" t="n"/>
      <c r="H109" s="82" t="n"/>
      <c r="I109" s="82" t="n"/>
      <c r="J109" s="82" t="n"/>
      <c r="K109" s="82" t="n"/>
      <c r="L109" s="82" t="n"/>
    </row>
    <row r="110">
      <c r="A110" s="82" t="n"/>
      <c r="B110" s="82" t="n"/>
      <c r="C110" s="82" t="n"/>
      <c r="D110" s="82" t="n"/>
      <c r="E110" s="82" t="n"/>
      <c r="F110" s="82" t="n"/>
      <c r="G110" s="82" t="n"/>
      <c r="H110" s="82" t="n"/>
      <c r="I110" s="82" t="n"/>
      <c r="J110" s="82" t="n"/>
      <c r="K110" s="82" t="n"/>
      <c r="L110" s="82" t="n"/>
    </row>
    <row r="111">
      <c r="A111" s="82" t="n"/>
      <c r="B111" s="82" t="n"/>
      <c r="C111" s="82" t="n"/>
      <c r="D111" s="82" t="n"/>
      <c r="E111" s="82" t="n"/>
      <c r="F111" s="82" t="n"/>
      <c r="G111" s="82" t="n"/>
      <c r="H111" s="82" t="n"/>
      <c r="I111" s="82" t="n"/>
      <c r="J111" s="82" t="n"/>
      <c r="K111" s="82" t="n"/>
      <c r="L111" s="82" t="n"/>
    </row>
    <row r="112">
      <c r="A112" s="82" t="n"/>
      <c r="B112" s="82" t="n"/>
      <c r="C112" s="82" t="n"/>
      <c r="D112" s="82" t="n"/>
      <c r="E112" s="82" t="n"/>
      <c r="F112" s="82" t="n"/>
      <c r="G112" s="82" t="n"/>
      <c r="H112" s="82" t="n"/>
      <c r="I112" s="82" t="n"/>
      <c r="J112" s="82" t="n"/>
      <c r="K112" s="82" t="n"/>
      <c r="L112" s="82" t="n"/>
    </row>
    <row r="113">
      <c r="A113" s="82" t="n"/>
      <c r="B113" s="82" t="n"/>
      <c r="C113" s="82" t="n"/>
      <c r="D113" s="82" t="n"/>
      <c r="E113" s="82" t="n"/>
      <c r="F113" s="82" t="n"/>
      <c r="G113" s="82" t="n"/>
      <c r="H113" s="82" t="n"/>
      <c r="I113" s="82" t="n"/>
      <c r="J113" s="82" t="n"/>
      <c r="K113" s="82" t="n"/>
      <c r="L113" s="82" t="n"/>
    </row>
    <row r="114">
      <c r="A114" s="82" t="n"/>
      <c r="B114" s="82" t="n"/>
      <c r="C114" s="82" t="n"/>
      <c r="D114" s="82" t="n"/>
      <c r="E114" s="82" t="n"/>
      <c r="F114" s="82" t="n"/>
      <c r="G114" s="82" t="n"/>
      <c r="H114" s="82" t="n"/>
      <c r="I114" s="82" t="n"/>
      <c r="J114" s="82" t="n"/>
      <c r="K114" s="82" t="n"/>
      <c r="L114" s="82" t="n"/>
    </row>
    <row r="115">
      <c r="A115" s="82" t="n"/>
      <c r="B115" s="82" t="n"/>
      <c r="C115" s="82" t="n"/>
      <c r="D115" s="82" t="n"/>
      <c r="E115" s="82" t="n"/>
      <c r="F115" s="82" t="n"/>
      <c r="G115" s="82" t="n"/>
      <c r="H115" s="82" t="n"/>
      <c r="I115" s="82" t="n"/>
      <c r="J115" s="82" t="n"/>
      <c r="K115" s="82" t="n"/>
      <c r="L115" s="82" t="n"/>
    </row>
    <row r="116">
      <c r="A116" s="82" t="n"/>
      <c r="B116" s="82" t="n"/>
      <c r="C116" s="82" t="n"/>
      <c r="D116" s="82" t="n"/>
      <c r="E116" s="82" t="n"/>
      <c r="F116" s="82" t="n"/>
      <c r="G116" s="82" t="n"/>
      <c r="H116" s="82" t="n"/>
      <c r="I116" s="82" t="n"/>
      <c r="J116" s="82" t="n"/>
      <c r="K116" s="82" t="n"/>
      <c r="L116" s="82" t="n"/>
    </row>
    <row r="117">
      <c r="A117" s="82" t="n"/>
      <c r="B117" s="82" t="n"/>
      <c r="C117" s="82" t="n"/>
      <c r="D117" s="82" t="n"/>
      <c r="E117" s="82" t="n"/>
      <c r="F117" s="82" t="n"/>
      <c r="G117" s="82" t="n"/>
      <c r="H117" s="82" t="n"/>
      <c r="I117" s="82" t="n"/>
      <c r="J117" s="82" t="n"/>
      <c r="K117" s="82" t="n"/>
      <c r="L117" s="82" t="n"/>
    </row>
    <row r="118">
      <c r="A118" s="82" t="n"/>
      <c r="B118" s="82" t="n"/>
      <c r="C118" s="82" t="n"/>
      <c r="D118" s="82" t="n"/>
      <c r="E118" s="82" t="n"/>
      <c r="F118" s="82" t="n"/>
      <c r="G118" s="82" t="n"/>
      <c r="H118" s="82" t="n"/>
      <c r="I118" s="82" t="n"/>
      <c r="J118" s="82" t="n"/>
      <c r="K118" s="82" t="n"/>
      <c r="L118" s="82" t="n"/>
    </row>
    <row r="119">
      <c r="A119" s="82" t="n"/>
      <c r="B119" s="82" t="n"/>
      <c r="C119" s="82" t="n"/>
      <c r="D119" s="82" t="n"/>
      <c r="E119" s="82" t="n"/>
      <c r="F119" s="82" t="n"/>
      <c r="G119" s="82" t="n"/>
      <c r="H119" s="82" t="n"/>
      <c r="I119" s="82" t="n"/>
      <c r="J119" s="82" t="n"/>
      <c r="K119" s="82" t="n"/>
      <c r="L119" s="82" t="n"/>
    </row>
    <row r="120">
      <c r="A120" s="82" t="n"/>
      <c r="B120" s="82" t="n"/>
      <c r="C120" s="82" t="n"/>
      <c r="D120" s="82" t="n"/>
      <c r="E120" s="82" t="n"/>
      <c r="F120" s="82" t="n"/>
      <c r="G120" s="82" t="n"/>
      <c r="H120" s="82" t="n"/>
      <c r="I120" s="82" t="n"/>
      <c r="J120" s="82" t="n"/>
      <c r="K120" s="82" t="n"/>
      <c r="L120" s="82" t="n"/>
    </row>
    <row r="121">
      <c r="A121" s="82" t="n"/>
      <c r="B121" s="82" t="n"/>
      <c r="C121" s="82" t="n"/>
      <c r="D121" s="82" t="n"/>
      <c r="E121" s="82" t="n"/>
      <c r="F121" s="82" t="n"/>
      <c r="G121" s="82" t="n"/>
      <c r="H121" s="82" t="n"/>
      <c r="I121" s="82" t="n"/>
      <c r="J121" s="82" t="n"/>
      <c r="K121" s="82" t="n"/>
      <c r="L121" s="82" t="n"/>
    </row>
    <row r="122">
      <c r="A122" s="82" t="n"/>
      <c r="B122" s="82" t="n"/>
      <c r="C122" s="82" t="n"/>
      <c r="D122" s="82" t="n"/>
      <c r="E122" s="82" t="n"/>
      <c r="F122" s="82" t="n"/>
      <c r="G122" s="82" t="n"/>
      <c r="H122" s="82" t="n"/>
      <c r="I122" s="82" t="n"/>
      <c r="J122" s="82" t="n"/>
      <c r="K122" s="82" t="n"/>
      <c r="L122" s="82" t="n"/>
    </row>
    <row r="123">
      <c r="A123" s="82" t="n"/>
      <c r="B123" s="82" t="n"/>
      <c r="C123" s="82" t="n"/>
      <c r="D123" s="82" t="n"/>
      <c r="E123" s="82" t="n"/>
      <c r="F123" s="82" t="n"/>
      <c r="G123" s="82" t="n"/>
      <c r="H123" s="82" t="n"/>
      <c r="I123" s="82" t="n"/>
      <c r="J123" s="82" t="n"/>
      <c r="K123" s="82" t="n"/>
      <c r="L123" s="82" t="n"/>
    </row>
    <row r="124">
      <c r="A124" s="82" t="n"/>
      <c r="B124" s="82" t="n"/>
      <c r="C124" s="82" t="n"/>
      <c r="D124" s="82" t="n"/>
      <c r="E124" s="82" t="n"/>
      <c r="F124" s="82" t="n"/>
      <c r="G124" s="82" t="n"/>
      <c r="H124" s="82" t="n"/>
      <c r="I124" s="82" t="n"/>
      <c r="J124" s="82" t="n"/>
      <c r="K124" s="82" t="n"/>
      <c r="L124" s="82" t="n"/>
    </row>
    <row r="125">
      <c r="A125" s="82" t="n"/>
      <c r="B125" s="82" t="n"/>
      <c r="C125" s="82" t="n"/>
      <c r="D125" s="82" t="n"/>
      <c r="E125" s="82" t="n"/>
      <c r="F125" s="82" t="n"/>
      <c r="G125" s="82" t="n"/>
      <c r="H125" s="82" t="n"/>
      <c r="I125" s="82" t="n"/>
      <c r="J125" s="82" t="n"/>
      <c r="K125" s="82" t="n"/>
      <c r="L125" s="82" t="n"/>
    </row>
    <row r="126">
      <c r="A126" s="82" t="n"/>
      <c r="B126" s="82" t="n"/>
      <c r="C126" s="82" t="n"/>
      <c r="D126" s="82" t="n"/>
      <c r="E126" s="82" t="n"/>
      <c r="F126" s="82" t="n"/>
      <c r="G126" s="82" t="n"/>
      <c r="H126" s="82" t="n"/>
      <c r="I126" s="82" t="n"/>
      <c r="J126" s="82" t="n"/>
      <c r="K126" s="82" t="n"/>
      <c r="L126" s="82" t="n"/>
    </row>
    <row r="127">
      <c r="A127" s="82" t="n"/>
      <c r="B127" s="82" t="n"/>
      <c r="C127" s="82" t="n"/>
      <c r="D127" s="82" t="n"/>
      <c r="E127" s="82" t="n"/>
      <c r="F127" s="82" t="n"/>
      <c r="G127" s="82" t="n"/>
      <c r="H127" s="82" t="n"/>
      <c r="I127" s="82" t="n"/>
      <c r="J127" s="82" t="n"/>
      <c r="K127" s="82" t="n"/>
      <c r="L127" s="82" t="n"/>
    </row>
    <row r="128">
      <c r="A128" s="82" t="n"/>
      <c r="B128" s="82" t="n"/>
      <c r="C128" s="82" t="n"/>
      <c r="D128" s="82" t="n"/>
      <c r="E128" s="82" t="n"/>
      <c r="F128" s="82" t="n"/>
      <c r="G128" s="82" t="n"/>
      <c r="H128" s="82" t="n"/>
      <c r="I128" s="82" t="n"/>
      <c r="J128" s="82" t="n"/>
      <c r="K128" s="82" t="n"/>
      <c r="L128" s="82" t="n"/>
    </row>
    <row r="129">
      <c r="A129" s="82" t="n"/>
      <c r="B129" s="82" t="n"/>
      <c r="C129" s="82" t="n"/>
      <c r="D129" s="82" t="n"/>
      <c r="E129" s="82" t="n"/>
      <c r="F129" s="82" t="n"/>
      <c r="G129" s="82" t="n"/>
      <c r="H129" s="82" t="n"/>
      <c r="I129" s="82" t="n"/>
      <c r="J129" s="82" t="n"/>
      <c r="K129" s="82" t="n"/>
      <c r="L129" s="82" t="n"/>
    </row>
    <row r="130">
      <c r="A130" s="82" t="n"/>
      <c r="B130" s="82" t="n"/>
      <c r="C130" s="82" t="n"/>
      <c r="D130" s="82" t="n"/>
      <c r="E130" s="82" t="n"/>
      <c r="F130" s="82" t="n"/>
      <c r="G130" s="82" t="n"/>
      <c r="H130" s="82" t="n"/>
      <c r="I130" s="82" t="n"/>
      <c r="J130" s="82" t="n"/>
      <c r="K130" s="82" t="n"/>
      <c r="L130" s="82" t="n"/>
    </row>
    <row r="131">
      <c r="A131" s="82" t="n"/>
      <c r="B131" s="82" t="n"/>
      <c r="C131" s="82" t="n"/>
      <c r="D131" s="82" t="n"/>
      <c r="E131" s="82" t="n"/>
      <c r="F131" s="82" t="n"/>
      <c r="G131" s="82" t="n"/>
      <c r="H131" s="82" t="n"/>
      <c r="I131" s="82" t="n"/>
      <c r="J131" s="82" t="n"/>
      <c r="K131" s="82" t="n"/>
      <c r="L131" s="82" t="n"/>
    </row>
    <row r="132">
      <c r="A132" s="82" t="n"/>
      <c r="B132" s="82" t="n"/>
      <c r="C132" s="82" t="n"/>
      <c r="D132" s="82" t="n"/>
      <c r="E132" s="82" t="n"/>
      <c r="F132" s="82" t="n"/>
      <c r="G132" s="82" t="n"/>
      <c r="H132" s="82" t="n"/>
      <c r="I132" s="82" t="n"/>
      <c r="J132" s="82" t="n"/>
      <c r="K132" s="82" t="n"/>
      <c r="L132" s="82" t="n"/>
    </row>
    <row r="133">
      <c r="A133" s="82" t="n"/>
      <c r="B133" s="82" t="n"/>
      <c r="C133" s="82" t="n"/>
      <c r="D133" s="82" t="n"/>
      <c r="E133" s="82" t="n"/>
      <c r="F133" s="82" t="n"/>
      <c r="G133" s="82" t="n"/>
      <c r="H133" s="82" t="n"/>
      <c r="I133" s="82" t="n"/>
      <c r="J133" s="82" t="n"/>
      <c r="K133" s="82" t="n"/>
      <c r="L133" s="82" t="n"/>
    </row>
    <row r="134">
      <c r="A134" s="82" t="n"/>
      <c r="B134" s="82" t="n"/>
      <c r="C134" s="82" t="n"/>
      <c r="D134" s="82" t="n"/>
      <c r="E134" s="82" t="n"/>
      <c r="F134" s="82" t="n"/>
      <c r="G134" s="82" t="n"/>
      <c r="H134" s="82" t="n"/>
      <c r="I134" s="82" t="n"/>
      <c r="J134" s="82" t="n"/>
      <c r="K134" s="82" t="n"/>
      <c r="L134" s="82" t="n"/>
    </row>
    <row r="135">
      <c r="A135" s="82" t="n"/>
      <c r="B135" s="82" t="n"/>
      <c r="C135" s="82" t="n"/>
      <c r="D135" s="82" t="n"/>
      <c r="E135" s="82" t="n"/>
      <c r="F135" s="82" t="n"/>
      <c r="G135" s="82" t="n"/>
      <c r="H135" s="82" t="n"/>
      <c r="I135" s="82" t="n"/>
      <c r="J135" s="82" t="n"/>
      <c r="K135" s="82" t="n"/>
      <c r="L135" s="82" t="n"/>
    </row>
    <row r="136">
      <c r="A136" s="82" t="n"/>
      <c r="B136" s="82" t="n"/>
      <c r="C136" s="82" t="n"/>
      <c r="D136" s="82" t="n"/>
      <c r="E136" s="82" t="n"/>
      <c r="F136" s="82" t="n"/>
      <c r="G136" s="82" t="n"/>
      <c r="H136" s="82" t="n"/>
      <c r="I136" s="82" t="n"/>
      <c r="J136" s="82" t="n"/>
      <c r="K136" s="82" t="n"/>
      <c r="L136" s="82" t="n"/>
    </row>
    <row r="137">
      <c r="A137" s="82" t="n"/>
      <c r="B137" s="82" t="n"/>
      <c r="C137" s="82" t="n"/>
      <c r="D137" s="82" t="n"/>
      <c r="E137" s="82" t="n"/>
      <c r="F137" s="82" t="n"/>
      <c r="G137" s="82" t="n"/>
      <c r="H137" s="82" t="n"/>
      <c r="I137" s="82" t="n"/>
      <c r="J137" s="82" t="n"/>
      <c r="K137" s="82" t="n"/>
      <c r="L137" s="82" t="n"/>
    </row>
    <row r="138">
      <c r="A138" s="82" t="n"/>
      <c r="B138" s="82" t="n"/>
      <c r="C138" s="82" t="n"/>
      <c r="D138" s="82" t="n"/>
      <c r="E138" s="82" t="n"/>
      <c r="F138" s="82" t="n"/>
      <c r="G138" s="82" t="n"/>
      <c r="H138" s="82" t="n"/>
      <c r="I138" s="82" t="n"/>
      <c r="J138" s="82" t="n"/>
      <c r="K138" s="82" t="n"/>
      <c r="L138" s="82" t="n"/>
    </row>
    <row r="139">
      <c r="A139" s="82" t="n"/>
      <c r="B139" s="82" t="n"/>
      <c r="C139" s="82" t="n"/>
      <c r="D139" s="82" t="n"/>
      <c r="E139" s="82" t="n"/>
      <c r="F139" s="82" t="n"/>
      <c r="G139" s="82" t="n"/>
      <c r="H139" s="82" t="n"/>
      <c r="I139" s="82" t="n"/>
      <c r="J139" s="82" t="n"/>
      <c r="K139" s="82" t="n"/>
      <c r="L139" s="82" t="n"/>
    </row>
    <row r="140">
      <c r="A140" s="82" t="n"/>
      <c r="B140" s="82" t="n"/>
      <c r="C140" s="82" t="n"/>
      <c r="D140" s="82" t="n"/>
      <c r="E140" s="82" t="n"/>
      <c r="F140" s="82" t="n"/>
      <c r="G140" s="82" t="n"/>
      <c r="H140" s="82" t="n"/>
      <c r="I140" s="82" t="n"/>
      <c r="J140" s="82" t="n"/>
      <c r="K140" s="82" t="n"/>
      <c r="L140" s="82" t="n"/>
    </row>
    <row r="141">
      <c r="A141" s="82" t="n"/>
      <c r="B141" s="82" t="n"/>
      <c r="C141" s="82" t="n"/>
      <c r="D141" s="82" t="n"/>
      <c r="E141" s="82" t="n"/>
      <c r="F141" s="82" t="n"/>
      <c r="G141" s="82" t="n"/>
      <c r="H141" s="82" t="n"/>
      <c r="I141" s="82" t="n"/>
      <c r="J141" s="82" t="n"/>
      <c r="K141" s="82" t="n"/>
      <c r="L141" s="82" t="n"/>
    </row>
    <row r="142">
      <c r="A142" s="82" t="n"/>
      <c r="B142" s="82" t="n"/>
      <c r="C142" s="82" t="n"/>
      <c r="D142" s="82" t="n"/>
      <c r="E142" s="82" t="n"/>
      <c r="F142" s="82" t="n"/>
      <c r="G142" s="82" t="n"/>
      <c r="H142" s="82" t="n"/>
      <c r="I142" s="82" t="n"/>
      <c r="J142" s="82" t="n"/>
      <c r="K142" s="82" t="n"/>
      <c r="L142" s="82" t="n"/>
    </row>
    <row r="143">
      <c r="A143" s="82" t="n"/>
      <c r="B143" s="82" t="n"/>
      <c r="C143" s="82" t="n"/>
      <c r="D143" s="82" t="n"/>
      <c r="E143" s="82" t="n"/>
      <c r="F143" s="82" t="n"/>
      <c r="G143" s="82" t="n"/>
      <c r="H143" s="82" t="n"/>
      <c r="I143" s="82" t="n"/>
      <c r="J143" s="82" t="n"/>
      <c r="K143" s="82" t="n"/>
      <c r="L143" s="82" t="n"/>
    </row>
    <row r="144">
      <c r="A144" s="82" t="n"/>
      <c r="B144" s="82" t="n"/>
      <c r="C144" s="82" t="n"/>
      <c r="D144" s="82" t="n"/>
      <c r="E144" s="82" t="n"/>
      <c r="F144" s="82" t="n"/>
      <c r="G144" s="82" t="n"/>
      <c r="H144" s="82" t="n"/>
      <c r="I144" s="82" t="n"/>
      <c r="J144" s="82" t="n"/>
      <c r="K144" s="82" t="n"/>
      <c r="L144" s="82" t="n"/>
    </row>
    <row r="145">
      <c r="A145" s="82" t="n"/>
      <c r="B145" s="82" t="n"/>
      <c r="C145" s="82" t="n"/>
      <c r="D145" s="82" t="n"/>
      <c r="E145" s="82" t="n"/>
      <c r="F145" s="82" t="n"/>
      <c r="G145" s="82" t="n"/>
      <c r="H145" s="82" t="n"/>
      <c r="I145" s="82" t="n"/>
      <c r="J145" s="82" t="n"/>
      <c r="K145" s="82" t="n"/>
      <c r="L145" s="82" t="n"/>
    </row>
    <row r="146">
      <c r="A146" s="82" t="n"/>
      <c r="B146" s="82" t="n"/>
      <c r="C146" s="82" t="n"/>
      <c r="D146" s="82" t="n"/>
      <c r="E146" s="82" t="n"/>
      <c r="F146" s="82" t="n"/>
      <c r="G146" s="82" t="n"/>
      <c r="H146" s="82" t="n"/>
      <c r="I146" s="82" t="n"/>
      <c r="J146" s="82" t="n"/>
      <c r="K146" s="82" t="n"/>
      <c r="L146" s="82" t="n"/>
    </row>
    <row r="147">
      <c r="A147" s="82" t="n"/>
      <c r="B147" s="82" t="n"/>
      <c r="C147" s="82" t="n"/>
      <c r="D147" s="82" t="n"/>
      <c r="E147" s="82" t="n"/>
      <c r="F147" s="82" t="n"/>
      <c r="G147" s="82" t="n"/>
      <c r="H147" s="82" t="n"/>
      <c r="I147" s="82" t="n"/>
      <c r="J147" s="82" t="n"/>
      <c r="K147" s="82" t="n"/>
      <c r="L147" s="82" t="n"/>
    </row>
    <row r="148">
      <c r="A148" s="82" t="n"/>
      <c r="B148" s="82" t="n"/>
      <c r="C148" s="82" t="n"/>
      <c r="D148" s="82" t="n"/>
      <c r="E148" s="82" t="n"/>
      <c r="F148" s="82" t="n"/>
      <c r="G148" s="82" t="n"/>
      <c r="H148" s="82" t="n"/>
      <c r="I148" s="82" t="n"/>
      <c r="J148" s="82" t="n"/>
      <c r="K148" s="82" t="n"/>
      <c r="L148" s="82" t="n"/>
    </row>
    <row r="149">
      <c r="A149" s="82" t="n"/>
      <c r="B149" s="82" t="n"/>
      <c r="C149" s="82" t="n"/>
      <c r="D149" s="82" t="n"/>
      <c r="E149" s="82" t="n"/>
      <c r="F149" s="82" t="n"/>
      <c r="G149" s="82" t="n"/>
      <c r="H149" s="82" t="n"/>
      <c r="I149" s="82" t="n"/>
      <c r="J149" s="82" t="n"/>
      <c r="K149" s="82" t="n"/>
      <c r="L149" s="82" t="n"/>
    </row>
    <row r="150">
      <c r="A150" s="82" t="n"/>
      <c r="B150" s="82" t="n"/>
      <c r="C150" s="82" t="n"/>
      <c r="D150" s="82" t="n"/>
      <c r="E150" s="82" t="n"/>
      <c r="F150" s="82" t="n"/>
      <c r="G150" s="82" t="n"/>
      <c r="H150" s="82" t="n"/>
      <c r="I150" s="82" t="n"/>
      <c r="J150" s="82" t="n"/>
      <c r="K150" s="82" t="n"/>
      <c r="L150" s="82" t="n"/>
    </row>
    <row r="151">
      <c r="A151" s="82" t="n"/>
      <c r="B151" s="82" t="n"/>
      <c r="C151" s="82" t="n"/>
      <c r="D151" s="82" t="n"/>
      <c r="E151" s="82" t="n"/>
      <c r="F151" s="82" t="n"/>
      <c r="G151" s="82" t="n"/>
      <c r="H151" s="82" t="n"/>
      <c r="I151" s="82" t="n"/>
      <c r="J151" s="82" t="n"/>
      <c r="K151" s="82" t="n"/>
      <c r="L151" s="82" t="n"/>
    </row>
    <row r="152">
      <c r="A152" s="82" t="n"/>
      <c r="B152" s="82" t="n"/>
      <c r="C152" s="82" t="n"/>
      <c r="D152" s="82" t="n"/>
      <c r="E152" s="82" t="n"/>
      <c r="F152" s="82" t="n"/>
      <c r="G152" s="82" t="n"/>
      <c r="H152" s="82" t="n"/>
      <c r="I152" s="82" t="n"/>
      <c r="J152" s="82" t="n"/>
      <c r="K152" s="82" t="n"/>
      <c r="L152" s="82" t="n"/>
    </row>
    <row r="153">
      <c r="A153" s="82" t="n"/>
      <c r="B153" s="82" t="n"/>
      <c r="C153" s="82" t="n"/>
      <c r="D153" s="82" t="n"/>
      <c r="E153" s="82" t="n"/>
      <c r="F153" s="82" t="n"/>
      <c r="G153" s="82" t="n"/>
      <c r="H153" s="82" t="n"/>
      <c r="I153" s="82" t="n"/>
      <c r="J153" s="82" t="n"/>
      <c r="K153" s="82" t="n"/>
      <c r="L153" s="82" t="n"/>
    </row>
    <row r="154">
      <c r="A154" s="82" t="n"/>
      <c r="B154" s="82" t="n"/>
      <c r="C154" s="82" t="n"/>
      <c r="D154" s="82" t="n"/>
      <c r="E154" s="82" t="n"/>
      <c r="F154" s="82" t="n"/>
      <c r="G154" s="82" t="n"/>
      <c r="H154" s="82" t="n"/>
      <c r="I154" s="82" t="n"/>
      <c r="J154" s="82" t="n"/>
      <c r="K154" s="82" t="n"/>
      <c r="L154" s="82" t="n"/>
    </row>
    <row r="155">
      <c r="A155" s="82" t="n"/>
      <c r="B155" s="82" t="n"/>
      <c r="C155" s="82" t="n"/>
      <c r="D155" s="82" t="n"/>
      <c r="E155" s="82" t="n"/>
      <c r="F155" s="82" t="n"/>
      <c r="G155" s="82" t="n"/>
      <c r="H155" s="82" t="n"/>
      <c r="I155" s="82" t="n"/>
      <c r="J155" s="82" t="n"/>
      <c r="K155" s="82" t="n"/>
      <c r="L155" s="82" t="n"/>
    </row>
    <row r="156">
      <c r="A156" s="82" t="n"/>
      <c r="B156" s="82" t="n"/>
      <c r="C156" s="82" t="n"/>
      <c r="D156" s="82" t="n"/>
      <c r="E156" s="82" t="n"/>
      <c r="F156" s="82" t="n"/>
      <c r="G156" s="82" t="n"/>
      <c r="H156" s="82" t="n"/>
      <c r="I156" s="82" t="n"/>
      <c r="J156" s="82" t="n"/>
      <c r="K156" s="82" t="n"/>
      <c r="L156" s="82" t="n"/>
    </row>
    <row r="157">
      <c r="A157" s="82" t="n"/>
      <c r="B157" s="82" t="n"/>
      <c r="C157" s="82" t="n"/>
      <c r="D157" s="82" t="n"/>
      <c r="E157" s="82" t="n"/>
      <c r="F157" s="82" t="n"/>
      <c r="G157" s="82" t="n"/>
      <c r="H157" s="82" t="n"/>
      <c r="I157" s="82" t="n"/>
      <c r="J157" s="82" t="n"/>
      <c r="K157" s="82" t="n"/>
      <c r="L157" s="82" t="n"/>
    </row>
    <row r="158">
      <c r="A158" s="82" t="n"/>
      <c r="B158" s="82" t="n"/>
      <c r="C158" s="82" t="n"/>
      <c r="D158" s="82" t="n"/>
      <c r="E158" s="82" t="n"/>
      <c r="F158" s="82" t="n"/>
      <c r="G158" s="82" t="n"/>
      <c r="H158" s="82" t="n"/>
      <c r="I158" s="82" t="n"/>
      <c r="J158" s="82" t="n"/>
      <c r="K158" s="82" t="n"/>
      <c r="L158" s="82" t="n"/>
    </row>
    <row r="159">
      <c r="A159" s="82" t="n"/>
      <c r="B159" s="82" t="n"/>
      <c r="C159" s="82" t="n"/>
      <c r="D159" s="82" t="n"/>
      <c r="E159" s="82" t="n"/>
      <c r="F159" s="82" t="n"/>
      <c r="G159" s="82" t="n"/>
      <c r="H159" s="82" t="n"/>
      <c r="I159" s="82" t="n"/>
      <c r="J159" s="82" t="n"/>
      <c r="K159" s="82" t="n"/>
      <c r="L159" s="82" t="n"/>
    </row>
    <row r="160">
      <c r="A160" s="82" t="n"/>
      <c r="B160" s="82" t="n"/>
      <c r="C160" s="82" t="n"/>
      <c r="D160" s="82" t="n"/>
      <c r="E160" s="82" t="n"/>
      <c r="F160" s="82" t="n"/>
      <c r="G160" s="82" t="n"/>
      <c r="H160" s="82" t="n"/>
      <c r="I160" s="82" t="n"/>
      <c r="J160" s="82" t="n"/>
      <c r="K160" s="82" t="n"/>
      <c r="L160" s="82" t="n"/>
    </row>
    <row r="161">
      <c r="A161" s="82" t="n"/>
      <c r="B161" s="82" t="n"/>
      <c r="C161" s="82" t="n"/>
      <c r="D161" s="82" t="n"/>
      <c r="E161" s="82" t="n"/>
      <c r="F161" s="82" t="n"/>
      <c r="G161" s="82" t="n"/>
      <c r="H161" s="82" t="n"/>
      <c r="I161" s="82" t="n"/>
      <c r="J161" s="82" t="n"/>
      <c r="K161" s="82" t="n"/>
      <c r="L161" s="82" t="n"/>
    </row>
    <row r="162">
      <c r="A162" s="82" t="n"/>
      <c r="B162" s="82" t="n"/>
      <c r="C162" s="82" t="n"/>
      <c r="D162" s="82" t="n"/>
      <c r="E162" s="82" t="n"/>
      <c r="F162" s="82" t="n"/>
      <c r="G162" s="82" t="n"/>
      <c r="H162" s="82" t="n"/>
      <c r="I162" s="82" t="n"/>
      <c r="J162" s="82" t="n"/>
      <c r="K162" s="82" t="n"/>
      <c r="L162" s="82" t="n"/>
    </row>
    <row r="163">
      <c r="A163" s="82" t="n"/>
      <c r="B163" s="82" t="n"/>
      <c r="C163" s="82" t="n"/>
      <c r="D163" s="82" t="n"/>
      <c r="E163" s="82" t="n"/>
      <c r="F163" s="82" t="n"/>
      <c r="G163" s="82" t="n"/>
      <c r="H163" s="82" t="n"/>
      <c r="I163" s="82" t="n"/>
      <c r="J163" s="82" t="n"/>
      <c r="K163" s="82" t="n"/>
      <c r="L163" s="82" t="n"/>
    </row>
    <row r="164">
      <c r="A164" s="82" t="n"/>
      <c r="B164" s="82" t="n"/>
      <c r="C164" s="82" t="n"/>
      <c r="D164" s="82" t="n"/>
      <c r="E164" s="82" t="n"/>
      <c r="F164" s="82" t="n"/>
      <c r="G164" s="82" t="n"/>
      <c r="H164" s="82" t="n"/>
      <c r="I164" s="82" t="n"/>
      <c r="J164" s="82" t="n"/>
      <c r="K164" s="82" t="n"/>
      <c r="L164" s="82" t="n"/>
    </row>
    <row r="165">
      <c r="A165" s="82" t="n"/>
      <c r="B165" s="82" t="n"/>
      <c r="C165" s="82" t="n"/>
      <c r="D165" s="82" t="n"/>
      <c r="E165" s="82" t="n"/>
      <c r="F165" s="82" t="n"/>
      <c r="G165" s="82" t="n"/>
      <c r="H165" s="82" t="n"/>
      <c r="I165" s="82" t="n"/>
      <c r="J165" s="82" t="n"/>
      <c r="K165" s="82" t="n"/>
      <c r="L165" s="82" t="n"/>
    </row>
    <row r="166">
      <c r="A166" s="82" t="n"/>
      <c r="B166" s="82" t="n"/>
      <c r="C166" s="82" t="n"/>
      <c r="D166" s="82" t="n"/>
      <c r="E166" s="82" t="n"/>
      <c r="F166" s="82" t="n"/>
      <c r="G166" s="82" t="n"/>
      <c r="H166" s="82" t="n"/>
      <c r="I166" s="82" t="n"/>
      <c r="J166" s="82" t="n"/>
      <c r="K166" s="82" t="n"/>
      <c r="L166" s="82" t="n"/>
    </row>
    <row r="167">
      <c r="A167" s="82" t="n"/>
      <c r="B167" s="82" t="n"/>
      <c r="C167" s="82" t="n"/>
      <c r="D167" s="82" t="n"/>
      <c r="E167" s="82" t="n"/>
      <c r="F167" s="82" t="n"/>
      <c r="G167" s="82" t="n"/>
      <c r="H167" s="82" t="n"/>
      <c r="I167" s="82" t="n"/>
      <c r="J167" s="82" t="n"/>
      <c r="K167" s="82" t="n"/>
      <c r="L167" s="82" t="n"/>
    </row>
    <row r="168">
      <c r="A168" s="82" t="n"/>
      <c r="B168" s="82" t="n"/>
      <c r="C168" s="82" t="n"/>
      <c r="D168" s="82" t="n"/>
      <c r="E168" s="82" t="n"/>
      <c r="F168" s="82" t="n"/>
      <c r="G168" s="82" t="n"/>
      <c r="H168" s="82" t="n"/>
      <c r="I168" s="82" t="n"/>
      <c r="J168" s="82" t="n"/>
      <c r="K168" s="82" t="n"/>
      <c r="L168" s="82" t="n"/>
    </row>
    <row r="169">
      <c r="A169" s="82" t="n"/>
      <c r="B169" s="82" t="n"/>
      <c r="C169" s="82" t="n"/>
      <c r="D169" s="82" t="n"/>
      <c r="E169" s="82" t="n"/>
      <c r="F169" s="82" t="n"/>
      <c r="G169" s="82" t="n"/>
      <c r="H169" s="82" t="n"/>
      <c r="I169" s="82" t="n"/>
      <c r="J169" s="82" t="n"/>
      <c r="K169" s="82" t="n"/>
      <c r="L169" s="82" t="n"/>
    </row>
    <row r="170">
      <c r="A170" s="82" t="n"/>
      <c r="B170" s="82" t="n"/>
      <c r="C170" s="82" t="n"/>
      <c r="D170" s="82" t="n"/>
      <c r="E170" s="82" t="n"/>
      <c r="F170" s="82" t="n"/>
      <c r="G170" s="82" t="n"/>
      <c r="H170" s="82" t="n"/>
      <c r="I170" s="82" t="n"/>
      <c r="J170" s="82" t="n"/>
      <c r="K170" s="82" t="n"/>
      <c r="L170" s="82" t="n"/>
    </row>
    <row r="171">
      <c r="A171" s="82" t="n"/>
      <c r="B171" s="82" t="n"/>
      <c r="C171" s="82" t="n"/>
      <c r="D171" s="82" t="n"/>
      <c r="E171" s="82" t="n"/>
      <c r="F171" s="82" t="n"/>
      <c r="G171" s="82" t="n"/>
      <c r="H171" s="82" t="n"/>
      <c r="I171" s="82" t="n"/>
      <c r="J171" s="82" t="n"/>
      <c r="K171" s="82" t="n"/>
      <c r="L171" s="82" t="n"/>
    </row>
    <row r="172">
      <c r="A172" s="82" t="n"/>
      <c r="B172" s="82" t="n"/>
      <c r="C172" s="82" t="n"/>
      <c r="D172" s="82" t="n"/>
      <c r="E172" s="82" t="n"/>
      <c r="F172" s="82" t="n"/>
      <c r="G172" s="82" t="n"/>
      <c r="H172" s="82" t="n"/>
      <c r="I172" s="82" t="n"/>
      <c r="J172" s="82" t="n"/>
      <c r="K172" s="82" t="n"/>
      <c r="L172" s="82" t="n"/>
    </row>
    <row r="173">
      <c r="A173" s="82" t="n"/>
      <c r="B173" s="82" t="n"/>
      <c r="C173" s="82" t="n"/>
      <c r="D173" s="82" t="n"/>
      <c r="E173" s="82" t="n"/>
      <c r="F173" s="82" t="n"/>
      <c r="G173" s="82" t="n"/>
      <c r="H173" s="82" t="n"/>
      <c r="I173" s="82" t="n"/>
      <c r="J173" s="82" t="n"/>
      <c r="K173" s="82" t="n"/>
      <c r="L173" s="82" t="n"/>
    </row>
    <row r="174">
      <c r="A174" s="82" t="n"/>
      <c r="B174" s="82" t="n"/>
      <c r="C174" s="82" t="n"/>
      <c r="D174" s="82" t="n"/>
      <c r="E174" s="82" t="n"/>
      <c r="F174" s="82" t="n"/>
      <c r="G174" s="82" t="n"/>
      <c r="H174" s="82" t="n"/>
      <c r="I174" s="82" t="n"/>
      <c r="J174" s="82" t="n"/>
      <c r="K174" s="82" t="n"/>
      <c r="L174" s="82" t="n"/>
    </row>
    <row r="175">
      <c r="A175" s="82" t="n"/>
      <c r="B175" s="82" t="n"/>
      <c r="C175" s="82" t="n"/>
      <c r="D175" s="82" t="n"/>
      <c r="E175" s="82" t="n"/>
      <c r="F175" s="82" t="n"/>
      <c r="G175" s="82" t="n"/>
      <c r="H175" s="82" t="n"/>
      <c r="I175" s="82" t="n"/>
      <c r="J175" s="82" t="n"/>
      <c r="K175" s="82" t="n"/>
      <c r="L175" s="82" t="n"/>
    </row>
    <row r="176">
      <c r="A176" s="82" t="n"/>
      <c r="B176" s="82" t="n"/>
      <c r="C176" s="82" t="n"/>
      <c r="D176" s="82" t="n"/>
      <c r="E176" s="82" t="n"/>
      <c r="F176" s="82" t="n"/>
      <c r="G176" s="82" t="n"/>
      <c r="H176" s="82" t="n"/>
      <c r="I176" s="82" t="n"/>
      <c r="J176" s="82" t="n"/>
      <c r="K176" s="82" t="n"/>
      <c r="L176" s="82" t="n"/>
    </row>
    <row r="177">
      <c r="A177" s="82" t="n"/>
      <c r="B177" s="82" t="n"/>
      <c r="C177" s="82" t="n"/>
      <c r="D177" s="82" t="n"/>
      <c r="E177" s="82" t="n"/>
      <c r="F177" s="82" t="n"/>
      <c r="G177" s="82" t="n"/>
      <c r="H177" s="82" t="n"/>
      <c r="I177" s="82" t="n"/>
      <c r="J177" s="82" t="n"/>
      <c r="K177" s="82" t="n"/>
      <c r="L177" s="82" t="n"/>
    </row>
    <row r="178">
      <c r="A178" s="82" t="n"/>
      <c r="B178" s="82" t="n"/>
      <c r="C178" s="82" t="n"/>
      <c r="D178" s="82" t="n"/>
      <c r="E178" s="82" t="n"/>
      <c r="F178" s="82" t="n"/>
      <c r="G178" s="82" t="n"/>
      <c r="H178" s="82" t="n"/>
      <c r="I178" s="82" t="n"/>
      <c r="J178" s="82" t="n"/>
      <c r="K178" s="82" t="n"/>
      <c r="L178" s="82" t="n"/>
    </row>
    <row r="179">
      <c r="A179" s="82" t="n"/>
      <c r="B179" s="82" t="n"/>
      <c r="C179" s="82" t="n"/>
      <c r="D179" s="82" t="n"/>
      <c r="E179" s="82" t="n"/>
      <c r="F179" s="82" t="n"/>
      <c r="G179" s="82" t="n"/>
      <c r="H179" s="82" t="n"/>
      <c r="I179" s="82" t="n"/>
      <c r="J179" s="82" t="n"/>
      <c r="K179" s="82" t="n"/>
      <c r="L179" s="82" t="n"/>
    </row>
    <row r="180">
      <c r="A180" s="82" t="n"/>
      <c r="B180" s="82" t="n"/>
      <c r="C180" s="82" t="n"/>
      <c r="D180" s="82" t="n"/>
      <c r="E180" s="82" t="n"/>
      <c r="F180" s="82" t="n"/>
      <c r="G180" s="82" t="n"/>
      <c r="H180" s="82" t="n"/>
      <c r="I180" s="82" t="n"/>
      <c r="J180" s="82" t="n"/>
      <c r="K180" s="82" t="n"/>
      <c r="L180" s="82" t="n"/>
    </row>
    <row r="181">
      <c r="A181" s="82" t="n"/>
      <c r="B181" s="82" t="n"/>
      <c r="C181" s="82" t="n"/>
      <c r="D181" s="82" t="n"/>
      <c r="E181" s="82" t="n"/>
      <c r="F181" s="82" t="n"/>
      <c r="G181" s="82" t="n"/>
      <c r="H181" s="82" t="n"/>
      <c r="I181" s="82" t="n"/>
      <c r="J181" s="82" t="n"/>
      <c r="K181" s="82" t="n"/>
      <c r="L181" s="82" t="n"/>
    </row>
    <row r="182">
      <c r="A182" s="82" t="n"/>
      <c r="B182" s="82" t="n"/>
      <c r="C182" s="82" t="n"/>
      <c r="D182" s="82" t="n"/>
      <c r="E182" s="82" t="n"/>
      <c r="F182" s="82" t="n"/>
      <c r="G182" s="82" t="n"/>
      <c r="H182" s="82" t="n"/>
      <c r="I182" s="82" t="n"/>
      <c r="J182" s="82" t="n"/>
      <c r="K182" s="82" t="n"/>
      <c r="L182" s="82" t="n"/>
    </row>
    <row r="183">
      <c r="A183" s="82" t="n"/>
      <c r="B183" s="82" t="n"/>
      <c r="C183" s="82" t="n"/>
      <c r="D183" s="82" t="n"/>
      <c r="E183" s="82" t="n"/>
      <c r="F183" s="82" t="n"/>
      <c r="G183" s="82" t="n"/>
      <c r="H183" s="82" t="n"/>
      <c r="I183" s="82" t="n"/>
      <c r="J183" s="82" t="n"/>
      <c r="K183" s="82" t="n"/>
      <c r="L183" s="82" t="n"/>
    </row>
    <row r="184">
      <c r="A184" s="82" t="n"/>
      <c r="B184" s="82" t="n"/>
      <c r="C184" s="82" t="n"/>
      <c r="D184" s="82" t="n"/>
      <c r="E184" s="82" t="n"/>
      <c r="F184" s="82" t="n"/>
      <c r="G184" s="82" t="n"/>
      <c r="H184" s="82" t="n"/>
      <c r="I184" s="82" t="n"/>
      <c r="J184" s="82" t="n"/>
      <c r="K184" s="82" t="n"/>
      <c r="L184" s="82" t="n"/>
    </row>
    <row r="185">
      <c r="A185" s="82" t="n"/>
      <c r="B185" s="82" t="n"/>
      <c r="C185" s="82" t="n"/>
      <c r="D185" s="82" t="n"/>
      <c r="E185" s="82" t="n"/>
      <c r="F185" s="82" t="n"/>
      <c r="G185" s="82" t="n"/>
      <c r="H185" s="82" t="n"/>
      <c r="I185" s="82" t="n"/>
      <c r="J185" s="82" t="n"/>
      <c r="K185" s="82" t="n"/>
      <c r="L185" s="82" t="n"/>
    </row>
    <row r="186">
      <c r="A186" s="82" t="n"/>
      <c r="B186" s="82" t="n"/>
      <c r="C186" s="82" t="n"/>
      <c r="D186" s="82" t="n"/>
      <c r="E186" s="82" t="n"/>
      <c r="F186" s="82" t="n"/>
      <c r="G186" s="82" t="n"/>
      <c r="H186" s="82" t="n"/>
      <c r="I186" s="82" t="n"/>
      <c r="J186" s="82" t="n"/>
      <c r="K186" s="82" t="n"/>
      <c r="L186" s="82" t="n"/>
    </row>
    <row r="187">
      <c r="A187" s="82" t="n"/>
      <c r="B187" s="82" t="n"/>
      <c r="C187" s="82" t="n"/>
      <c r="D187" s="82" t="n"/>
      <c r="E187" s="82" t="n"/>
      <c r="F187" s="82" t="n"/>
      <c r="G187" s="82" t="n"/>
      <c r="H187" s="82" t="n"/>
      <c r="I187" s="82" t="n"/>
      <c r="J187" s="82" t="n"/>
      <c r="K187" s="82" t="n"/>
      <c r="L187" s="82" t="n"/>
    </row>
    <row r="188">
      <c r="A188" s="82" t="n"/>
      <c r="B188" s="82" t="n"/>
      <c r="C188" s="82" t="n"/>
      <c r="D188" s="82" t="n"/>
      <c r="E188" s="82" t="n"/>
      <c r="F188" s="82" t="n"/>
      <c r="G188" s="82" t="n"/>
      <c r="H188" s="82" t="n"/>
      <c r="I188" s="82" t="n"/>
      <c r="J188" s="82" t="n"/>
      <c r="K188" s="82" t="n"/>
      <c r="L188" s="82" t="n"/>
    </row>
    <row r="189">
      <c r="A189" s="82" t="n"/>
      <c r="B189" s="82" t="n"/>
      <c r="C189" s="82" t="n"/>
      <c r="D189" s="82" t="n"/>
      <c r="E189" s="82" t="n"/>
      <c r="F189" s="82" t="n"/>
      <c r="G189" s="82" t="n"/>
      <c r="H189" s="82" t="n"/>
      <c r="I189" s="82" t="n"/>
      <c r="J189" s="82" t="n"/>
      <c r="K189" s="82" t="n"/>
      <c r="L189" s="82" t="n"/>
    </row>
    <row r="190">
      <c r="A190" s="82" t="n"/>
      <c r="B190" s="82" t="n"/>
      <c r="C190" s="82" t="n"/>
      <c r="D190" s="82" t="n"/>
      <c r="E190" s="82" t="n"/>
      <c r="F190" s="82" t="n"/>
      <c r="G190" s="82" t="n"/>
      <c r="H190" s="82" t="n"/>
      <c r="I190" s="82" t="n"/>
      <c r="J190" s="82" t="n"/>
      <c r="K190" s="82" t="n"/>
      <c r="L190" s="82" t="n"/>
    </row>
    <row r="191">
      <c r="A191" s="82" t="n"/>
      <c r="B191" s="82" t="n"/>
      <c r="C191" s="82" t="n"/>
      <c r="D191" s="82" t="n"/>
      <c r="E191" s="82" t="n"/>
      <c r="F191" s="82" t="n"/>
      <c r="G191" s="82" t="n"/>
      <c r="H191" s="82" t="n"/>
      <c r="I191" s="82" t="n"/>
      <c r="J191" s="82" t="n"/>
      <c r="K191" s="82" t="n"/>
      <c r="L191" s="82" t="n"/>
    </row>
    <row r="192">
      <c r="A192" s="82" t="n"/>
      <c r="B192" s="82" t="n"/>
      <c r="C192" s="82" t="n"/>
      <c r="D192" s="82" t="n"/>
      <c r="E192" s="82" t="n"/>
      <c r="F192" s="82" t="n"/>
      <c r="G192" s="82" t="n"/>
      <c r="H192" s="82" t="n"/>
      <c r="I192" s="82" t="n"/>
      <c r="J192" s="82" t="n"/>
      <c r="K192" s="82" t="n"/>
      <c r="L192" s="82" t="n"/>
    </row>
    <row r="193">
      <c r="A193" s="82" t="n"/>
      <c r="B193" s="82" t="n"/>
      <c r="C193" s="82" t="n"/>
      <c r="D193" s="82" t="n"/>
      <c r="E193" s="82" t="n"/>
      <c r="F193" s="82" t="n"/>
      <c r="G193" s="82" t="n"/>
      <c r="H193" s="82" t="n"/>
      <c r="I193" s="82" t="n"/>
      <c r="J193" s="82" t="n"/>
      <c r="K193" s="82" t="n"/>
      <c r="L193" s="82" t="n"/>
    </row>
    <row r="194">
      <c r="A194" s="82" t="n"/>
      <c r="B194" s="82" t="n"/>
      <c r="C194" s="82" t="n"/>
      <c r="D194" s="82" t="n"/>
      <c r="E194" s="82" t="n"/>
      <c r="F194" s="82" t="n"/>
      <c r="G194" s="82" t="n"/>
      <c r="H194" s="82" t="n"/>
      <c r="I194" s="82" t="n"/>
      <c r="J194" s="82" t="n"/>
      <c r="K194" s="82" t="n"/>
      <c r="L194" s="82" t="n"/>
    </row>
    <row r="195">
      <c r="A195" s="82" t="n"/>
      <c r="B195" s="82" t="n"/>
      <c r="C195" s="82" t="n"/>
      <c r="D195" s="82" t="n"/>
      <c r="E195" s="82" t="n"/>
      <c r="F195" s="82" t="n"/>
      <c r="G195" s="82" t="n"/>
      <c r="H195" s="82" t="n"/>
      <c r="I195" s="82" t="n"/>
      <c r="J195" s="82" t="n"/>
      <c r="K195" s="82" t="n"/>
      <c r="L195" s="82" t="n"/>
    </row>
    <row r="196">
      <c r="A196" s="82" t="n"/>
      <c r="B196" s="82" t="n"/>
      <c r="C196" s="82" t="n"/>
      <c r="D196" s="82" t="n"/>
      <c r="E196" s="82" t="n"/>
      <c r="F196" s="82" t="n"/>
      <c r="G196" s="82" t="n"/>
      <c r="H196" s="82" t="n"/>
      <c r="I196" s="82" t="n"/>
      <c r="J196" s="82" t="n"/>
      <c r="K196" s="82" t="n"/>
      <c r="L196" s="82" t="n"/>
    </row>
    <row r="197">
      <c r="A197" s="82" t="n"/>
      <c r="B197" s="82" t="n"/>
      <c r="C197" s="82" t="n"/>
      <c r="D197" s="82" t="n"/>
      <c r="E197" s="82" t="n"/>
      <c r="F197" s="82" t="n"/>
      <c r="G197" s="82" t="n"/>
      <c r="H197" s="82" t="n"/>
      <c r="I197" s="82" t="n"/>
      <c r="J197" s="82" t="n"/>
      <c r="K197" s="82" t="n"/>
      <c r="L197" s="82" t="n"/>
    </row>
    <row r="198">
      <c r="A198" s="82" t="n"/>
      <c r="B198" s="82" t="n"/>
      <c r="C198" s="82" t="n"/>
      <c r="D198" s="82" t="n"/>
      <c r="E198" s="82" t="n"/>
      <c r="F198" s="82" t="n"/>
      <c r="G198" s="82" t="n"/>
      <c r="H198" s="82" t="n"/>
      <c r="I198" s="82" t="n"/>
      <c r="J198" s="82" t="n"/>
      <c r="K198" s="82" t="n"/>
      <c r="L198" s="82" t="n"/>
    </row>
    <row r="199">
      <c r="A199" s="82" t="n"/>
      <c r="B199" s="82" t="n"/>
      <c r="C199" s="82" t="n"/>
      <c r="D199" s="82" t="n"/>
      <c r="E199" s="82" t="n"/>
      <c r="F199" s="82" t="n"/>
      <c r="G199" s="82" t="n"/>
      <c r="H199" s="82" t="n"/>
      <c r="I199" s="82" t="n"/>
      <c r="J199" s="82" t="n"/>
      <c r="K199" s="82" t="n"/>
      <c r="L199" s="82" t="n"/>
    </row>
    <row r="200">
      <c r="A200" s="82" t="n"/>
      <c r="B200" s="82" t="n"/>
      <c r="C200" s="82" t="n"/>
      <c r="D200" s="82" t="n"/>
      <c r="E200" s="82" t="n"/>
      <c r="F200" s="82" t="n"/>
      <c r="G200" s="82" t="n"/>
      <c r="H200" s="82" t="n"/>
      <c r="I200" s="82" t="n"/>
      <c r="J200" s="82" t="n"/>
      <c r="K200" s="82" t="n"/>
      <c r="L200" s="82" t="n"/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autoFilter ref="A4:N16"/>
  <mergeCells count="2">
    <mergeCell ref="A2:N2"/>
    <mergeCell ref="A1:N1"/>
  </mergeCells>
  <conditionalFormatting sqref="J5:J80">
    <cfRule type="expression" priority="1" dxfId="1">
      <formula>J5="Upcoming"</formula>
    </cfRule>
    <cfRule type="expression" priority="2" dxfId="2">
      <formula>J5="Due Soon"</formula>
    </cfRule>
    <cfRule type="expression" priority="3" dxfId="4">
      <formula>J5="Overdue"</formula>
    </cfRule>
    <cfRule type="expression" priority="4" dxfId="9">
      <formula>J5="Scheduled"</formula>
    </cfRule>
    <cfRule type="expression" priority="5" dxfId="0">
      <formula>J5="Complete"</formula>
    </cfRule>
  </conditionalFormatting>
  <dataValidations count="1">
    <dataValidation sqref="J5:J200" showDropDown="0" showInputMessage="0" showErrorMessage="1" allowBlank="1" errorTitle="Invalid value" error="Pick a value from the list." type="list">
      <formula1>=Maint_Status</formula1>
    </dataValidation>
  </dataValidations>
  <pageMargins left="0.4" right="0.4" top="0.6" bottom="0.5" header="0.25" footer="0.25"/>
  <pageSetup orientation="landscape" paperSize="3" fitToHeight="0" fitToWidth="1"/>
  <headerFooter>
    <oddHeader>&amp;LNovality Store  ·  Home Renovation System&amp;RMaintenance</oddHeader>
    <oddFooter>&amp;LConfidential  ·  Digital twin of the home&amp;RPage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rgb="004A6B73"/>
    <outlinePr summaryBelow="1" summaryRight="1"/>
    <pageSetUpPr fitToPage="1"/>
  </sheetPr>
  <dimension ref="A1:K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8" customWidth="1" min="4" max="4"/>
    <col width="22" customWidth="1" min="5" max="5"/>
    <col width="12" customWidth="1" min="6" max="6"/>
    <col width="12" customWidth="1" min="7" max="7"/>
    <col width="36" customWidth="1" min="8" max="8"/>
    <col width="22" customWidth="1" min="9" max="9"/>
    <col width="12" customWidth="1" min="10" max="10"/>
    <col width="28" customWidth="1" min="11" max="11"/>
  </cols>
  <sheetData>
    <row r="1" ht="28" customHeight="1">
      <c r="A1" s="1" t="inlineStr">
        <is>
          <t>INSPECTIONS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8" customHeight="1">
      <c r="A2" s="3" t="inlineStr">
        <is>
          <t>City + independent  ·  attach reports in the vault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 ht="22" customHeight="1">
      <c r="A4" s="66" t="inlineStr">
        <is>
          <t>Insp ID</t>
        </is>
      </c>
      <c r="B4" s="66" t="inlineStr">
        <is>
          <t>Project ID</t>
        </is>
      </c>
      <c r="C4" s="66" t="inlineStr">
        <is>
          <t>Room ID</t>
        </is>
      </c>
      <c r="D4" s="66" t="inlineStr">
        <is>
          <t>Type</t>
        </is>
      </c>
      <c r="E4" s="66" t="inlineStr">
        <is>
          <t>Inspector</t>
        </is>
      </c>
      <c r="F4" s="66" t="inlineStr">
        <is>
          <t>Date</t>
        </is>
      </c>
      <c r="G4" s="66" t="inlineStr">
        <is>
          <t>Result</t>
        </is>
      </c>
      <c r="H4" s="66" t="inlineStr">
        <is>
          <t>Issues Found</t>
        </is>
      </c>
      <c r="I4" s="66" t="inlineStr">
        <is>
          <t>Follow-up</t>
        </is>
      </c>
      <c r="J4" s="66" t="inlineStr">
        <is>
          <t>Status</t>
        </is>
      </c>
      <c r="K4" s="66" t="inlineStr">
        <is>
          <t>Report Link</t>
        </is>
      </c>
    </row>
    <row r="5" ht="18" customHeight="1">
      <c r="A5" s="67" t="inlineStr">
        <is>
          <t>INS-001</t>
        </is>
      </c>
      <c r="B5" s="67" t="inlineStr">
        <is>
          <t>PRJ-001</t>
        </is>
      </c>
      <c r="C5" s="67" t="inlineStr"/>
      <c r="D5" s="67" t="inlineStr">
        <is>
          <t>Building permit review</t>
        </is>
      </c>
      <c r="E5" s="68" t="inlineStr">
        <is>
          <t>Riley Grant</t>
        </is>
      </c>
      <c r="F5" s="69" t="n">
        <v>46124</v>
      </c>
      <c r="G5" s="68" t="inlineStr">
        <is>
          <t>Pass</t>
        </is>
      </c>
      <c r="H5" s="67" t="inlineStr">
        <is>
          <t>None</t>
        </is>
      </c>
      <c r="I5" s="67" t="inlineStr"/>
      <c r="J5" s="67" t="inlineStr">
        <is>
          <t>Complete</t>
        </is>
      </c>
      <c r="K5" s="68" t="inlineStr">
        <is>
          <t>drive/insp/permit.pdf</t>
        </is>
      </c>
    </row>
    <row r="6" ht="18" customHeight="1">
      <c r="A6" s="75" t="inlineStr">
        <is>
          <t>INS-002</t>
        </is>
      </c>
      <c r="B6" s="75" t="inlineStr">
        <is>
          <t>PRJ-001</t>
        </is>
      </c>
      <c r="C6" s="75" t="inlineStr">
        <is>
          <t>RM-01</t>
        </is>
      </c>
      <c r="D6" s="75" t="inlineStr">
        <is>
          <t>Electrical rough</t>
        </is>
      </c>
      <c r="E6" s="76" t="inlineStr">
        <is>
          <t>Riley Grant</t>
        </is>
      </c>
      <c r="F6" s="77" t="n">
        <v>46205</v>
      </c>
      <c r="G6" s="76" t="inlineStr">
        <is>
          <t>Pass</t>
        </is>
      </c>
      <c r="H6" s="75" t="inlineStr">
        <is>
          <t>Add AFCI in pantry — done same day</t>
        </is>
      </c>
      <c r="I6" s="75" t="inlineStr"/>
      <c r="J6" s="75" t="inlineStr">
        <is>
          <t>Complete</t>
        </is>
      </c>
      <c r="K6" s="76" t="inlineStr">
        <is>
          <t>drive/insp/elec-rough.pdf</t>
        </is>
      </c>
    </row>
    <row r="7" ht="18" customHeight="1">
      <c r="A7" s="67" t="inlineStr">
        <is>
          <t>INS-003</t>
        </is>
      </c>
      <c r="B7" s="67" t="inlineStr">
        <is>
          <t>PRJ-001</t>
        </is>
      </c>
      <c r="C7" s="67" t="inlineStr">
        <is>
          <t>RM-03</t>
        </is>
      </c>
      <c r="D7" s="67" t="inlineStr">
        <is>
          <t>Plumbing rough</t>
        </is>
      </c>
      <c r="E7" s="68" t="inlineStr">
        <is>
          <t>Riley Grant</t>
        </is>
      </c>
      <c r="F7" s="69" t="n">
        <v>46203</v>
      </c>
      <c r="G7" s="68" t="inlineStr">
        <is>
          <t>Pass</t>
        </is>
      </c>
      <c r="H7" s="67" t="inlineStr">
        <is>
          <t>None</t>
        </is>
      </c>
      <c r="I7" s="67" t="inlineStr"/>
      <c r="J7" s="67" t="inlineStr">
        <is>
          <t>Complete</t>
        </is>
      </c>
      <c r="K7" s="68" t="inlineStr">
        <is>
          <t>drive/insp/plumb-rough.pdf</t>
        </is>
      </c>
    </row>
    <row r="8" ht="18" customHeight="1">
      <c r="A8" s="75" t="inlineStr">
        <is>
          <t>INS-004</t>
        </is>
      </c>
      <c r="B8" s="75" t="inlineStr">
        <is>
          <t>PRJ-001</t>
        </is>
      </c>
      <c r="C8" s="75" t="inlineStr">
        <is>
          <t>RM-03</t>
        </is>
      </c>
      <c r="D8" s="75" t="inlineStr">
        <is>
          <t>Waterproofing / shower pan</t>
        </is>
      </c>
      <c r="E8" s="76" t="inlineStr">
        <is>
          <t>Marcus Webb</t>
        </is>
      </c>
      <c r="F8" s="77" t="n">
        <v>46213</v>
      </c>
      <c r="G8" s="76" t="inlineStr">
        <is>
          <t>Pass</t>
        </is>
      </c>
      <c r="H8" s="75" t="inlineStr">
        <is>
          <t>None</t>
        </is>
      </c>
      <c r="I8" s="75" t="inlineStr"/>
      <c r="J8" s="75" t="inlineStr">
        <is>
          <t>Complete</t>
        </is>
      </c>
      <c r="K8" s="76" t="inlineStr">
        <is>
          <t>drive/insp/pan.pdf</t>
        </is>
      </c>
    </row>
    <row r="9" ht="18" customHeight="1">
      <c r="A9" s="67" t="inlineStr">
        <is>
          <t>INS-005</t>
        </is>
      </c>
      <c r="B9" s="67" t="inlineStr">
        <is>
          <t>PRJ-001</t>
        </is>
      </c>
      <c r="C9" s="67" t="inlineStr">
        <is>
          <t>RM-03</t>
        </is>
      </c>
      <c r="D9" s="67" t="inlineStr">
        <is>
          <t>Primary bath punch</t>
        </is>
      </c>
      <c r="E9" s="68" t="inlineStr">
        <is>
          <t>Priya Shah</t>
        </is>
      </c>
      <c r="F9" s="69" t="n">
        <v>46260</v>
      </c>
      <c r="G9" s="68" t="inlineStr">
        <is>
          <t>Scheduled</t>
        </is>
      </c>
      <c r="H9" s="67" t="inlineStr">
        <is>
          <t>Haze on niche</t>
        </is>
      </c>
      <c r="I9" s="67" t="inlineStr">
        <is>
          <t>Reclean + photo</t>
        </is>
      </c>
      <c r="J9" s="67" t="inlineStr">
        <is>
          <t>Scheduled</t>
        </is>
      </c>
      <c r="K9" s="68" t="inlineStr"/>
    </row>
    <row r="10" ht="18" customHeight="1">
      <c r="A10" s="75" t="inlineStr">
        <is>
          <t>INS-006</t>
        </is>
      </c>
      <c r="B10" s="75" t="inlineStr">
        <is>
          <t>PRJ-001</t>
        </is>
      </c>
      <c r="C10" s="75" t="inlineStr"/>
      <c r="D10" s="75" t="inlineStr">
        <is>
          <t>Electrical final</t>
        </is>
      </c>
      <c r="E10" s="76" t="inlineStr">
        <is>
          <t>Riley Grant</t>
        </is>
      </c>
      <c r="F10" s="77" t="n">
        <v>46323</v>
      </c>
      <c r="G10" s="76" t="inlineStr">
        <is>
          <t>Scheduled</t>
        </is>
      </c>
      <c r="H10" s="75" t="inlineStr"/>
      <c r="I10" s="75" t="inlineStr">
        <is>
          <t>After devices</t>
        </is>
      </c>
      <c r="J10" s="75" t="inlineStr">
        <is>
          <t>Scheduled</t>
        </is>
      </c>
      <c r="K10" s="76" t="inlineStr"/>
    </row>
    <row r="11" ht="18" customHeight="1">
      <c r="A11" s="67" t="inlineStr">
        <is>
          <t>INS-007</t>
        </is>
      </c>
      <c r="B11" s="67" t="inlineStr">
        <is>
          <t>PRJ-001</t>
        </is>
      </c>
      <c r="C11" s="67" t="inlineStr"/>
      <c r="D11" s="67" t="inlineStr">
        <is>
          <t>Plumbing final</t>
        </is>
      </c>
      <c r="E11" s="68" t="inlineStr">
        <is>
          <t>Riley Grant</t>
        </is>
      </c>
      <c r="F11" s="69" t="n">
        <v>46323</v>
      </c>
      <c r="G11" s="68" t="inlineStr">
        <is>
          <t>Scheduled</t>
        </is>
      </c>
      <c r="H11" s="67" t="inlineStr"/>
      <c r="I11" s="67" t="inlineStr"/>
      <c r="J11" s="67" t="inlineStr">
        <is>
          <t>Scheduled</t>
        </is>
      </c>
      <c r="K11" s="68" t="inlineStr"/>
    </row>
    <row r="12" ht="18" customHeight="1">
      <c r="A12" s="75" t="inlineStr">
        <is>
          <t>INS-008</t>
        </is>
      </c>
      <c r="B12" s="75" t="inlineStr">
        <is>
          <t>PRJ-001</t>
        </is>
      </c>
      <c r="C12" s="75" t="inlineStr"/>
      <c r="D12" s="75" t="inlineStr">
        <is>
          <t>Building final</t>
        </is>
      </c>
      <c r="E12" s="76" t="inlineStr">
        <is>
          <t>Riley Grant</t>
        </is>
      </c>
      <c r="F12" s="77" t="n">
        <v>46330</v>
      </c>
      <c r="G12" s="76" t="inlineStr">
        <is>
          <t>Scheduled</t>
        </is>
      </c>
      <c r="H12" s="75" t="inlineStr"/>
      <c r="I12" s="75" t="inlineStr">
        <is>
          <t>After electrical/plumbing finals</t>
        </is>
      </c>
      <c r="J12" s="75" t="inlineStr">
        <is>
          <t>Scheduled</t>
        </is>
      </c>
      <c r="K12" s="76" t="inlineStr"/>
    </row>
    <row r="13" ht="18" customHeight="1">
      <c r="A13" s="67" t="inlineStr">
        <is>
          <t>INS-009</t>
        </is>
      </c>
      <c r="B13" s="67" t="inlineStr">
        <is>
          <t>PRJ-001</t>
        </is>
      </c>
      <c r="C13" s="67" t="inlineStr"/>
      <c r="D13" s="67" t="inlineStr">
        <is>
          <t>Independent punch</t>
        </is>
      </c>
      <c r="E13" s="68" t="inlineStr">
        <is>
          <t>Alder Inspection Group</t>
        </is>
      </c>
      <c r="F13" s="69" t="n">
        <v>46334</v>
      </c>
      <c r="G13" s="68" t="inlineStr">
        <is>
          <t>Scheduled</t>
        </is>
      </c>
      <c r="H13" s="67" t="inlineStr"/>
      <c r="I13" s="67" t="inlineStr">
        <is>
          <t>Pre-handover</t>
        </is>
      </c>
      <c r="J13" s="67" t="inlineStr">
        <is>
          <t>Scheduled</t>
        </is>
      </c>
      <c r="K13" s="68" t="inlineStr"/>
    </row>
    <row r="14">
      <c r="A14" s="82" t="n"/>
      <c r="B14" s="82" t="n"/>
      <c r="C14" s="82" t="n"/>
      <c r="D14" s="82" t="n"/>
      <c r="E14" s="82" t="n"/>
      <c r="F14" s="82" t="n"/>
      <c r="G14" s="82" t="n"/>
      <c r="H14" s="82" t="n"/>
      <c r="I14" s="82" t="n"/>
      <c r="J14" s="82" t="n"/>
      <c r="K14" s="82" t="n"/>
    </row>
    <row r="15">
      <c r="A15" s="82" t="n"/>
      <c r="B15" s="82" t="n"/>
      <c r="C15" s="82" t="n"/>
      <c r="D15" s="82" t="n"/>
      <c r="E15" s="82" t="n"/>
      <c r="F15" s="82" t="n"/>
      <c r="G15" s="82" t="n"/>
      <c r="H15" s="82" t="n"/>
      <c r="I15" s="82" t="n"/>
      <c r="J15" s="82" t="n"/>
      <c r="K15" s="82" t="n"/>
    </row>
    <row r="16">
      <c r="A16" s="82" t="n"/>
      <c r="B16" s="82" t="n"/>
      <c r="C16" s="82" t="n"/>
      <c r="D16" s="82" t="n"/>
      <c r="E16" s="82" t="n"/>
      <c r="F16" s="82" t="n"/>
      <c r="G16" s="82" t="n"/>
      <c r="H16" s="82" t="n"/>
      <c r="I16" s="82" t="n"/>
      <c r="J16" s="82" t="n"/>
      <c r="K16" s="82" t="n"/>
    </row>
    <row r="17">
      <c r="A17" s="82" t="n"/>
      <c r="B17" s="82" t="n"/>
      <c r="C17" s="82" t="n"/>
      <c r="D17" s="82" t="n"/>
      <c r="E17" s="82" t="n"/>
      <c r="F17" s="82" t="n"/>
      <c r="G17" s="82" t="n"/>
      <c r="H17" s="82" t="n"/>
      <c r="I17" s="82" t="n"/>
      <c r="J17" s="82" t="n"/>
      <c r="K17" s="82" t="n"/>
    </row>
    <row r="18">
      <c r="A18" s="82" t="n"/>
      <c r="B18" s="82" t="n"/>
      <c r="C18" s="82" t="n"/>
      <c r="D18" s="82" t="n"/>
      <c r="E18" s="82" t="n"/>
      <c r="F18" s="82" t="n"/>
      <c r="G18" s="82" t="n"/>
      <c r="H18" s="82" t="n"/>
      <c r="I18" s="82" t="n"/>
      <c r="J18" s="82" t="n"/>
      <c r="K18" s="82" t="n"/>
    </row>
    <row r="19">
      <c r="A19" s="82" t="n"/>
      <c r="B19" s="82" t="n"/>
      <c r="C19" s="82" t="n"/>
      <c r="D19" s="82" t="n"/>
      <c r="E19" s="82" t="n"/>
      <c r="F19" s="82" t="n"/>
      <c r="G19" s="82" t="n"/>
      <c r="H19" s="82" t="n"/>
      <c r="I19" s="82" t="n"/>
      <c r="J19" s="82" t="n"/>
      <c r="K19" s="82" t="n"/>
    </row>
    <row r="20">
      <c r="A20" s="82" t="n"/>
      <c r="B20" s="82" t="n"/>
      <c r="C20" s="82" t="n"/>
      <c r="D20" s="82" t="n"/>
      <c r="E20" s="82" t="n"/>
      <c r="F20" s="82" t="n"/>
      <c r="G20" s="82" t="n"/>
      <c r="H20" s="82" t="n"/>
      <c r="I20" s="82" t="n"/>
      <c r="J20" s="82" t="n"/>
      <c r="K20" s="82" t="n"/>
    </row>
    <row r="21">
      <c r="A21" s="82" t="n"/>
      <c r="B21" s="82" t="n"/>
      <c r="C21" s="82" t="n"/>
      <c r="D21" s="82" t="n"/>
      <c r="E21" s="82" t="n"/>
      <c r="F21" s="82" t="n"/>
      <c r="G21" s="82" t="n"/>
      <c r="H21" s="82" t="n"/>
      <c r="I21" s="82" t="n"/>
      <c r="J21" s="82" t="n"/>
      <c r="K21" s="82" t="n"/>
    </row>
    <row r="22">
      <c r="A22" s="82" t="n"/>
      <c r="B22" s="82" t="n"/>
      <c r="C22" s="82" t="n"/>
      <c r="D22" s="82" t="n"/>
      <c r="E22" s="82" t="n"/>
      <c r="F22" s="82" t="n"/>
      <c r="G22" s="82" t="n"/>
      <c r="H22" s="82" t="n"/>
      <c r="I22" s="82" t="n"/>
      <c r="J22" s="82" t="n"/>
      <c r="K22" s="82" t="n"/>
    </row>
    <row r="23">
      <c r="A23" s="82" t="n"/>
      <c r="B23" s="82" t="n"/>
      <c r="C23" s="82" t="n"/>
      <c r="D23" s="82" t="n"/>
      <c r="E23" s="82" t="n"/>
      <c r="F23" s="82" t="n"/>
      <c r="G23" s="82" t="n"/>
      <c r="H23" s="82" t="n"/>
      <c r="I23" s="82" t="n"/>
      <c r="J23" s="82" t="n"/>
      <c r="K23" s="82" t="n"/>
    </row>
    <row r="24">
      <c r="A24" s="82" t="n"/>
      <c r="B24" s="82" t="n"/>
      <c r="C24" s="82" t="n"/>
      <c r="D24" s="82" t="n"/>
      <c r="E24" s="82" t="n"/>
      <c r="F24" s="82" t="n"/>
      <c r="G24" s="82" t="n"/>
      <c r="H24" s="82" t="n"/>
      <c r="I24" s="82" t="n"/>
      <c r="J24" s="82" t="n"/>
      <c r="K24" s="82" t="n"/>
    </row>
    <row r="25">
      <c r="A25" s="82" t="n"/>
      <c r="B25" s="82" t="n"/>
      <c r="C25" s="82" t="n"/>
      <c r="D25" s="82" t="n"/>
      <c r="E25" s="82" t="n"/>
      <c r="F25" s="82" t="n"/>
      <c r="G25" s="82" t="n"/>
      <c r="H25" s="82" t="n"/>
      <c r="I25" s="82" t="n"/>
      <c r="J25" s="82" t="n"/>
      <c r="K25" s="82" t="n"/>
    </row>
    <row r="26">
      <c r="A26" s="82" t="n"/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</row>
    <row r="27">
      <c r="A27" s="82" t="n"/>
      <c r="B27" s="82" t="n"/>
      <c r="C27" s="82" t="n"/>
      <c r="D27" s="82" t="n"/>
      <c r="E27" s="82" t="n"/>
      <c r="F27" s="82" t="n"/>
      <c r="G27" s="82" t="n"/>
      <c r="H27" s="82" t="n"/>
      <c r="I27" s="82" t="n"/>
      <c r="J27" s="82" t="n"/>
      <c r="K27" s="82" t="n"/>
    </row>
    <row r="28">
      <c r="A28" s="82" t="n"/>
      <c r="B28" s="82" t="n"/>
      <c r="C28" s="82" t="n"/>
      <c r="D28" s="82" t="n"/>
      <c r="E28" s="82" t="n"/>
      <c r="F28" s="82" t="n"/>
      <c r="G28" s="82" t="n"/>
      <c r="H28" s="82" t="n"/>
      <c r="I28" s="82" t="n"/>
      <c r="J28" s="82" t="n"/>
      <c r="K28" s="82" t="n"/>
    </row>
    <row r="29">
      <c r="A29" s="82" t="n"/>
      <c r="B29" s="82" t="n"/>
      <c r="C29" s="82" t="n"/>
      <c r="D29" s="82" t="n"/>
      <c r="E29" s="82" t="n"/>
      <c r="F29" s="82" t="n"/>
      <c r="G29" s="82" t="n"/>
      <c r="H29" s="82" t="n"/>
      <c r="I29" s="82" t="n"/>
      <c r="J29" s="82" t="n"/>
      <c r="K29" s="82" t="n"/>
    </row>
    <row r="30">
      <c r="A30" s="82" t="n"/>
      <c r="B30" s="82" t="n"/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</row>
    <row r="31">
      <c r="A31" s="82" t="n"/>
      <c r="B31" s="82" t="n"/>
      <c r="C31" s="82" t="n"/>
      <c r="D31" s="82" t="n"/>
      <c r="E31" s="82" t="n"/>
      <c r="F31" s="82" t="n"/>
      <c r="G31" s="82" t="n"/>
      <c r="H31" s="82" t="n"/>
      <c r="I31" s="82" t="n"/>
      <c r="J31" s="82" t="n"/>
      <c r="K31" s="82" t="n"/>
    </row>
    <row r="32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</row>
    <row r="33">
      <c r="A33" s="82" t="n"/>
      <c r="B33" s="82" t="n"/>
      <c r="C33" s="82" t="n"/>
      <c r="D33" s="82" t="n"/>
      <c r="E33" s="82" t="n"/>
      <c r="F33" s="82" t="n"/>
      <c r="G33" s="82" t="n"/>
      <c r="H33" s="82" t="n"/>
      <c r="I33" s="82" t="n"/>
      <c r="J33" s="82" t="n"/>
      <c r="K33" s="82" t="n"/>
    </row>
    <row r="34">
      <c r="A34" s="82" t="n"/>
      <c r="B34" s="82" t="n"/>
      <c r="C34" s="82" t="n"/>
      <c r="D34" s="82" t="n"/>
      <c r="E34" s="82" t="n"/>
      <c r="F34" s="82" t="n"/>
      <c r="G34" s="82" t="n"/>
      <c r="H34" s="82" t="n"/>
      <c r="I34" s="82" t="n"/>
      <c r="J34" s="82" t="n"/>
      <c r="K34" s="82" t="n"/>
    </row>
    <row r="35">
      <c r="A35" s="82" t="n"/>
      <c r="B35" s="82" t="n"/>
      <c r="C35" s="82" t="n"/>
      <c r="D35" s="82" t="n"/>
      <c r="E35" s="82" t="n"/>
      <c r="F35" s="82" t="n"/>
      <c r="G35" s="82" t="n"/>
      <c r="H35" s="82" t="n"/>
      <c r="I35" s="82" t="n"/>
      <c r="J35" s="82" t="n"/>
      <c r="K35" s="82" t="n"/>
    </row>
    <row r="36">
      <c r="A36" s="82" t="n"/>
      <c r="B36" s="82" t="n"/>
      <c r="C36" s="82" t="n"/>
      <c r="D36" s="82" t="n"/>
      <c r="E36" s="82" t="n"/>
      <c r="F36" s="82" t="n"/>
      <c r="G36" s="82" t="n"/>
      <c r="H36" s="82" t="n"/>
      <c r="I36" s="82" t="n"/>
      <c r="J36" s="82" t="n"/>
      <c r="K36" s="82" t="n"/>
    </row>
    <row r="37">
      <c r="A37" s="82" t="n"/>
      <c r="B37" s="82" t="n"/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</row>
    <row r="38">
      <c r="A38" s="82" t="n"/>
      <c r="B38" s="82" t="n"/>
      <c r="C38" s="82" t="n"/>
      <c r="D38" s="82" t="n"/>
      <c r="E38" s="82" t="n"/>
      <c r="F38" s="82" t="n"/>
      <c r="G38" s="82" t="n"/>
      <c r="H38" s="82" t="n"/>
      <c r="I38" s="82" t="n"/>
      <c r="J38" s="82" t="n"/>
      <c r="K38" s="82" t="n"/>
    </row>
    <row r="39">
      <c r="A39" s="82" t="n"/>
      <c r="B39" s="82" t="n"/>
      <c r="C39" s="82" t="n"/>
      <c r="D39" s="82" t="n"/>
      <c r="E39" s="82" t="n"/>
      <c r="F39" s="82" t="n"/>
      <c r="G39" s="82" t="n"/>
      <c r="H39" s="82" t="n"/>
      <c r="I39" s="82" t="n"/>
      <c r="J39" s="82" t="n"/>
      <c r="K39" s="82" t="n"/>
    </row>
    <row r="40">
      <c r="A40" s="82" t="n"/>
      <c r="B40" s="82" t="n"/>
      <c r="C40" s="82" t="n"/>
      <c r="D40" s="82" t="n"/>
      <c r="E40" s="82" t="n"/>
      <c r="F40" s="82" t="n"/>
      <c r="G40" s="82" t="n"/>
      <c r="H40" s="82" t="n"/>
      <c r="I40" s="82" t="n"/>
      <c r="J40" s="82" t="n"/>
      <c r="K40" s="82" t="n"/>
    </row>
    <row r="41">
      <c r="A41" s="82" t="n"/>
      <c r="B41" s="82" t="n"/>
      <c r="C41" s="82" t="n"/>
      <c r="D41" s="82" t="n"/>
      <c r="E41" s="82" t="n"/>
      <c r="F41" s="82" t="n"/>
      <c r="G41" s="82" t="n"/>
      <c r="H41" s="82" t="n"/>
      <c r="I41" s="82" t="n"/>
      <c r="J41" s="82" t="n"/>
      <c r="K41" s="82" t="n"/>
    </row>
    <row r="42">
      <c r="A42" s="82" t="n"/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</row>
    <row r="43">
      <c r="A43" s="82" t="n"/>
      <c r="B43" s="82" t="n"/>
      <c r="C43" s="82" t="n"/>
      <c r="D43" s="82" t="n"/>
      <c r="E43" s="82" t="n"/>
      <c r="F43" s="82" t="n"/>
      <c r="G43" s="82" t="n"/>
      <c r="H43" s="82" t="n"/>
      <c r="I43" s="82" t="n"/>
      <c r="J43" s="82" t="n"/>
      <c r="K43" s="82" t="n"/>
    </row>
    <row r="44">
      <c r="A44" s="82" t="n"/>
      <c r="B44" s="82" t="n"/>
      <c r="C44" s="82" t="n"/>
      <c r="D44" s="82" t="n"/>
      <c r="E44" s="82" t="n"/>
      <c r="F44" s="82" t="n"/>
      <c r="G44" s="82" t="n"/>
      <c r="H44" s="82" t="n"/>
      <c r="I44" s="82" t="n"/>
      <c r="J44" s="82" t="n"/>
      <c r="K44" s="82" t="n"/>
    </row>
    <row r="45">
      <c r="A45" s="82" t="n"/>
      <c r="B45" s="82" t="n"/>
      <c r="C45" s="82" t="n"/>
      <c r="D45" s="82" t="n"/>
      <c r="E45" s="82" t="n"/>
      <c r="F45" s="82" t="n"/>
      <c r="G45" s="82" t="n"/>
      <c r="H45" s="82" t="n"/>
      <c r="I45" s="82" t="n"/>
      <c r="J45" s="82" t="n"/>
      <c r="K45" s="82" t="n"/>
    </row>
    <row r="46">
      <c r="A46" s="82" t="n"/>
      <c r="B46" s="82" t="n"/>
      <c r="C46" s="82" t="n"/>
      <c r="D46" s="82" t="n"/>
      <c r="E46" s="82" t="n"/>
      <c r="F46" s="82" t="n"/>
      <c r="G46" s="82" t="n"/>
      <c r="H46" s="82" t="n"/>
      <c r="I46" s="82" t="n"/>
      <c r="J46" s="82" t="n"/>
      <c r="K46" s="82" t="n"/>
    </row>
    <row r="47">
      <c r="A47" s="82" t="n"/>
      <c r="B47" s="82" t="n"/>
      <c r="C47" s="82" t="n"/>
      <c r="D47" s="82" t="n"/>
      <c r="E47" s="82" t="n"/>
      <c r="F47" s="82" t="n"/>
      <c r="G47" s="82" t="n"/>
      <c r="H47" s="82" t="n"/>
      <c r="I47" s="82" t="n"/>
      <c r="J47" s="82" t="n"/>
      <c r="K47" s="82" t="n"/>
    </row>
    <row r="48">
      <c r="A48" s="82" t="n"/>
      <c r="B48" s="82" t="n"/>
      <c r="C48" s="82" t="n"/>
      <c r="D48" s="82" t="n"/>
      <c r="E48" s="82" t="n"/>
      <c r="F48" s="82" t="n"/>
      <c r="G48" s="82" t="n"/>
      <c r="H48" s="82" t="n"/>
      <c r="I48" s="82" t="n"/>
      <c r="J48" s="82" t="n"/>
      <c r="K48" s="82" t="n"/>
    </row>
    <row r="49">
      <c r="A49" s="82" t="n"/>
      <c r="B49" s="82" t="n"/>
      <c r="C49" s="82" t="n"/>
      <c r="D49" s="82" t="n"/>
      <c r="E49" s="82" t="n"/>
      <c r="F49" s="82" t="n"/>
      <c r="G49" s="82" t="n"/>
      <c r="H49" s="82" t="n"/>
      <c r="I49" s="82" t="n"/>
      <c r="J49" s="82" t="n"/>
      <c r="K49" s="82" t="n"/>
    </row>
    <row r="50">
      <c r="A50" s="82" t="n"/>
      <c r="B50" s="82" t="n"/>
      <c r="C50" s="82" t="n"/>
      <c r="D50" s="82" t="n"/>
      <c r="E50" s="82" t="n"/>
      <c r="F50" s="82" t="n"/>
      <c r="G50" s="82" t="n"/>
      <c r="H50" s="82" t="n"/>
      <c r="I50" s="82" t="n"/>
      <c r="J50" s="82" t="n"/>
      <c r="K50" s="82" t="n"/>
    </row>
    <row r="51">
      <c r="A51" s="82" t="n"/>
      <c r="B51" s="82" t="n"/>
      <c r="C51" s="82" t="n"/>
      <c r="D51" s="82" t="n"/>
      <c r="E51" s="82" t="n"/>
      <c r="F51" s="82" t="n"/>
      <c r="G51" s="82" t="n"/>
      <c r="H51" s="82" t="n"/>
      <c r="I51" s="82" t="n"/>
      <c r="J51" s="82" t="n"/>
      <c r="K51" s="82" t="n"/>
    </row>
    <row r="52">
      <c r="A52" s="82" t="n"/>
      <c r="B52" s="82" t="n"/>
      <c r="C52" s="82" t="n"/>
      <c r="D52" s="82" t="n"/>
      <c r="E52" s="82" t="n"/>
      <c r="F52" s="82" t="n"/>
      <c r="G52" s="82" t="n"/>
      <c r="H52" s="82" t="n"/>
      <c r="I52" s="82" t="n"/>
      <c r="J52" s="82" t="n"/>
      <c r="K52" s="82" t="n"/>
    </row>
    <row r="53">
      <c r="A53" s="82" t="n"/>
      <c r="B53" s="82" t="n"/>
      <c r="C53" s="82" t="n"/>
      <c r="D53" s="82" t="n"/>
      <c r="E53" s="82" t="n"/>
      <c r="F53" s="82" t="n"/>
      <c r="G53" s="82" t="n"/>
      <c r="H53" s="82" t="n"/>
      <c r="I53" s="82" t="n"/>
      <c r="J53" s="82" t="n"/>
      <c r="K53" s="82" t="n"/>
    </row>
    <row r="54">
      <c r="A54" s="82" t="n"/>
      <c r="B54" s="82" t="n"/>
      <c r="C54" s="82" t="n"/>
      <c r="D54" s="82" t="n"/>
      <c r="E54" s="82" t="n"/>
      <c r="F54" s="82" t="n"/>
      <c r="G54" s="82" t="n"/>
      <c r="H54" s="82" t="n"/>
      <c r="I54" s="82" t="n"/>
      <c r="J54" s="82" t="n"/>
      <c r="K54" s="82" t="n"/>
    </row>
    <row r="55">
      <c r="A55" s="82" t="n"/>
      <c r="B55" s="82" t="n"/>
      <c r="C55" s="82" t="n"/>
      <c r="D55" s="82" t="n"/>
      <c r="E55" s="82" t="n"/>
      <c r="F55" s="82" t="n"/>
      <c r="G55" s="82" t="n"/>
      <c r="H55" s="82" t="n"/>
      <c r="I55" s="82" t="n"/>
      <c r="J55" s="82" t="n"/>
      <c r="K55" s="82" t="n"/>
    </row>
    <row r="56">
      <c r="A56" s="82" t="n"/>
      <c r="B56" s="82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2" t="n"/>
    </row>
    <row r="57">
      <c r="A57" s="82" t="n"/>
      <c r="B57" s="82" t="n"/>
      <c r="C57" s="82" t="n"/>
      <c r="D57" s="82" t="n"/>
      <c r="E57" s="82" t="n"/>
      <c r="F57" s="82" t="n"/>
      <c r="G57" s="82" t="n"/>
      <c r="H57" s="82" t="n"/>
      <c r="I57" s="82" t="n"/>
      <c r="J57" s="82" t="n"/>
      <c r="K57" s="82" t="n"/>
    </row>
    <row r="58">
      <c r="A58" s="82" t="n"/>
      <c r="B58" s="82" t="n"/>
      <c r="C58" s="82" t="n"/>
      <c r="D58" s="82" t="n"/>
      <c r="E58" s="82" t="n"/>
      <c r="F58" s="82" t="n"/>
      <c r="G58" s="82" t="n"/>
      <c r="H58" s="82" t="n"/>
      <c r="I58" s="82" t="n"/>
      <c r="J58" s="82" t="n"/>
      <c r="K58" s="82" t="n"/>
    </row>
    <row r="59">
      <c r="A59" s="82" t="n"/>
      <c r="B59" s="82" t="n"/>
      <c r="C59" s="82" t="n"/>
      <c r="D59" s="82" t="n"/>
      <c r="E59" s="82" t="n"/>
      <c r="F59" s="82" t="n"/>
      <c r="G59" s="82" t="n"/>
      <c r="H59" s="82" t="n"/>
      <c r="I59" s="82" t="n"/>
      <c r="J59" s="82" t="n"/>
      <c r="K59" s="82" t="n"/>
    </row>
    <row r="60">
      <c r="A60" s="82" t="n"/>
      <c r="B60" s="82" t="n"/>
      <c r="C60" s="82" t="n"/>
      <c r="D60" s="82" t="n"/>
      <c r="E60" s="82" t="n"/>
      <c r="F60" s="82" t="n"/>
      <c r="G60" s="82" t="n"/>
      <c r="H60" s="82" t="n"/>
      <c r="I60" s="82" t="n"/>
      <c r="J60" s="82" t="n"/>
      <c r="K60" s="82" t="n"/>
    </row>
    <row r="61">
      <c r="A61" s="82" t="n"/>
      <c r="B61" s="82" t="n"/>
      <c r="C61" s="82" t="n"/>
      <c r="D61" s="82" t="n"/>
      <c r="E61" s="82" t="n"/>
      <c r="F61" s="82" t="n"/>
      <c r="G61" s="82" t="n"/>
      <c r="H61" s="82" t="n"/>
      <c r="I61" s="82" t="n"/>
      <c r="J61" s="82" t="n"/>
      <c r="K61" s="82" t="n"/>
    </row>
    <row r="62">
      <c r="A62" s="82" t="n"/>
      <c r="B62" s="82" t="n"/>
      <c r="C62" s="82" t="n"/>
      <c r="D62" s="82" t="n"/>
      <c r="E62" s="82" t="n"/>
      <c r="F62" s="82" t="n"/>
      <c r="G62" s="82" t="n"/>
      <c r="H62" s="82" t="n"/>
      <c r="I62" s="82" t="n"/>
      <c r="J62" s="82" t="n"/>
      <c r="K62" s="82" t="n"/>
    </row>
    <row r="63">
      <c r="A63" s="82" t="n"/>
      <c r="B63" s="82" t="n"/>
      <c r="C63" s="82" t="n"/>
      <c r="D63" s="82" t="n"/>
      <c r="E63" s="82" t="n"/>
      <c r="F63" s="82" t="n"/>
      <c r="G63" s="82" t="n"/>
      <c r="H63" s="82" t="n"/>
      <c r="I63" s="82" t="n"/>
      <c r="J63" s="82" t="n"/>
      <c r="K63" s="82" t="n"/>
    </row>
    <row r="64">
      <c r="A64" s="82" t="n"/>
      <c r="B64" s="82" t="n"/>
      <c r="C64" s="82" t="n"/>
      <c r="D64" s="82" t="n"/>
      <c r="E64" s="82" t="n"/>
      <c r="F64" s="82" t="n"/>
      <c r="G64" s="82" t="n"/>
      <c r="H64" s="82" t="n"/>
      <c r="I64" s="82" t="n"/>
      <c r="J64" s="82" t="n"/>
      <c r="K64" s="82" t="n"/>
    </row>
    <row r="65">
      <c r="A65" s="82" t="n"/>
      <c r="B65" s="82" t="n"/>
      <c r="C65" s="82" t="n"/>
      <c r="D65" s="82" t="n"/>
      <c r="E65" s="82" t="n"/>
      <c r="F65" s="82" t="n"/>
      <c r="G65" s="82" t="n"/>
      <c r="H65" s="82" t="n"/>
      <c r="I65" s="82" t="n"/>
      <c r="J65" s="82" t="n"/>
      <c r="K65" s="82" t="n"/>
    </row>
    <row r="66">
      <c r="A66" s="82" t="n"/>
      <c r="B66" s="82" t="n"/>
      <c r="C66" s="82" t="n"/>
      <c r="D66" s="82" t="n"/>
      <c r="E66" s="82" t="n"/>
      <c r="F66" s="82" t="n"/>
      <c r="G66" s="82" t="n"/>
      <c r="H66" s="82" t="n"/>
      <c r="I66" s="82" t="n"/>
      <c r="J66" s="82" t="n"/>
      <c r="K66" s="82" t="n"/>
    </row>
    <row r="67">
      <c r="A67" s="82" t="n"/>
      <c r="B67" s="82" t="n"/>
      <c r="C67" s="82" t="n"/>
      <c r="D67" s="82" t="n"/>
      <c r="E67" s="82" t="n"/>
      <c r="F67" s="82" t="n"/>
      <c r="G67" s="82" t="n"/>
      <c r="H67" s="82" t="n"/>
      <c r="I67" s="82" t="n"/>
      <c r="J67" s="82" t="n"/>
      <c r="K67" s="82" t="n"/>
    </row>
    <row r="68">
      <c r="A68" s="82" t="n"/>
      <c r="B68" s="82" t="n"/>
      <c r="C68" s="82" t="n"/>
      <c r="D68" s="82" t="n"/>
      <c r="E68" s="82" t="n"/>
      <c r="F68" s="82" t="n"/>
      <c r="G68" s="82" t="n"/>
      <c r="H68" s="82" t="n"/>
      <c r="I68" s="82" t="n"/>
      <c r="J68" s="82" t="n"/>
      <c r="K68" s="82" t="n"/>
    </row>
    <row r="69">
      <c r="A69" s="82" t="n"/>
      <c r="B69" s="82" t="n"/>
      <c r="C69" s="82" t="n"/>
      <c r="D69" s="82" t="n"/>
      <c r="E69" s="82" t="n"/>
      <c r="F69" s="82" t="n"/>
      <c r="G69" s="82" t="n"/>
      <c r="H69" s="82" t="n"/>
      <c r="I69" s="82" t="n"/>
      <c r="J69" s="82" t="n"/>
      <c r="K69" s="82" t="n"/>
    </row>
    <row r="70">
      <c r="A70" s="82" t="n"/>
      <c r="B70" s="82" t="n"/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</row>
    <row r="71">
      <c r="A71" s="82" t="n"/>
      <c r="B71" s="82" t="n"/>
      <c r="C71" s="82" t="n"/>
      <c r="D71" s="82" t="n"/>
      <c r="E71" s="82" t="n"/>
      <c r="F71" s="82" t="n"/>
      <c r="G71" s="82" t="n"/>
      <c r="H71" s="82" t="n"/>
      <c r="I71" s="82" t="n"/>
      <c r="J71" s="82" t="n"/>
      <c r="K71" s="82" t="n"/>
    </row>
    <row r="72">
      <c r="A72" s="82" t="n"/>
      <c r="B72" s="82" t="n"/>
      <c r="C72" s="82" t="n"/>
      <c r="D72" s="82" t="n"/>
      <c r="E72" s="82" t="n"/>
      <c r="F72" s="82" t="n"/>
      <c r="G72" s="82" t="n"/>
      <c r="H72" s="82" t="n"/>
      <c r="I72" s="82" t="n"/>
      <c r="J72" s="82" t="n"/>
      <c r="K72" s="82" t="n"/>
    </row>
    <row r="73">
      <c r="A73" s="82" t="n"/>
      <c r="B73" s="82" t="n"/>
      <c r="C73" s="82" t="n"/>
      <c r="D73" s="82" t="n"/>
      <c r="E73" s="82" t="n"/>
      <c r="F73" s="82" t="n"/>
      <c r="G73" s="82" t="n"/>
      <c r="H73" s="82" t="n"/>
      <c r="I73" s="82" t="n"/>
      <c r="J73" s="82" t="n"/>
      <c r="K73" s="82" t="n"/>
    </row>
    <row r="74">
      <c r="A74" s="82" t="n"/>
      <c r="B74" s="82" t="n"/>
      <c r="C74" s="82" t="n"/>
      <c r="D74" s="82" t="n"/>
      <c r="E74" s="82" t="n"/>
      <c r="F74" s="82" t="n"/>
      <c r="G74" s="82" t="n"/>
      <c r="H74" s="82" t="n"/>
      <c r="I74" s="82" t="n"/>
      <c r="J74" s="82" t="n"/>
      <c r="K74" s="82" t="n"/>
    </row>
    <row r="75">
      <c r="A75" s="82" t="n"/>
      <c r="B75" s="82" t="n"/>
      <c r="C75" s="82" t="n"/>
      <c r="D75" s="82" t="n"/>
      <c r="E75" s="82" t="n"/>
      <c r="F75" s="82" t="n"/>
      <c r="G75" s="82" t="n"/>
      <c r="H75" s="82" t="n"/>
      <c r="I75" s="82" t="n"/>
      <c r="J75" s="82" t="n"/>
      <c r="K75" s="82" t="n"/>
    </row>
    <row r="76">
      <c r="A76" s="82" t="n"/>
      <c r="B76" s="82" t="n"/>
      <c r="C76" s="82" t="n"/>
      <c r="D76" s="82" t="n"/>
      <c r="E76" s="82" t="n"/>
      <c r="F76" s="82" t="n"/>
      <c r="G76" s="82" t="n"/>
      <c r="H76" s="82" t="n"/>
      <c r="I76" s="82" t="n"/>
      <c r="J76" s="82" t="n"/>
      <c r="K76" s="82" t="n"/>
    </row>
    <row r="77">
      <c r="A77" s="82" t="n"/>
      <c r="B77" s="82" t="n"/>
      <c r="C77" s="82" t="n"/>
      <c r="D77" s="82" t="n"/>
      <c r="E77" s="82" t="n"/>
      <c r="F77" s="82" t="n"/>
      <c r="G77" s="82" t="n"/>
      <c r="H77" s="82" t="n"/>
      <c r="I77" s="82" t="n"/>
      <c r="J77" s="82" t="n"/>
      <c r="K77" s="82" t="n"/>
    </row>
    <row r="78">
      <c r="A78" s="82" t="n"/>
      <c r="B78" s="82" t="n"/>
      <c r="C78" s="82" t="n"/>
      <c r="D78" s="82" t="n"/>
      <c r="E78" s="82" t="n"/>
      <c r="F78" s="82" t="n"/>
      <c r="G78" s="82" t="n"/>
      <c r="H78" s="82" t="n"/>
      <c r="I78" s="82" t="n"/>
      <c r="J78" s="82" t="n"/>
      <c r="K78" s="82" t="n"/>
    </row>
    <row r="79">
      <c r="A79" s="82" t="n"/>
      <c r="B79" s="82" t="n"/>
      <c r="C79" s="82" t="n"/>
      <c r="D79" s="82" t="n"/>
      <c r="E79" s="82" t="n"/>
      <c r="F79" s="82" t="n"/>
      <c r="G79" s="82" t="n"/>
      <c r="H79" s="82" t="n"/>
      <c r="I79" s="82" t="n"/>
      <c r="J79" s="82" t="n"/>
      <c r="K79" s="82" t="n"/>
    </row>
    <row r="80">
      <c r="A80" s="82" t="n"/>
      <c r="B80" s="82" t="n"/>
      <c r="C80" s="82" t="n"/>
      <c r="D80" s="82" t="n"/>
      <c r="E80" s="82" t="n"/>
      <c r="F80" s="82" t="n"/>
      <c r="G80" s="82" t="n"/>
      <c r="H80" s="82" t="n"/>
      <c r="I80" s="82" t="n"/>
      <c r="J80" s="82" t="n"/>
      <c r="K80" s="82" t="n"/>
    </row>
    <row r="81">
      <c r="A81" s="82" t="n"/>
      <c r="B81" s="82" t="n"/>
      <c r="C81" s="82" t="n"/>
      <c r="D81" s="82" t="n"/>
      <c r="E81" s="82" t="n"/>
      <c r="F81" s="82" t="n"/>
      <c r="G81" s="82" t="n"/>
      <c r="H81" s="82" t="n"/>
      <c r="I81" s="82" t="n"/>
      <c r="J81" s="82" t="n"/>
      <c r="K81" s="82" t="n"/>
    </row>
    <row r="82">
      <c r="A82" s="82" t="n"/>
      <c r="B82" s="82" t="n"/>
      <c r="C82" s="82" t="n"/>
      <c r="D82" s="82" t="n"/>
      <c r="E82" s="82" t="n"/>
      <c r="F82" s="82" t="n"/>
      <c r="G82" s="82" t="n"/>
      <c r="H82" s="82" t="n"/>
      <c r="I82" s="82" t="n"/>
      <c r="J82" s="82" t="n"/>
      <c r="K82" s="82" t="n"/>
    </row>
    <row r="83">
      <c r="A83" s="82" t="n"/>
      <c r="B83" s="82" t="n"/>
      <c r="C83" s="82" t="n"/>
      <c r="D83" s="82" t="n"/>
      <c r="E83" s="82" t="n"/>
      <c r="F83" s="82" t="n"/>
      <c r="G83" s="82" t="n"/>
      <c r="H83" s="82" t="n"/>
      <c r="I83" s="82" t="n"/>
      <c r="J83" s="82" t="n"/>
      <c r="K83" s="82" t="n"/>
    </row>
    <row r="84">
      <c r="A84" s="82" t="n"/>
      <c r="B84" s="82" t="n"/>
      <c r="C84" s="82" t="n"/>
      <c r="D84" s="82" t="n"/>
      <c r="E84" s="82" t="n"/>
      <c r="F84" s="82" t="n"/>
      <c r="G84" s="82" t="n"/>
      <c r="H84" s="82" t="n"/>
      <c r="I84" s="82" t="n"/>
      <c r="J84" s="82" t="n"/>
      <c r="K84" s="82" t="n"/>
    </row>
    <row r="85">
      <c r="A85" s="82" t="n"/>
      <c r="B85" s="82" t="n"/>
      <c r="C85" s="82" t="n"/>
      <c r="D85" s="82" t="n"/>
      <c r="E85" s="82" t="n"/>
      <c r="F85" s="82" t="n"/>
      <c r="G85" s="82" t="n"/>
      <c r="H85" s="82" t="n"/>
      <c r="I85" s="82" t="n"/>
      <c r="J85" s="82" t="n"/>
      <c r="K85" s="82" t="n"/>
    </row>
    <row r="86">
      <c r="A86" s="82" t="n"/>
      <c r="B86" s="82" t="n"/>
      <c r="C86" s="82" t="n"/>
      <c r="D86" s="82" t="n"/>
      <c r="E86" s="82" t="n"/>
      <c r="F86" s="82" t="n"/>
      <c r="G86" s="82" t="n"/>
      <c r="H86" s="82" t="n"/>
      <c r="I86" s="82" t="n"/>
      <c r="J86" s="82" t="n"/>
      <c r="K86" s="82" t="n"/>
    </row>
    <row r="87">
      <c r="A87" s="82" t="n"/>
      <c r="B87" s="82" t="n"/>
      <c r="C87" s="82" t="n"/>
      <c r="D87" s="82" t="n"/>
      <c r="E87" s="82" t="n"/>
      <c r="F87" s="82" t="n"/>
      <c r="G87" s="82" t="n"/>
      <c r="H87" s="82" t="n"/>
      <c r="I87" s="82" t="n"/>
      <c r="J87" s="82" t="n"/>
      <c r="K87" s="82" t="n"/>
    </row>
    <row r="88">
      <c r="A88" s="82" t="n"/>
      <c r="B88" s="82" t="n"/>
      <c r="C88" s="82" t="n"/>
      <c r="D88" s="82" t="n"/>
      <c r="E88" s="82" t="n"/>
      <c r="F88" s="82" t="n"/>
      <c r="G88" s="82" t="n"/>
      <c r="H88" s="82" t="n"/>
      <c r="I88" s="82" t="n"/>
      <c r="J88" s="82" t="n"/>
      <c r="K88" s="82" t="n"/>
    </row>
    <row r="89">
      <c r="A89" s="82" t="n"/>
      <c r="B89" s="82" t="n"/>
      <c r="C89" s="82" t="n"/>
      <c r="D89" s="82" t="n"/>
      <c r="E89" s="82" t="n"/>
      <c r="F89" s="82" t="n"/>
      <c r="G89" s="82" t="n"/>
      <c r="H89" s="82" t="n"/>
      <c r="I89" s="82" t="n"/>
      <c r="J89" s="82" t="n"/>
      <c r="K89" s="82" t="n"/>
    </row>
    <row r="90">
      <c r="A90" s="82" t="n"/>
      <c r="B90" s="82" t="n"/>
      <c r="C90" s="82" t="n"/>
      <c r="D90" s="82" t="n"/>
      <c r="E90" s="82" t="n"/>
      <c r="F90" s="82" t="n"/>
      <c r="G90" s="82" t="n"/>
      <c r="H90" s="82" t="n"/>
      <c r="I90" s="82" t="n"/>
      <c r="J90" s="82" t="n"/>
      <c r="K90" s="82" t="n"/>
    </row>
    <row r="91">
      <c r="A91" s="82" t="n"/>
      <c r="B91" s="82" t="n"/>
      <c r="C91" s="82" t="n"/>
      <c r="D91" s="82" t="n"/>
      <c r="E91" s="82" t="n"/>
      <c r="F91" s="82" t="n"/>
      <c r="G91" s="82" t="n"/>
      <c r="H91" s="82" t="n"/>
      <c r="I91" s="82" t="n"/>
      <c r="J91" s="82" t="n"/>
      <c r="K91" s="82" t="n"/>
    </row>
    <row r="92">
      <c r="A92" s="82" t="n"/>
      <c r="B92" s="82" t="n"/>
      <c r="C92" s="82" t="n"/>
      <c r="D92" s="82" t="n"/>
      <c r="E92" s="82" t="n"/>
      <c r="F92" s="82" t="n"/>
      <c r="G92" s="82" t="n"/>
      <c r="H92" s="82" t="n"/>
      <c r="I92" s="82" t="n"/>
      <c r="J92" s="82" t="n"/>
      <c r="K92" s="82" t="n"/>
    </row>
    <row r="93">
      <c r="A93" s="82" t="n"/>
      <c r="B93" s="82" t="n"/>
      <c r="C93" s="82" t="n"/>
      <c r="D93" s="82" t="n"/>
      <c r="E93" s="82" t="n"/>
      <c r="F93" s="82" t="n"/>
      <c r="G93" s="82" t="n"/>
      <c r="H93" s="82" t="n"/>
      <c r="I93" s="82" t="n"/>
      <c r="J93" s="82" t="n"/>
      <c r="K93" s="82" t="n"/>
    </row>
    <row r="94">
      <c r="A94" s="82" t="n"/>
      <c r="B94" s="82" t="n"/>
      <c r="C94" s="82" t="n"/>
      <c r="D94" s="82" t="n"/>
      <c r="E94" s="82" t="n"/>
      <c r="F94" s="82" t="n"/>
      <c r="G94" s="82" t="n"/>
      <c r="H94" s="82" t="n"/>
      <c r="I94" s="82" t="n"/>
      <c r="J94" s="82" t="n"/>
      <c r="K94" s="82" t="n"/>
    </row>
    <row r="95">
      <c r="A95" s="82" t="n"/>
      <c r="B95" s="82" t="n"/>
      <c r="C95" s="82" t="n"/>
      <c r="D95" s="82" t="n"/>
      <c r="E95" s="82" t="n"/>
      <c r="F95" s="82" t="n"/>
      <c r="G95" s="82" t="n"/>
      <c r="H95" s="82" t="n"/>
      <c r="I95" s="82" t="n"/>
      <c r="J95" s="82" t="n"/>
      <c r="K95" s="82" t="n"/>
    </row>
    <row r="96">
      <c r="A96" s="82" t="n"/>
      <c r="B96" s="82" t="n"/>
      <c r="C96" s="82" t="n"/>
      <c r="D96" s="82" t="n"/>
      <c r="E96" s="82" t="n"/>
      <c r="F96" s="82" t="n"/>
      <c r="G96" s="82" t="n"/>
      <c r="H96" s="82" t="n"/>
      <c r="I96" s="82" t="n"/>
      <c r="J96" s="82" t="n"/>
      <c r="K96" s="82" t="n"/>
    </row>
    <row r="97">
      <c r="A97" s="82" t="n"/>
      <c r="B97" s="82" t="n"/>
      <c r="C97" s="82" t="n"/>
      <c r="D97" s="82" t="n"/>
      <c r="E97" s="82" t="n"/>
      <c r="F97" s="82" t="n"/>
      <c r="G97" s="82" t="n"/>
      <c r="H97" s="82" t="n"/>
      <c r="I97" s="82" t="n"/>
      <c r="J97" s="82" t="n"/>
      <c r="K97" s="82" t="n"/>
    </row>
    <row r="98">
      <c r="A98" s="82" t="n"/>
      <c r="B98" s="82" t="n"/>
      <c r="C98" s="82" t="n"/>
      <c r="D98" s="82" t="n"/>
      <c r="E98" s="82" t="n"/>
      <c r="F98" s="82" t="n"/>
      <c r="G98" s="82" t="n"/>
      <c r="H98" s="82" t="n"/>
      <c r="I98" s="82" t="n"/>
      <c r="J98" s="82" t="n"/>
      <c r="K98" s="82" t="n"/>
    </row>
    <row r="99">
      <c r="A99" s="82" t="n"/>
      <c r="B99" s="82" t="n"/>
      <c r="C99" s="82" t="n"/>
      <c r="D99" s="82" t="n"/>
      <c r="E99" s="82" t="n"/>
      <c r="F99" s="82" t="n"/>
      <c r="G99" s="82" t="n"/>
      <c r="H99" s="82" t="n"/>
      <c r="I99" s="82" t="n"/>
      <c r="J99" s="82" t="n"/>
      <c r="K99" s="82" t="n"/>
    </row>
    <row r="100">
      <c r="A100" s="82" t="n"/>
      <c r="B100" s="82" t="n"/>
      <c r="C100" s="82" t="n"/>
      <c r="D100" s="82" t="n"/>
      <c r="E100" s="82" t="n"/>
      <c r="F100" s="82" t="n"/>
      <c r="G100" s="82" t="n"/>
      <c r="H100" s="82" t="n"/>
      <c r="I100" s="82" t="n"/>
      <c r="J100" s="82" t="n"/>
      <c r="K100" s="82" t="n"/>
    </row>
    <row r="101">
      <c r="A101" s="82" t="n"/>
      <c r="B101" s="82" t="n"/>
      <c r="C101" s="82" t="n"/>
      <c r="D101" s="82" t="n"/>
      <c r="E101" s="82" t="n"/>
      <c r="F101" s="82" t="n"/>
      <c r="G101" s="82" t="n"/>
      <c r="H101" s="82" t="n"/>
      <c r="I101" s="82" t="n"/>
      <c r="J101" s="82" t="n"/>
      <c r="K101" s="82" t="n"/>
    </row>
    <row r="102">
      <c r="A102" s="82" t="n"/>
      <c r="B102" s="82" t="n"/>
      <c r="C102" s="82" t="n"/>
      <c r="D102" s="82" t="n"/>
      <c r="E102" s="82" t="n"/>
      <c r="F102" s="82" t="n"/>
      <c r="G102" s="82" t="n"/>
      <c r="H102" s="82" t="n"/>
      <c r="I102" s="82" t="n"/>
      <c r="J102" s="82" t="n"/>
      <c r="K102" s="82" t="n"/>
    </row>
    <row r="103">
      <c r="A103" s="82" t="n"/>
      <c r="B103" s="82" t="n"/>
      <c r="C103" s="82" t="n"/>
      <c r="D103" s="82" t="n"/>
      <c r="E103" s="82" t="n"/>
      <c r="F103" s="82" t="n"/>
      <c r="G103" s="82" t="n"/>
      <c r="H103" s="82" t="n"/>
      <c r="I103" s="82" t="n"/>
      <c r="J103" s="82" t="n"/>
      <c r="K103" s="82" t="n"/>
    </row>
    <row r="104">
      <c r="A104" s="82" t="n"/>
      <c r="B104" s="82" t="n"/>
      <c r="C104" s="82" t="n"/>
      <c r="D104" s="82" t="n"/>
      <c r="E104" s="82" t="n"/>
      <c r="F104" s="82" t="n"/>
      <c r="G104" s="82" t="n"/>
      <c r="H104" s="82" t="n"/>
      <c r="I104" s="82" t="n"/>
      <c r="J104" s="82" t="n"/>
      <c r="K104" s="82" t="n"/>
    </row>
    <row r="105">
      <c r="A105" s="82" t="n"/>
      <c r="B105" s="82" t="n"/>
      <c r="C105" s="82" t="n"/>
      <c r="D105" s="82" t="n"/>
      <c r="E105" s="82" t="n"/>
      <c r="F105" s="82" t="n"/>
      <c r="G105" s="82" t="n"/>
      <c r="H105" s="82" t="n"/>
      <c r="I105" s="82" t="n"/>
      <c r="J105" s="82" t="n"/>
      <c r="K105" s="82" t="n"/>
    </row>
    <row r="106">
      <c r="A106" s="82" t="n"/>
      <c r="B106" s="82" t="n"/>
      <c r="C106" s="82" t="n"/>
      <c r="D106" s="82" t="n"/>
      <c r="E106" s="82" t="n"/>
      <c r="F106" s="82" t="n"/>
      <c r="G106" s="82" t="n"/>
      <c r="H106" s="82" t="n"/>
      <c r="I106" s="82" t="n"/>
      <c r="J106" s="82" t="n"/>
      <c r="K106" s="82" t="n"/>
    </row>
    <row r="107">
      <c r="A107" s="82" t="n"/>
      <c r="B107" s="82" t="n"/>
      <c r="C107" s="82" t="n"/>
      <c r="D107" s="82" t="n"/>
      <c r="E107" s="82" t="n"/>
      <c r="F107" s="82" t="n"/>
      <c r="G107" s="82" t="n"/>
      <c r="H107" s="82" t="n"/>
      <c r="I107" s="82" t="n"/>
      <c r="J107" s="82" t="n"/>
      <c r="K107" s="82" t="n"/>
    </row>
    <row r="108">
      <c r="A108" s="82" t="n"/>
      <c r="B108" s="82" t="n"/>
      <c r="C108" s="82" t="n"/>
      <c r="D108" s="82" t="n"/>
      <c r="E108" s="82" t="n"/>
      <c r="F108" s="82" t="n"/>
      <c r="G108" s="82" t="n"/>
      <c r="H108" s="82" t="n"/>
      <c r="I108" s="82" t="n"/>
      <c r="J108" s="82" t="n"/>
      <c r="K108" s="82" t="n"/>
    </row>
    <row r="109">
      <c r="A109" s="82" t="n"/>
      <c r="B109" s="82" t="n"/>
      <c r="C109" s="82" t="n"/>
      <c r="D109" s="82" t="n"/>
      <c r="E109" s="82" t="n"/>
      <c r="F109" s="82" t="n"/>
      <c r="G109" s="82" t="n"/>
      <c r="H109" s="82" t="n"/>
      <c r="I109" s="82" t="n"/>
      <c r="J109" s="82" t="n"/>
      <c r="K109" s="82" t="n"/>
    </row>
    <row r="110">
      <c r="A110" s="82" t="n"/>
      <c r="B110" s="82" t="n"/>
      <c r="C110" s="82" t="n"/>
      <c r="D110" s="82" t="n"/>
      <c r="E110" s="82" t="n"/>
      <c r="F110" s="82" t="n"/>
      <c r="G110" s="82" t="n"/>
      <c r="H110" s="82" t="n"/>
      <c r="I110" s="82" t="n"/>
      <c r="J110" s="82" t="n"/>
      <c r="K110" s="82" t="n"/>
    </row>
    <row r="111">
      <c r="A111" s="82" t="n"/>
      <c r="B111" s="82" t="n"/>
      <c r="C111" s="82" t="n"/>
      <c r="D111" s="82" t="n"/>
      <c r="E111" s="82" t="n"/>
      <c r="F111" s="82" t="n"/>
      <c r="G111" s="82" t="n"/>
      <c r="H111" s="82" t="n"/>
      <c r="I111" s="82" t="n"/>
      <c r="J111" s="82" t="n"/>
      <c r="K111" s="82" t="n"/>
    </row>
    <row r="112">
      <c r="A112" s="82" t="n"/>
      <c r="B112" s="82" t="n"/>
      <c r="C112" s="82" t="n"/>
      <c r="D112" s="82" t="n"/>
      <c r="E112" s="82" t="n"/>
      <c r="F112" s="82" t="n"/>
      <c r="G112" s="82" t="n"/>
      <c r="H112" s="82" t="n"/>
      <c r="I112" s="82" t="n"/>
      <c r="J112" s="82" t="n"/>
      <c r="K112" s="82" t="n"/>
    </row>
    <row r="113">
      <c r="A113" s="82" t="n"/>
      <c r="B113" s="82" t="n"/>
      <c r="C113" s="82" t="n"/>
      <c r="D113" s="82" t="n"/>
      <c r="E113" s="82" t="n"/>
      <c r="F113" s="82" t="n"/>
      <c r="G113" s="82" t="n"/>
      <c r="H113" s="82" t="n"/>
      <c r="I113" s="82" t="n"/>
      <c r="J113" s="82" t="n"/>
      <c r="K113" s="82" t="n"/>
    </row>
    <row r="114">
      <c r="A114" s="82" t="n"/>
      <c r="B114" s="82" t="n"/>
      <c r="C114" s="82" t="n"/>
      <c r="D114" s="82" t="n"/>
      <c r="E114" s="82" t="n"/>
      <c r="F114" s="82" t="n"/>
      <c r="G114" s="82" t="n"/>
      <c r="H114" s="82" t="n"/>
      <c r="I114" s="82" t="n"/>
      <c r="J114" s="82" t="n"/>
      <c r="K114" s="82" t="n"/>
    </row>
    <row r="115">
      <c r="A115" s="82" t="n"/>
      <c r="B115" s="82" t="n"/>
      <c r="C115" s="82" t="n"/>
      <c r="D115" s="82" t="n"/>
      <c r="E115" s="82" t="n"/>
      <c r="F115" s="82" t="n"/>
      <c r="G115" s="82" t="n"/>
      <c r="H115" s="82" t="n"/>
      <c r="I115" s="82" t="n"/>
      <c r="J115" s="82" t="n"/>
      <c r="K115" s="82" t="n"/>
    </row>
    <row r="116">
      <c r="A116" s="82" t="n"/>
      <c r="B116" s="82" t="n"/>
      <c r="C116" s="82" t="n"/>
      <c r="D116" s="82" t="n"/>
      <c r="E116" s="82" t="n"/>
      <c r="F116" s="82" t="n"/>
      <c r="G116" s="82" t="n"/>
      <c r="H116" s="82" t="n"/>
      <c r="I116" s="82" t="n"/>
      <c r="J116" s="82" t="n"/>
      <c r="K116" s="82" t="n"/>
    </row>
    <row r="117">
      <c r="A117" s="82" t="n"/>
      <c r="B117" s="82" t="n"/>
      <c r="C117" s="82" t="n"/>
      <c r="D117" s="82" t="n"/>
      <c r="E117" s="82" t="n"/>
      <c r="F117" s="82" t="n"/>
      <c r="G117" s="82" t="n"/>
      <c r="H117" s="82" t="n"/>
      <c r="I117" s="82" t="n"/>
      <c r="J117" s="82" t="n"/>
      <c r="K117" s="82" t="n"/>
    </row>
    <row r="118">
      <c r="A118" s="82" t="n"/>
      <c r="B118" s="82" t="n"/>
      <c r="C118" s="82" t="n"/>
      <c r="D118" s="82" t="n"/>
      <c r="E118" s="82" t="n"/>
      <c r="F118" s="82" t="n"/>
      <c r="G118" s="82" t="n"/>
      <c r="H118" s="82" t="n"/>
      <c r="I118" s="82" t="n"/>
      <c r="J118" s="82" t="n"/>
      <c r="K118" s="82" t="n"/>
    </row>
    <row r="119">
      <c r="A119" s="82" t="n"/>
      <c r="B119" s="82" t="n"/>
      <c r="C119" s="82" t="n"/>
      <c r="D119" s="82" t="n"/>
      <c r="E119" s="82" t="n"/>
      <c r="F119" s="82" t="n"/>
      <c r="G119" s="82" t="n"/>
      <c r="H119" s="82" t="n"/>
      <c r="I119" s="82" t="n"/>
      <c r="J119" s="82" t="n"/>
      <c r="K119" s="82" t="n"/>
    </row>
    <row r="120">
      <c r="A120" s="82" t="n"/>
      <c r="B120" s="82" t="n"/>
      <c r="C120" s="82" t="n"/>
      <c r="D120" s="82" t="n"/>
      <c r="E120" s="82" t="n"/>
      <c r="F120" s="82" t="n"/>
      <c r="G120" s="82" t="n"/>
      <c r="H120" s="82" t="n"/>
      <c r="I120" s="82" t="n"/>
      <c r="J120" s="82" t="n"/>
      <c r="K120" s="82" t="n"/>
    </row>
    <row r="121">
      <c r="A121" s="82" t="n"/>
      <c r="B121" s="82" t="n"/>
      <c r="C121" s="82" t="n"/>
      <c r="D121" s="82" t="n"/>
      <c r="E121" s="82" t="n"/>
      <c r="F121" s="82" t="n"/>
      <c r="G121" s="82" t="n"/>
      <c r="H121" s="82" t="n"/>
      <c r="I121" s="82" t="n"/>
      <c r="J121" s="82" t="n"/>
      <c r="K121" s="82" t="n"/>
    </row>
    <row r="122">
      <c r="A122" s="82" t="n"/>
      <c r="B122" s="82" t="n"/>
      <c r="C122" s="82" t="n"/>
      <c r="D122" s="82" t="n"/>
      <c r="E122" s="82" t="n"/>
      <c r="F122" s="82" t="n"/>
      <c r="G122" s="82" t="n"/>
      <c r="H122" s="82" t="n"/>
      <c r="I122" s="82" t="n"/>
      <c r="J122" s="82" t="n"/>
      <c r="K122" s="82" t="n"/>
    </row>
    <row r="123">
      <c r="A123" s="82" t="n"/>
      <c r="B123" s="82" t="n"/>
      <c r="C123" s="82" t="n"/>
      <c r="D123" s="82" t="n"/>
      <c r="E123" s="82" t="n"/>
      <c r="F123" s="82" t="n"/>
      <c r="G123" s="82" t="n"/>
      <c r="H123" s="82" t="n"/>
      <c r="I123" s="82" t="n"/>
      <c r="J123" s="82" t="n"/>
      <c r="K123" s="82" t="n"/>
    </row>
    <row r="124">
      <c r="A124" s="82" t="n"/>
      <c r="B124" s="82" t="n"/>
      <c r="C124" s="82" t="n"/>
      <c r="D124" s="82" t="n"/>
      <c r="E124" s="82" t="n"/>
      <c r="F124" s="82" t="n"/>
      <c r="G124" s="82" t="n"/>
      <c r="H124" s="82" t="n"/>
      <c r="I124" s="82" t="n"/>
      <c r="J124" s="82" t="n"/>
      <c r="K124" s="82" t="n"/>
    </row>
    <row r="125">
      <c r="A125" s="82" t="n"/>
      <c r="B125" s="82" t="n"/>
      <c r="C125" s="82" t="n"/>
      <c r="D125" s="82" t="n"/>
      <c r="E125" s="82" t="n"/>
      <c r="F125" s="82" t="n"/>
      <c r="G125" s="82" t="n"/>
      <c r="H125" s="82" t="n"/>
      <c r="I125" s="82" t="n"/>
      <c r="J125" s="82" t="n"/>
      <c r="K125" s="82" t="n"/>
    </row>
    <row r="126">
      <c r="A126" s="82" t="n"/>
      <c r="B126" s="82" t="n"/>
      <c r="C126" s="82" t="n"/>
      <c r="D126" s="82" t="n"/>
      <c r="E126" s="82" t="n"/>
      <c r="F126" s="82" t="n"/>
      <c r="G126" s="82" t="n"/>
      <c r="H126" s="82" t="n"/>
      <c r="I126" s="82" t="n"/>
      <c r="J126" s="82" t="n"/>
      <c r="K126" s="82" t="n"/>
    </row>
    <row r="127">
      <c r="A127" s="82" t="n"/>
      <c r="B127" s="82" t="n"/>
      <c r="C127" s="82" t="n"/>
      <c r="D127" s="82" t="n"/>
      <c r="E127" s="82" t="n"/>
      <c r="F127" s="82" t="n"/>
      <c r="G127" s="82" t="n"/>
      <c r="H127" s="82" t="n"/>
      <c r="I127" s="82" t="n"/>
      <c r="J127" s="82" t="n"/>
      <c r="K127" s="82" t="n"/>
    </row>
    <row r="128">
      <c r="A128" s="82" t="n"/>
      <c r="B128" s="82" t="n"/>
      <c r="C128" s="82" t="n"/>
      <c r="D128" s="82" t="n"/>
      <c r="E128" s="82" t="n"/>
      <c r="F128" s="82" t="n"/>
      <c r="G128" s="82" t="n"/>
      <c r="H128" s="82" t="n"/>
      <c r="I128" s="82" t="n"/>
      <c r="J128" s="82" t="n"/>
      <c r="K128" s="82" t="n"/>
    </row>
    <row r="129">
      <c r="A129" s="82" t="n"/>
      <c r="B129" s="82" t="n"/>
      <c r="C129" s="82" t="n"/>
      <c r="D129" s="82" t="n"/>
      <c r="E129" s="82" t="n"/>
      <c r="F129" s="82" t="n"/>
      <c r="G129" s="82" t="n"/>
      <c r="H129" s="82" t="n"/>
      <c r="I129" s="82" t="n"/>
      <c r="J129" s="82" t="n"/>
      <c r="K129" s="82" t="n"/>
    </row>
    <row r="130">
      <c r="A130" s="82" t="n"/>
      <c r="B130" s="82" t="n"/>
      <c r="C130" s="82" t="n"/>
      <c r="D130" s="82" t="n"/>
      <c r="E130" s="82" t="n"/>
      <c r="F130" s="82" t="n"/>
      <c r="G130" s="82" t="n"/>
      <c r="H130" s="82" t="n"/>
      <c r="I130" s="82" t="n"/>
      <c r="J130" s="82" t="n"/>
      <c r="K130" s="82" t="n"/>
    </row>
    <row r="131">
      <c r="A131" s="82" t="n"/>
      <c r="B131" s="82" t="n"/>
      <c r="C131" s="82" t="n"/>
      <c r="D131" s="82" t="n"/>
      <c r="E131" s="82" t="n"/>
      <c r="F131" s="82" t="n"/>
      <c r="G131" s="82" t="n"/>
      <c r="H131" s="82" t="n"/>
      <c r="I131" s="82" t="n"/>
      <c r="J131" s="82" t="n"/>
      <c r="K131" s="82" t="n"/>
    </row>
    <row r="132">
      <c r="A132" s="82" t="n"/>
      <c r="B132" s="82" t="n"/>
      <c r="C132" s="82" t="n"/>
      <c r="D132" s="82" t="n"/>
      <c r="E132" s="82" t="n"/>
      <c r="F132" s="82" t="n"/>
      <c r="G132" s="82" t="n"/>
      <c r="H132" s="82" t="n"/>
      <c r="I132" s="82" t="n"/>
      <c r="J132" s="82" t="n"/>
      <c r="K132" s="82" t="n"/>
    </row>
    <row r="133">
      <c r="A133" s="82" t="n"/>
      <c r="B133" s="82" t="n"/>
      <c r="C133" s="82" t="n"/>
      <c r="D133" s="82" t="n"/>
      <c r="E133" s="82" t="n"/>
      <c r="F133" s="82" t="n"/>
      <c r="G133" s="82" t="n"/>
      <c r="H133" s="82" t="n"/>
      <c r="I133" s="82" t="n"/>
      <c r="J133" s="82" t="n"/>
      <c r="K133" s="82" t="n"/>
    </row>
    <row r="134">
      <c r="A134" s="82" t="n"/>
      <c r="B134" s="82" t="n"/>
      <c r="C134" s="82" t="n"/>
      <c r="D134" s="82" t="n"/>
      <c r="E134" s="82" t="n"/>
      <c r="F134" s="82" t="n"/>
      <c r="G134" s="82" t="n"/>
      <c r="H134" s="82" t="n"/>
      <c r="I134" s="82" t="n"/>
      <c r="J134" s="82" t="n"/>
      <c r="K134" s="82" t="n"/>
    </row>
    <row r="135">
      <c r="A135" s="82" t="n"/>
      <c r="B135" s="82" t="n"/>
      <c r="C135" s="82" t="n"/>
      <c r="D135" s="82" t="n"/>
      <c r="E135" s="82" t="n"/>
      <c r="F135" s="82" t="n"/>
      <c r="G135" s="82" t="n"/>
      <c r="H135" s="82" t="n"/>
      <c r="I135" s="82" t="n"/>
      <c r="J135" s="82" t="n"/>
      <c r="K135" s="82" t="n"/>
    </row>
    <row r="136">
      <c r="A136" s="82" t="n"/>
      <c r="B136" s="82" t="n"/>
      <c r="C136" s="82" t="n"/>
      <c r="D136" s="82" t="n"/>
      <c r="E136" s="82" t="n"/>
      <c r="F136" s="82" t="n"/>
      <c r="G136" s="82" t="n"/>
      <c r="H136" s="82" t="n"/>
      <c r="I136" s="82" t="n"/>
      <c r="J136" s="82" t="n"/>
      <c r="K136" s="82" t="n"/>
    </row>
    <row r="137">
      <c r="A137" s="82" t="n"/>
      <c r="B137" s="82" t="n"/>
      <c r="C137" s="82" t="n"/>
      <c r="D137" s="82" t="n"/>
      <c r="E137" s="82" t="n"/>
      <c r="F137" s="82" t="n"/>
      <c r="G137" s="82" t="n"/>
      <c r="H137" s="82" t="n"/>
      <c r="I137" s="82" t="n"/>
      <c r="J137" s="82" t="n"/>
      <c r="K137" s="82" t="n"/>
    </row>
    <row r="138">
      <c r="A138" s="82" t="n"/>
      <c r="B138" s="82" t="n"/>
      <c r="C138" s="82" t="n"/>
      <c r="D138" s="82" t="n"/>
      <c r="E138" s="82" t="n"/>
      <c r="F138" s="82" t="n"/>
      <c r="G138" s="82" t="n"/>
      <c r="H138" s="82" t="n"/>
      <c r="I138" s="82" t="n"/>
      <c r="J138" s="82" t="n"/>
      <c r="K138" s="82" t="n"/>
    </row>
    <row r="139">
      <c r="A139" s="82" t="n"/>
      <c r="B139" s="82" t="n"/>
      <c r="C139" s="82" t="n"/>
      <c r="D139" s="82" t="n"/>
      <c r="E139" s="82" t="n"/>
      <c r="F139" s="82" t="n"/>
      <c r="G139" s="82" t="n"/>
      <c r="H139" s="82" t="n"/>
      <c r="I139" s="82" t="n"/>
      <c r="J139" s="82" t="n"/>
      <c r="K139" s="82" t="n"/>
    </row>
    <row r="140">
      <c r="A140" s="82" t="n"/>
      <c r="B140" s="82" t="n"/>
      <c r="C140" s="82" t="n"/>
      <c r="D140" s="82" t="n"/>
      <c r="E140" s="82" t="n"/>
      <c r="F140" s="82" t="n"/>
      <c r="G140" s="82" t="n"/>
      <c r="H140" s="82" t="n"/>
      <c r="I140" s="82" t="n"/>
      <c r="J140" s="82" t="n"/>
      <c r="K140" s="82" t="n"/>
    </row>
    <row r="141">
      <c r="A141" s="82" t="n"/>
      <c r="B141" s="82" t="n"/>
      <c r="C141" s="82" t="n"/>
      <c r="D141" s="82" t="n"/>
      <c r="E141" s="82" t="n"/>
      <c r="F141" s="82" t="n"/>
      <c r="G141" s="82" t="n"/>
      <c r="H141" s="82" t="n"/>
      <c r="I141" s="82" t="n"/>
      <c r="J141" s="82" t="n"/>
      <c r="K141" s="82" t="n"/>
    </row>
    <row r="142">
      <c r="A142" s="82" t="n"/>
      <c r="B142" s="82" t="n"/>
      <c r="C142" s="82" t="n"/>
      <c r="D142" s="82" t="n"/>
      <c r="E142" s="82" t="n"/>
      <c r="F142" s="82" t="n"/>
      <c r="G142" s="82" t="n"/>
      <c r="H142" s="82" t="n"/>
      <c r="I142" s="82" t="n"/>
      <c r="J142" s="82" t="n"/>
      <c r="K142" s="82" t="n"/>
    </row>
    <row r="143">
      <c r="A143" s="82" t="n"/>
      <c r="B143" s="82" t="n"/>
      <c r="C143" s="82" t="n"/>
      <c r="D143" s="82" t="n"/>
      <c r="E143" s="82" t="n"/>
      <c r="F143" s="82" t="n"/>
      <c r="G143" s="82" t="n"/>
      <c r="H143" s="82" t="n"/>
      <c r="I143" s="82" t="n"/>
      <c r="J143" s="82" t="n"/>
      <c r="K143" s="82" t="n"/>
    </row>
    <row r="144">
      <c r="A144" s="82" t="n"/>
      <c r="B144" s="82" t="n"/>
      <c r="C144" s="82" t="n"/>
      <c r="D144" s="82" t="n"/>
      <c r="E144" s="82" t="n"/>
      <c r="F144" s="82" t="n"/>
      <c r="G144" s="82" t="n"/>
      <c r="H144" s="82" t="n"/>
      <c r="I144" s="82" t="n"/>
      <c r="J144" s="82" t="n"/>
      <c r="K144" s="82" t="n"/>
    </row>
    <row r="145">
      <c r="A145" s="82" t="n"/>
      <c r="B145" s="82" t="n"/>
      <c r="C145" s="82" t="n"/>
      <c r="D145" s="82" t="n"/>
      <c r="E145" s="82" t="n"/>
      <c r="F145" s="82" t="n"/>
      <c r="G145" s="82" t="n"/>
      <c r="H145" s="82" t="n"/>
      <c r="I145" s="82" t="n"/>
      <c r="J145" s="82" t="n"/>
      <c r="K145" s="82" t="n"/>
    </row>
    <row r="146">
      <c r="A146" s="82" t="n"/>
      <c r="B146" s="82" t="n"/>
      <c r="C146" s="82" t="n"/>
      <c r="D146" s="82" t="n"/>
      <c r="E146" s="82" t="n"/>
      <c r="F146" s="82" t="n"/>
      <c r="G146" s="82" t="n"/>
      <c r="H146" s="82" t="n"/>
      <c r="I146" s="82" t="n"/>
      <c r="J146" s="82" t="n"/>
      <c r="K146" s="82" t="n"/>
    </row>
    <row r="147">
      <c r="A147" s="82" t="n"/>
      <c r="B147" s="82" t="n"/>
      <c r="C147" s="82" t="n"/>
      <c r="D147" s="82" t="n"/>
      <c r="E147" s="82" t="n"/>
      <c r="F147" s="82" t="n"/>
      <c r="G147" s="82" t="n"/>
      <c r="H147" s="82" t="n"/>
      <c r="I147" s="82" t="n"/>
      <c r="J147" s="82" t="n"/>
      <c r="K147" s="82" t="n"/>
    </row>
    <row r="148">
      <c r="A148" s="82" t="n"/>
      <c r="B148" s="82" t="n"/>
      <c r="C148" s="82" t="n"/>
      <c r="D148" s="82" t="n"/>
      <c r="E148" s="82" t="n"/>
      <c r="F148" s="82" t="n"/>
      <c r="G148" s="82" t="n"/>
      <c r="H148" s="82" t="n"/>
      <c r="I148" s="82" t="n"/>
      <c r="J148" s="82" t="n"/>
      <c r="K148" s="82" t="n"/>
    </row>
    <row r="149">
      <c r="A149" s="82" t="n"/>
      <c r="B149" s="82" t="n"/>
      <c r="C149" s="82" t="n"/>
      <c r="D149" s="82" t="n"/>
      <c r="E149" s="82" t="n"/>
      <c r="F149" s="82" t="n"/>
      <c r="G149" s="82" t="n"/>
      <c r="H149" s="82" t="n"/>
      <c r="I149" s="82" t="n"/>
      <c r="J149" s="82" t="n"/>
      <c r="K149" s="82" t="n"/>
    </row>
    <row r="150">
      <c r="A150" s="82" t="n"/>
      <c r="B150" s="82" t="n"/>
      <c r="C150" s="82" t="n"/>
      <c r="D150" s="82" t="n"/>
      <c r="E150" s="82" t="n"/>
      <c r="F150" s="82" t="n"/>
      <c r="G150" s="82" t="n"/>
      <c r="H150" s="82" t="n"/>
      <c r="I150" s="82" t="n"/>
      <c r="J150" s="82" t="n"/>
      <c r="K150" s="82" t="n"/>
    </row>
    <row r="151">
      <c r="A151" s="82" t="n"/>
      <c r="B151" s="82" t="n"/>
      <c r="C151" s="82" t="n"/>
      <c r="D151" s="82" t="n"/>
      <c r="E151" s="82" t="n"/>
      <c r="F151" s="82" t="n"/>
      <c r="G151" s="82" t="n"/>
      <c r="H151" s="82" t="n"/>
      <c r="I151" s="82" t="n"/>
      <c r="J151" s="82" t="n"/>
      <c r="K151" s="82" t="n"/>
    </row>
    <row r="152">
      <c r="A152" s="82" t="n"/>
      <c r="B152" s="82" t="n"/>
      <c r="C152" s="82" t="n"/>
      <c r="D152" s="82" t="n"/>
      <c r="E152" s="82" t="n"/>
      <c r="F152" s="82" t="n"/>
      <c r="G152" s="82" t="n"/>
      <c r="H152" s="82" t="n"/>
      <c r="I152" s="82" t="n"/>
      <c r="J152" s="82" t="n"/>
      <c r="K152" s="82" t="n"/>
    </row>
    <row r="153">
      <c r="A153" s="82" t="n"/>
      <c r="B153" s="82" t="n"/>
      <c r="C153" s="82" t="n"/>
      <c r="D153" s="82" t="n"/>
      <c r="E153" s="82" t="n"/>
      <c r="F153" s="82" t="n"/>
      <c r="G153" s="82" t="n"/>
      <c r="H153" s="82" t="n"/>
      <c r="I153" s="82" t="n"/>
      <c r="J153" s="82" t="n"/>
      <c r="K153" s="82" t="n"/>
    </row>
    <row r="154">
      <c r="A154" s="82" t="n"/>
      <c r="B154" s="82" t="n"/>
      <c r="C154" s="82" t="n"/>
      <c r="D154" s="82" t="n"/>
      <c r="E154" s="82" t="n"/>
      <c r="F154" s="82" t="n"/>
      <c r="G154" s="82" t="n"/>
      <c r="H154" s="82" t="n"/>
      <c r="I154" s="82" t="n"/>
      <c r="J154" s="82" t="n"/>
      <c r="K154" s="82" t="n"/>
    </row>
    <row r="155">
      <c r="A155" s="82" t="n"/>
      <c r="B155" s="82" t="n"/>
      <c r="C155" s="82" t="n"/>
      <c r="D155" s="82" t="n"/>
      <c r="E155" s="82" t="n"/>
      <c r="F155" s="82" t="n"/>
      <c r="G155" s="82" t="n"/>
      <c r="H155" s="82" t="n"/>
      <c r="I155" s="82" t="n"/>
      <c r="J155" s="82" t="n"/>
      <c r="K155" s="82" t="n"/>
    </row>
    <row r="156">
      <c r="A156" s="82" t="n"/>
      <c r="B156" s="82" t="n"/>
      <c r="C156" s="82" t="n"/>
      <c r="D156" s="82" t="n"/>
      <c r="E156" s="82" t="n"/>
      <c r="F156" s="82" t="n"/>
      <c r="G156" s="82" t="n"/>
      <c r="H156" s="82" t="n"/>
      <c r="I156" s="82" t="n"/>
      <c r="J156" s="82" t="n"/>
      <c r="K156" s="82" t="n"/>
    </row>
    <row r="157">
      <c r="A157" s="82" t="n"/>
      <c r="B157" s="82" t="n"/>
      <c r="C157" s="82" t="n"/>
      <c r="D157" s="82" t="n"/>
      <c r="E157" s="82" t="n"/>
      <c r="F157" s="82" t="n"/>
      <c r="G157" s="82" t="n"/>
      <c r="H157" s="82" t="n"/>
      <c r="I157" s="82" t="n"/>
      <c r="J157" s="82" t="n"/>
      <c r="K157" s="82" t="n"/>
    </row>
    <row r="158">
      <c r="A158" s="82" t="n"/>
      <c r="B158" s="82" t="n"/>
      <c r="C158" s="82" t="n"/>
      <c r="D158" s="82" t="n"/>
      <c r="E158" s="82" t="n"/>
      <c r="F158" s="82" t="n"/>
      <c r="G158" s="82" t="n"/>
      <c r="H158" s="82" t="n"/>
      <c r="I158" s="82" t="n"/>
      <c r="J158" s="82" t="n"/>
      <c r="K158" s="82" t="n"/>
    </row>
    <row r="159">
      <c r="A159" s="82" t="n"/>
      <c r="B159" s="82" t="n"/>
      <c r="C159" s="82" t="n"/>
      <c r="D159" s="82" t="n"/>
      <c r="E159" s="82" t="n"/>
      <c r="F159" s="82" t="n"/>
      <c r="G159" s="82" t="n"/>
      <c r="H159" s="82" t="n"/>
      <c r="I159" s="82" t="n"/>
      <c r="J159" s="82" t="n"/>
      <c r="K159" s="82" t="n"/>
    </row>
    <row r="160">
      <c r="A160" s="82" t="n"/>
      <c r="B160" s="82" t="n"/>
      <c r="C160" s="82" t="n"/>
      <c r="D160" s="82" t="n"/>
      <c r="E160" s="82" t="n"/>
      <c r="F160" s="82" t="n"/>
      <c r="G160" s="82" t="n"/>
      <c r="H160" s="82" t="n"/>
      <c r="I160" s="82" t="n"/>
      <c r="J160" s="82" t="n"/>
      <c r="K160" s="82" t="n"/>
    </row>
    <row r="161">
      <c r="A161" s="82" t="n"/>
      <c r="B161" s="82" t="n"/>
      <c r="C161" s="82" t="n"/>
      <c r="D161" s="82" t="n"/>
      <c r="E161" s="82" t="n"/>
      <c r="F161" s="82" t="n"/>
      <c r="G161" s="82" t="n"/>
      <c r="H161" s="82" t="n"/>
      <c r="I161" s="82" t="n"/>
      <c r="J161" s="82" t="n"/>
      <c r="K161" s="82" t="n"/>
    </row>
    <row r="162">
      <c r="A162" s="82" t="n"/>
      <c r="B162" s="82" t="n"/>
      <c r="C162" s="82" t="n"/>
      <c r="D162" s="82" t="n"/>
      <c r="E162" s="82" t="n"/>
      <c r="F162" s="82" t="n"/>
      <c r="G162" s="82" t="n"/>
      <c r="H162" s="82" t="n"/>
      <c r="I162" s="82" t="n"/>
      <c r="J162" s="82" t="n"/>
      <c r="K162" s="82" t="n"/>
    </row>
    <row r="163">
      <c r="A163" s="82" t="n"/>
      <c r="B163" s="82" t="n"/>
      <c r="C163" s="82" t="n"/>
      <c r="D163" s="82" t="n"/>
      <c r="E163" s="82" t="n"/>
      <c r="F163" s="82" t="n"/>
      <c r="G163" s="82" t="n"/>
      <c r="H163" s="82" t="n"/>
      <c r="I163" s="82" t="n"/>
      <c r="J163" s="82" t="n"/>
      <c r="K163" s="82" t="n"/>
    </row>
    <row r="164">
      <c r="A164" s="82" t="n"/>
      <c r="B164" s="82" t="n"/>
      <c r="C164" s="82" t="n"/>
      <c r="D164" s="82" t="n"/>
      <c r="E164" s="82" t="n"/>
      <c r="F164" s="82" t="n"/>
      <c r="G164" s="82" t="n"/>
      <c r="H164" s="82" t="n"/>
      <c r="I164" s="82" t="n"/>
      <c r="J164" s="82" t="n"/>
      <c r="K164" s="82" t="n"/>
    </row>
    <row r="165">
      <c r="A165" s="82" t="n"/>
      <c r="B165" s="82" t="n"/>
      <c r="C165" s="82" t="n"/>
      <c r="D165" s="82" t="n"/>
      <c r="E165" s="82" t="n"/>
      <c r="F165" s="82" t="n"/>
      <c r="G165" s="82" t="n"/>
      <c r="H165" s="82" t="n"/>
      <c r="I165" s="82" t="n"/>
      <c r="J165" s="82" t="n"/>
      <c r="K165" s="82" t="n"/>
    </row>
    <row r="166">
      <c r="A166" s="82" t="n"/>
      <c r="B166" s="82" t="n"/>
      <c r="C166" s="82" t="n"/>
      <c r="D166" s="82" t="n"/>
      <c r="E166" s="82" t="n"/>
      <c r="F166" s="82" t="n"/>
      <c r="G166" s="82" t="n"/>
      <c r="H166" s="82" t="n"/>
      <c r="I166" s="82" t="n"/>
      <c r="J166" s="82" t="n"/>
      <c r="K166" s="82" t="n"/>
    </row>
    <row r="167">
      <c r="A167" s="82" t="n"/>
      <c r="B167" s="82" t="n"/>
      <c r="C167" s="82" t="n"/>
      <c r="D167" s="82" t="n"/>
      <c r="E167" s="82" t="n"/>
      <c r="F167" s="82" t="n"/>
      <c r="G167" s="82" t="n"/>
      <c r="H167" s="82" t="n"/>
      <c r="I167" s="82" t="n"/>
      <c r="J167" s="82" t="n"/>
      <c r="K167" s="82" t="n"/>
    </row>
    <row r="168">
      <c r="A168" s="82" t="n"/>
      <c r="B168" s="82" t="n"/>
      <c r="C168" s="82" t="n"/>
      <c r="D168" s="82" t="n"/>
      <c r="E168" s="82" t="n"/>
      <c r="F168" s="82" t="n"/>
      <c r="G168" s="82" t="n"/>
      <c r="H168" s="82" t="n"/>
      <c r="I168" s="82" t="n"/>
      <c r="J168" s="82" t="n"/>
      <c r="K168" s="82" t="n"/>
    </row>
    <row r="169">
      <c r="A169" s="82" t="n"/>
      <c r="B169" s="82" t="n"/>
      <c r="C169" s="82" t="n"/>
      <c r="D169" s="82" t="n"/>
      <c r="E169" s="82" t="n"/>
      <c r="F169" s="82" t="n"/>
      <c r="G169" s="82" t="n"/>
      <c r="H169" s="82" t="n"/>
      <c r="I169" s="82" t="n"/>
      <c r="J169" s="82" t="n"/>
      <c r="K169" s="82" t="n"/>
    </row>
    <row r="170">
      <c r="A170" s="82" t="n"/>
      <c r="B170" s="82" t="n"/>
      <c r="C170" s="82" t="n"/>
      <c r="D170" s="82" t="n"/>
      <c r="E170" s="82" t="n"/>
      <c r="F170" s="82" t="n"/>
      <c r="G170" s="82" t="n"/>
      <c r="H170" s="82" t="n"/>
      <c r="I170" s="82" t="n"/>
      <c r="J170" s="82" t="n"/>
      <c r="K170" s="82" t="n"/>
    </row>
    <row r="171">
      <c r="A171" s="82" t="n"/>
      <c r="B171" s="82" t="n"/>
      <c r="C171" s="82" t="n"/>
      <c r="D171" s="82" t="n"/>
      <c r="E171" s="82" t="n"/>
      <c r="F171" s="82" t="n"/>
      <c r="G171" s="82" t="n"/>
      <c r="H171" s="82" t="n"/>
      <c r="I171" s="82" t="n"/>
      <c r="J171" s="82" t="n"/>
      <c r="K171" s="82" t="n"/>
    </row>
    <row r="172">
      <c r="A172" s="82" t="n"/>
      <c r="B172" s="82" t="n"/>
      <c r="C172" s="82" t="n"/>
      <c r="D172" s="82" t="n"/>
      <c r="E172" s="82" t="n"/>
      <c r="F172" s="82" t="n"/>
      <c r="G172" s="82" t="n"/>
      <c r="H172" s="82" t="n"/>
      <c r="I172" s="82" t="n"/>
      <c r="J172" s="82" t="n"/>
      <c r="K172" s="82" t="n"/>
    </row>
    <row r="173">
      <c r="A173" s="82" t="n"/>
      <c r="B173" s="82" t="n"/>
      <c r="C173" s="82" t="n"/>
      <c r="D173" s="82" t="n"/>
      <c r="E173" s="82" t="n"/>
      <c r="F173" s="82" t="n"/>
      <c r="G173" s="82" t="n"/>
      <c r="H173" s="82" t="n"/>
      <c r="I173" s="82" t="n"/>
      <c r="J173" s="82" t="n"/>
      <c r="K173" s="82" t="n"/>
    </row>
    <row r="174">
      <c r="A174" s="82" t="n"/>
      <c r="B174" s="82" t="n"/>
      <c r="C174" s="82" t="n"/>
      <c r="D174" s="82" t="n"/>
      <c r="E174" s="82" t="n"/>
      <c r="F174" s="82" t="n"/>
      <c r="G174" s="82" t="n"/>
      <c r="H174" s="82" t="n"/>
      <c r="I174" s="82" t="n"/>
      <c r="J174" s="82" t="n"/>
      <c r="K174" s="82" t="n"/>
    </row>
    <row r="175">
      <c r="A175" s="82" t="n"/>
      <c r="B175" s="82" t="n"/>
      <c r="C175" s="82" t="n"/>
      <c r="D175" s="82" t="n"/>
      <c r="E175" s="82" t="n"/>
      <c r="F175" s="82" t="n"/>
      <c r="G175" s="82" t="n"/>
      <c r="H175" s="82" t="n"/>
      <c r="I175" s="82" t="n"/>
      <c r="J175" s="82" t="n"/>
      <c r="K175" s="82" t="n"/>
    </row>
    <row r="176">
      <c r="A176" s="82" t="n"/>
      <c r="B176" s="82" t="n"/>
      <c r="C176" s="82" t="n"/>
      <c r="D176" s="82" t="n"/>
      <c r="E176" s="82" t="n"/>
      <c r="F176" s="82" t="n"/>
      <c r="G176" s="82" t="n"/>
      <c r="H176" s="82" t="n"/>
      <c r="I176" s="82" t="n"/>
      <c r="J176" s="82" t="n"/>
      <c r="K176" s="82" t="n"/>
    </row>
    <row r="177">
      <c r="A177" s="82" t="n"/>
      <c r="B177" s="82" t="n"/>
      <c r="C177" s="82" t="n"/>
      <c r="D177" s="82" t="n"/>
      <c r="E177" s="82" t="n"/>
      <c r="F177" s="82" t="n"/>
      <c r="G177" s="82" t="n"/>
      <c r="H177" s="82" t="n"/>
      <c r="I177" s="82" t="n"/>
      <c r="J177" s="82" t="n"/>
      <c r="K177" s="82" t="n"/>
    </row>
    <row r="178">
      <c r="A178" s="82" t="n"/>
      <c r="B178" s="82" t="n"/>
      <c r="C178" s="82" t="n"/>
      <c r="D178" s="82" t="n"/>
      <c r="E178" s="82" t="n"/>
      <c r="F178" s="82" t="n"/>
      <c r="G178" s="82" t="n"/>
      <c r="H178" s="82" t="n"/>
      <c r="I178" s="82" t="n"/>
      <c r="J178" s="82" t="n"/>
      <c r="K178" s="82" t="n"/>
    </row>
    <row r="179">
      <c r="A179" s="82" t="n"/>
      <c r="B179" s="82" t="n"/>
      <c r="C179" s="82" t="n"/>
      <c r="D179" s="82" t="n"/>
      <c r="E179" s="82" t="n"/>
      <c r="F179" s="82" t="n"/>
      <c r="G179" s="82" t="n"/>
      <c r="H179" s="82" t="n"/>
      <c r="I179" s="82" t="n"/>
      <c r="J179" s="82" t="n"/>
      <c r="K179" s="82" t="n"/>
    </row>
    <row r="180">
      <c r="A180" s="82" t="n"/>
      <c r="B180" s="82" t="n"/>
      <c r="C180" s="82" t="n"/>
      <c r="D180" s="82" t="n"/>
      <c r="E180" s="82" t="n"/>
      <c r="F180" s="82" t="n"/>
      <c r="G180" s="82" t="n"/>
      <c r="H180" s="82" t="n"/>
      <c r="I180" s="82" t="n"/>
      <c r="J180" s="82" t="n"/>
      <c r="K180" s="82" t="n"/>
    </row>
    <row r="181">
      <c r="A181" s="82" t="n"/>
      <c r="B181" s="82" t="n"/>
      <c r="C181" s="82" t="n"/>
      <c r="D181" s="82" t="n"/>
      <c r="E181" s="82" t="n"/>
      <c r="F181" s="82" t="n"/>
      <c r="G181" s="82" t="n"/>
      <c r="H181" s="82" t="n"/>
      <c r="I181" s="82" t="n"/>
      <c r="J181" s="82" t="n"/>
      <c r="K181" s="82" t="n"/>
    </row>
    <row r="182">
      <c r="A182" s="82" t="n"/>
      <c r="B182" s="82" t="n"/>
      <c r="C182" s="82" t="n"/>
      <c r="D182" s="82" t="n"/>
      <c r="E182" s="82" t="n"/>
      <c r="F182" s="82" t="n"/>
      <c r="G182" s="82" t="n"/>
      <c r="H182" s="82" t="n"/>
      <c r="I182" s="82" t="n"/>
      <c r="J182" s="82" t="n"/>
      <c r="K182" s="82" t="n"/>
    </row>
    <row r="183">
      <c r="A183" s="82" t="n"/>
      <c r="B183" s="82" t="n"/>
      <c r="C183" s="82" t="n"/>
      <c r="D183" s="82" t="n"/>
      <c r="E183" s="82" t="n"/>
      <c r="F183" s="82" t="n"/>
      <c r="G183" s="82" t="n"/>
      <c r="H183" s="82" t="n"/>
      <c r="I183" s="82" t="n"/>
      <c r="J183" s="82" t="n"/>
      <c r="K183" s="82" t="n"/>
    </row>
    <row r="184">
      <c r="A184" s="82" t="n"/>
      <c r="B184" s="82" t="n"/>
      <c r="C184" s="82" t="n"/>
      <c r="D184" s="82" t="n"/>
      <c r="E184" s="82" t="n"/>
      <c r="F184" s="82" t="n"/>
      <c r="G184" s="82" t="n"/>
      <c r="H184" s="82" t="n"/>
      <c r="I184" s="82" t="n"/>
      <c r="J184" s="82" t="n"/>
      <c r="K184" s="82" t="n"/>
    </row>
    <row r="185">
      <c r="A185" s="82" t="n"/>
      <c r="B185" s="82" t="n"/>
      <c r="C185" s="82" t="n"/>
      <c r="D185" s="82" t="n"/>
      <c r="E185" s="82" t="n"/>
      <c r="F185" s="82" t="n"/>
      <c r="G185" s="82" t="n"/>
      <c r="H185" s="82" t="n"/>
      <c r="I185" s="82" t="n"/>
      <c r="J185" s="82" t="n"/>
      <c r="K185" s="82" t="n"/>
    </row>
    <row r="186">
      <c r="A186" s="82" t="n"/>
      <c r="B186" s="82" t="n"/>
      <c r="C186" s="82" t="n"/>
      <c r="D186" s="82" t="n"/>
      <c r="E186" s="82" t="n"/>
      <c r="F186" s="82" t="n"/>
      <c r="G186" s="82" t="n"/>
      <c r="H186" s="82" t="n"/>
      <c r="I186" s="82" t="n"/>
      <c r="J186" s="82" t="n"/>
      <c r="K186" s="82" t="n"/>
    </row>
    <row r="187">
      <c r="A187" s="82" t="n"/>
      <c r="B187" s="82" t="n"/>
      <c r="C187" s="82" t="n"/>
      <c r="D187" s="82" t="n"/>
      <c r="E187" s="82" t="n"/>
      <c r="F187" s="82" t="n"/>
      <c r="G187" s="82" t="n"/>
      <c r="H187" s="82" t="n"/>
      <c r="I187" s="82" t="n"/>
      <c r="J187" s="82" t="n"/>
      <c r="K187" s="82" t="n"/>
    </row>
    <row r="188">
      <c r="A188" s="82" t="n"/>
      <c r="B188" s="82" t="n"/>
      <c r="C188" s="82" t="n"/>
      <c r="D188" s="82" t="n"/>
      <c r="E188" s="82" t="n"/>
      <c r="F188" s="82" t="n"/>
      <c r="G188" s="82" t="n"/>
      <c r="H188" s="82" t="n"/>
      <c r="I188" s="82" t="n"/>
      <c r="J188" s="82" t="n"/>
      <c r="K188" s="82" t="n"/>
    </row>
    <row r="189">
      <c r="A189" s="82" t="n"/>
      <c r="B189" s="82" t="n"/>
      <c r="C189" s="82" t="n"/>
      <c r="D189" s="82" t="n"/>
      <c r="E189" s="82" t="n"/>
      <c r="F189" s="82" t="n"/>
      <c r="G189" s="82" t="n"/>
      <c r="H189" s="82" t="n"/>
      <c r="I189" s="82" t="n"/>
      <c r="J189" s="82" t="n"/>
      <c r="K189" s="82" t="n"/>
    </row>
    <row r="190">
      <c r="A190" s="82" t="n"/>
      <c r="B190" s="82" t="n"/>
      <c r="C190" s="82" t="n"/>
      <c r="D190" s="82" t="n"/>
      <c r="E190" s="82" t="n"/>
      <c r="F190" s="82" t="n"/>
      <c r="G190" s="82" t="n"/>
      <c r="H190" s="82" t="n"/>
      <c r="I190" s="82" t="n"/>
      <c r="J190" s="82" t="n"/>
      <c r="K190" s="82" t="n"/>
    </row>
    <row r="191">
      <c r="A191" s="82" t="n"/>
      <c r="B191" s="82" t="n"/>
      <c r="C191" s="82" t="n"/>
      <c r="D191" s="82" t="n"/>
      <c r="E191" s="82" t="n"/>
      <c r="F191" s="82" t="n"/>
      <c r="G191" s="82" t="n"/>
      <c r="H191" s="82" t="n"/>
      <c r="I191" s="82" t="n"/>
      <c r="J191" s="82" t="n"/>
      <c r="K191" s="82" t="n"/>
    </row>
    <row r="192">
      <c r="A192" s="82" t="n"/>
      <c r="B192" s="82" t="n"/>
      <c r="C192" s="82" t="n"/>
      <c r="D192" s="82" t="n"/>
      <c r="E192" s="82" t="n"/>
      <c r="F192" s="82" t="n"/>
      <c r="G192" s="82" t="n"/>
      <c r="H192" s="82" t="n"/>
      <c r="I192" s="82" t="n"/>
      <c r="J192" s="82" t="n"/>
      <c r="K192" s="82" t="n"/>
    </row>
    <row r="193">
      <c r="A193" s="82" t="n"/>
      <c r="B193" s="82" t="n"/>
      <c r="C193" s="82" t="n"/>
      <c r="D193" s="82" t="n"/>
      <c r="E193" s="82" t="n"/>
      <c r="F193" s="82" t="n"/>
      <c r="G193" s="82" t="n"/>
      <c r="H193" s="82" t="n"/>
      <c r="I193" s="82" t="n"/>
      <c r="J193" s="82" t="n"/>
      <c r="K193" s="82" t="n"/>
    </row>
    <row r="194">
      <c r="A194" s="82" t="n"/>
      <c r="B194" s="82" t="n"/>
      <c r="C194" s="82" t="n"/>
      <c r="D194" s="82" t="n"/>
      <c r="E194" s="82" t="n"/>
      <c r="F194" s="82" t="n"/>
      <c r="G194" s="82" t="n"/>
      <c r="H194" s="82" t="n"/>
      <c r="I194" s="82" t="n"/>
      <c r="J194" s="82" t="n"/>
      <c r="K194" s="82" t="n"/>
    </row>
    <row r="195">
      <c r="A195" s="82" t="n"/>
      <c r="B195" s="82" t="n"/>
      <c r="C195" s="82" t="n"/>
      <c r="D195" s="82" t="n"/>
      <c r="E195" s="82" t="n"/>
      <c r="F195" s="82" t="n"/>
      <c r="G195" s="82" t="n"/>
      <c r="H195" s="82" t="n"/>
      <c r="I195" s="82" t="n"/>
      <c r="J195" s="82" t="n"/>
      <c r="K195" s="82" t="n"/>
    </row>
    <row r="196">
      <c r="A196" s="82" t="n"/>
      <c r="B196" s="82" t="n"/>
      <c r="C196" s="82" t="n"/>
      <c r="D196" s="82" t="n"/>
      <c r="E196" s="82" t="n"/>
      <c r="F196" s="82" t="n"/>
      <c r="G196" s="82" t="n"/>
      <c r="H196" s="82" t="n"/>
      <c r="I196" s="82" t="n"/>
      <c r="J196" s="82" t="n"/>
      <c r="K196" s="82" t="n"/>
    </row>
    <row r="197">
      <c r="A197" s="82" t="n"/>
      <c r="B197" s="82" t="n"/>
      <c r="C197" s="82" t="n"/>
      <c r="D197" s="82" t="n"/>
      <c r="E197" s="82" t="n"/>
      <c r="F197" s="82" t="n"/>
      <c r="G197" s="82" t="n"/>
      <c r="H197" s="82" t="n"/>
      <c r="I197" s="82" t="n"/>
      <c r="J197" s="82" t="n"/>
      <c r="K197" s="82" t="n"/>
    </row>
    <row r="198">
      <c r="A198" s="82" t="n"/>
      <c r="B198" s="82" t="n"/>
      <c r="C198" s="82" t="n"/>
      <c r="D198" s="82" t="n"/>
      <c r="E198" s="82" t="n"/>
      <c r="F198" s="82" t="n"/>
      <c r="G198" s="82" t="n"/>
      <c r="H198" s="82" t="n"/>
      <c r="I198" s="82" t="n"/>
      <c r="J198" s="82" t="n"/>
      <c r="K198" s="82" t="n"/>
    </row>
    <row r="199">
      <c r="A199" s="82" t="n"/>
      <c r="B199" s="82" t="n"/>
      <c r="C199" s="82" t="n"/>
      <c r="D199" s="82" t="n"/>
      <c r="E199" s="82" t="n"/>
      <c r="F199" s="82" t="n"/>
      <c r="G199" s="82" t="n"/>
      <c r="H199" s="82" t="n"/>
      <c r="I199" s="82" t="n"/>
      <c r="J199" s="82" t="n"/>
      <c r="K199" s="82" t="n"/>
    </row>
    <row r="200">
      <c r="A200" s="82" t="n"/>
      <c r="B200" s="82" t="n"/>
      <c r="C200" s="82" t="n"/>
      <c r="D200" s="82" t="n"/>
      <c r="E200" s="82" t="n"/>
      <c r="F200" s="82" t="n"/>
      <c r="G200" s="82" t="n"/>
      <c r="H200" s="82" t="n"/>
      <c r="I200" s="82" t="n"/>
      <c r="J200" s="82" t="n"/>
      <c r="K200" s="82" t="n"/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autoFilter ref="A4:K13"/>
  <mergeCells count="2">
    <mergeCell ref="A2:K2"/>
    <mergeCell ref="A1:K1"/>
  </mergeCells>
  <conditionalFormatting sqref="G5:G80">
    <cfRule type="expression" priority="1" dxfId="0">
      <formula>G5="Pass"</formula>
    </cfRule>
    <cfRule type="expression" priority="2" dxfId="2">
      <formula>G5="Conditional"</formula>
    </cfRule>
    <cfRule type="expression" priority="3" dxfId="4">
      <formula>G5="Fail"</formula>
    </cfRule>
    <cfRule type="expression" priority="4" dxfId="1">
      <formula>G5="Scheduled"</formula>
    </cfRule>
  </conditionalFormatting>
  <dataValidations count="1">
    <dataValidation sqref="G5:G80" showDropDown="0" showInputMessage="0" showErrorMessage="1" allowBlank="1" errorTitle="Invalid value" error="Pick a value from the list." type="list">
      <formula1>=Insp_Result</formula1>
    </dataValidation>
  </dataValidations>
  <pageMargins left="0.4" right="0.4" top="0.6" bottom="0.5" header="0.25" footer="0.25"/>
  <pageSetup orientation="landscape" paperSize="3" fitToHeight="0" fitToWidth="1"/>
  <headerFooter>
    <oddHeader>&amp;LNovality Store  ·  Home Renovation System&amp;RInspections</oddHeader>
    <oddFooter>&amp;LConfidential  ·  Digital twin of the home&amp;RPage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tabColor rgb="00719B7A"/>
    <outlinePr summaryBelow="1" summaryRight="1"/>
    <pageSetUpPr fitToPage="1"/>
  </sheetPr>
  <dimension ref="A1:L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6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1" t="inlineStr">
        <is>
          <t>PAYMENTS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Draws, deposits, scheduled wires  ·  aging for unpaid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 ht="22" customHeight="1">
      <c r="A4" s="66" t="inlineStr">
        <is>
          <t>Pay ID</t>
        </is>
      </c>
      <c r="B4" s="66" t="inlineStr">
        <is>
          <t>Date</t>
        </is>
      </c>
      <c r="C4" s="66" t="inlineStr">
        <is>
          <t>Payee Type</t>
        </is>
      </c>
      <c r="D4" s="66" t="inlineStr">
        <is>
          <t>Payee</t>
        </is>
      </c>
      <c r="E4" s="66" t="inlineStr">
        <is>
          <t>Project ID</t>
        </is>
      </c>
      <c r="F4" s="66" t="inlineStr">
        <is>
          <t>Invoice #</t>
        </is>
      </c>
      <c r="G4" s="66" t="inlineStr">
        <is>
          <t>Amount</t>
        </is>
      </c>
      <c r="H4" s="66" t="inlineStr">
        <is>
          <t>Method</t>
        </is>
      </c>
      <c r="I4" s="66" t="inlineStr">
        <is>
          <t>Status</t>
        </is>
      </c>
      <c r="J4" s="66" t="inlineStr">
        <is>
          <t>Due Date</t>
        </is>
      </c>
      <c r="K4" s="66" t="inlineStr">
        <is>
          <t>Paid Date</t>
        </is>
      </c>
      <c r="L4" s="66" t="inlineStr">
        <is>
          <t>Aging (days)</t>
        </is>
      </c>
    </row>
    <row r="5" ht="18" customHeight="1">
      <c r="A5" s="67" t="inlineStr">
        <is>
          <t>PAY-001</t>
        </is>
      </c>
      <c r="B5" s="70" t="n">
        <v>46089</v>
      </c>
      <c r="C5" s="67" t="inlineStr">
        <is>
          <t>Designer</t>
        </is>
      </c>
      <c r="D5" s="67" t="inlineStr">
        <is>
          <t>Luna Interiors</t>
        </is>
      </c>
      <c r="E5" s="68" t="inlineStr">
        <is>
          <t>PRJ-001</t>
        </is>
      </c>
      <c r="F5" s="68" t="inlineStr">
        <is>
          <t>INV-LUNA-110</t>
        </is>
      </c>
      <c r="G5" s="83" t="n">
        <v>2400</v>
      </c>
      <c r="H5" s="67" t="inlineStr">
        <is>
          <t>ACH</t>
        </is>
      </c>
      <c r="I5" s="67" t="inlineStr">
        <is>
          <t>Paid</t>
        </is>
      </c>
      <c r="J5" s="70" t="n">
        <v>46096</v>
      </c>
      <c r="K5" s="69" t="n">
        <v>46089</v>
      </c>
      <c r="L5" s="91">
        <f>IF($A5="","",IF($I5="Paid",0,IF($J5="","" ,AsOfDate-$J5)))</f>
        <v/>
      </c>
    </row>
    <row r="6" ht="18" customHeight="1">
      <c r="A6" s="75" t="inlineStr">
        <is>
          <t>PAY-002</t>
        </is>
      </c>
      <c r="B6" s="78" t="n">
        <v>46114</v>
      </c>
      <c r="C6" s="75" t="inlineStr">
        <is>
          <t>Authority</t>
        </is>
      </c>
      <c r="D6" s="75" t="inlineStr">
        <is>
          <t>City of Portland</t>
        </is>
      </c>
      <c r="E6" s="76" t="inlineStr">
        <is>
          <t>PRJ-001</t>
        </is>
      </c>
      <c r="F6" s="76" t="inlineStr">
        <is>
          <t>PMT-2026-441</t>
        </is>
      </c>
      <c r="G6" s="87" t="n">
        <v>840</v>
      </c>
      <c r="H6" s="75" t="inlineStr">
        <is>
          <t>Credit Card</t>
        </is>
      </c>
      <c r="I6" s="75" t="inlineStr">
        <is>
          <t>Paid</t>
        </is>
      </c>
      <c r="J6" s="78" t="n">
        <v>46114</v>
      </c>
      <c r="K6" s="77" t="n">
        <v>46114</v>
      </c>
      <c r="L6" s="91">
        <f>IF($A6="","",IF($I6="Paid",0,IF($J6="","" ,AsOfDate-$J6)))</f>
        <v/>
      </c>
    </row>
    <row r="7" ht="18" customHeight="1">
      <c r="A7" s="67" t="inlineStr">
        <is>
          <t>PAY-003</t>
        </is>
      </c>
      <c r="B7" s="70" t="n">
        <v>46146</v>
      </c>
      <c r="C7" s="67" t="inlineStr">
        <is>
          <t>Designer</t>
        </is>
      </c>
      <c r="D7" s="67" t="inlineStr">
        <is>
          <t>Luna Interiors</t>
        </is>
      </c>
      <c r="E7" s="68" t="inlineStr">
        <is>
          <t>PRJ-001</t>
        </is>
      </c>
      <c r="F7" s="68" t="inlineStr">
        <is>
          <t>INV-LUNA-126</t>
        </is>
      </c>
      <c r="G7" s="83" t="n">
        <v>1800</v>
      </c>
      <c r="H7" s="67" t="inlineStr">
        <is>
          <t>ACH</t>
        </is>
      </c>
      <c r="I7" s="67" t="inlineStr">
        <is>
          <t>Paid</t>
        </is>
      </c>
      <c r="J7" s="70" t="n">
        <v>46160</v>
      </c>
      <c r="K7" s="69" t="n">
        <v>46146</v>
      </c>
      <c r="L7" s="91">
        <f>IF($A7="","",IF($I7="Paid",0,IF($J7="","" ,AsOfDate-$J7)))</f>
        <v/>
      </c>
    </row>
    <row r="8" ht="18" customHeight="1">
      <c r="A8" s="75" t="inlineStr">
        <is>
          <t>PAY-004</t>
        </is>
      </c>
      <c r="B8" s="78" t="n">
        <v>46164</v>
      </c>
      <c r="C8" s="75" t="inlineStr">
        <is>
          <t>Contractor</t>
        </is>
      </c>
      <c r="D8" s="75" t="inlineStr">
        <is>
          <t>Ironwood Construction</t>
        </is>
      </c>
      <c r="E8" s="76" t="inlineStr">
        <is>
          <t>PRJ-001</t>
        </is>
      </c>
      <c r="F8" s="76" t="inlineStr">
        <is>
          <t>INV-IW-204</t>
        </is>
      </c>
      <c r="G8" s="87" t="n">
        <v>2800</v>
      </c>
      <c r="H8" s="75" t="inlineStr">
        <is>
          <t>Check</t>
        </is>
      </c>
      <c r="I8" s="75" t="inlineStr">
        <is>
          <t>Paid</t>
        </is>
      </c>
      <c r="J8" s="78" t="n">
        <v>46178</v>
      </c>
      <c r="K8" s="77" t="n">
        <v>46164</v>
      </c>
      <c r="L8" s="91">
        <f>IF($A8="","",IF($I8="Paid",0,IF($J8="","" ,AsOfDate-$J8)))</f>
        <v/>
      </c>
    </row>
    <row r="9" ht="18" customHeight="1">
      <c r="A9" s="67" t="inlineStr">
        <is>
          <t>PAY-005</t>
        </is>
      </c>
      <c r="B9" s="70" t="n">
        <v>46236</v>
      </c>
      <c r="C9" s="67" t="inlineStr">
        <is>
          <t>Contractor</t>
        </is>
      </c>
      <c r="D9" s="67" t="inlineStr">
        <is>
          <t>Cascade Cabinets</t>
        </is>
      </c>
      <c r="E9" s="68" t="inlineStr">
        <is>
          <t>PRJ-001</t>
        </is>
      </c>
      <c r="F9" s="68" t="inlineStr">
        <is>
          <t>INV-CC-501</t>
        </is>
      </c>
      <c r="G9" s="83" t="n">
        <v>7400</v>
      </c>
      <c r="H9" s="67" t="inlineStr">
        <is>
          <t>Wire</t>
        </is>
      </c>
      <c r="I9" s="67" t="inlineStr">
        <is>
          <t>Paid</t>
        </is>
      </c>
      <c r="J9" s="70" t="n">
        <v>46243</v>
      </c>
      <c r="K9" s="69" t="n">
        <v>46236</v>
      </c>
      <c r="L9" s="91">
        <f>IF($A9="","",IF($I9="Paid",0,IF($J9="","" ,AsOfDate-$J9)))</f>
        <v/>
      </c>
    </row>
    <row r="10" ht="18" customHeight="1">
      <c r="A10" s="75" t="inlineStr">
        <is>
          <t>PAY-006</t>
        </is>
      </c>
      <c r="B10" s="78" t="n">
        <v>46259</v>
      </c>
      <c r="C10" s="75" t="inlineStr">
        <is>
          <t>Contractor</t>
        </is>
      </c>
      <c r="D10" s="75" t="inlineStr">
        <is>
          <t>Cascade Cabinets</t>
        </is>
      </c>
      <c r="E10" s="76" t="inlineStr">
        <is>
          <t>PRJ-001</t>
        </is>
      </c>
      <c r="F10" s="76" t="inlineStr">
        <is>
          <t>INV-CC-502</t>
        </is>
      </c>
      <c r="G10" s="87" t="n">
        <v>7400</v>
      </c>
      <c r="H10" s="75" t="inlineStr">
        <is>
          <t>Wire</t>
        </is>
      </c>
      <c r="I10" s="75" t="inlineStr">
        <is>
          <t>Scheduled</t>
        </is>
      </c>
      <c r="J10" s="78" t="n">
        <v>46273</v>
      </c>
      <c r="K10" s="77" t="n"/>
      <c r="L10" s="91">
        <f>IF($A10="","",IF($I10="Paid",0,IF($J10="","" ,AsOfDate-$J10)))</f>
        <v/>
      </c>
    </row>
    <row r="11" ht="18" customHeight="1">
      <c r="A11" s="67" t="inlineStr">
        <is>
          <t>PAY-007</t>
        </is>
      </c>
      <c r="B11" s="70" t="n">
        <v>46262</v>
      </c>
      <c r="C11" s="67" t="inlineStr">
        <is>
          <t>Contractor</t>
        </is>
      </c>
      <c r="D11" s="67" t="inlineStr">
        <is>
          <t>Cascade Cabinets</t>
        </is>
      </c>
      <c r="E11" s="68" t="inlineStr">
        <is>
          <t>PRJ-001</t>
        </is>
      </c>
      <c r="F11" s="68" t="inlineStr">
        <is>
          <t>INV-CC-510</t>
        </is>
      </c>
      <c r="G11" s="83" t="n">
        <v>3600</v>
      </c>
      <c r="H11" s="67" t="inlineStr">
        <is>
          <t>ACH</t>
        </is>
      </c>
      <c r="I11" s="67" t="inlineStr">
        <is>
          <t>Scheduled</t>
        </is>
      </c>
      <c r="J11" s="70" t="n">
        <v>46276</v>
      </c>
      <c r="K11" s="69" t="n"/>
      <c r="L11" s="91">
        <f>IF($A11="","",IF($I11="Paid",0,IF($J11="","" ,AsOfDate-$J11)))</f>
        <v/>
      </c>
    </row>
    <row r="12" ht="18" customHeight="1">
      <c r="A12" s="75" t="inlineStr">
        <is>
          <t>PAY-008</t>
        </is>
      </c>
      <c r="B12" s="78" t="n">
        <v>46252</v>
      </c>
      <c r="C12" s="75" t="inlineStr">
        <is>
          <t>Contractor</t>
        </is>
      </c>
      <c r="D12" s="75" t="inlineStr">
        <is>
          <t>Ironwood Construction</t>
        </is>
      </c>
      <c r="E12" s="76" t="inlineStr">
        <is>
          <t>PRJ-001</t>
        </is>
      </c>
      <c r="F12" s="76" t="inlineStr">
        <is>
          <t>INV-IW-228</t>
        </is>
      </c>
      <c r="G12" s="87" t="n">
        <v>1550</v>
      </c>
      <c r="H12" s="75" t="inlineStr">
        <is>
          <t>ACH</t>
        </is>
      </c>
      <c r="I12" s="75" t="inlineStr">
        <is>
          <t>Paid</t>
        </is>
      </c>
      <c r="J12" s="78" t="n">
        <v>46266</v>
      </c>
      <c r="K12" s="77" t="n">
        <v>46252</v>
      </c>
      <c r="L12" s="91">
        <f>IF($A12="","",IF($I12="Paid",0,IF($J12="","" ,AsOfDate-$J12)))</f>
        <v/>
      </c>
    </row>
    <row r="13" ht="18" customHeight="1">
      <c r="A13" s="67" t="inlineStr">
        <is>
          <t>PAY-009</t>
        </is>
      </c>
      <c r="B13" s="70" t="n">
        <v>46242</v>
      </c>
      <c r="C13" s="67" t="inlineStr">
        <is>
          <t>Contractor</t>
        </is>
      </c>
      <c r="D13" s="67" t="inlineStr">
        <is>
          <t>Heritage Tile &amp; Stone</t>
        </is>
      </c>
      <c r="E13" s="68" t="inlineStr">
        <is>
          <t>PRJ-001</t>
        </is>
      </c>
      <c r="F13" s="68" t="inlineStr">
        <is>
          <t>INV-HT-81</t>
        </is>
      </c>
      <c r="G13" s="83" t="n">
        <v>2100</v>
      </c>
      <c r="H13" s="67" t="inlineStr">
        <is>
          <t>ACH</t>
        </is>
      </c>
      <c r="I13" s="67" t="inlineStr">
        <is>
          <t>Paid</t>
        </is>
      </c>
      <c r="J13" s="70" t="n">
        <v>46256</v>
      </c>
      <c r="K13" s="69" t="n">
        <v>46242</v>
      </c>
      <c r="L13" s="91">
        <f>IF($A13="","",IF($I13="Paid",0,IF($J13="","" ,AsOfDate-$J13)))</f>
        <v/>
      </c>
    </row>
    <row r="14" ht="18" customHeight="1">
      <c r="A14" s="75" t="inlineStr">
        <is>
          <t>PAY-010</t>
        </is>
      </c>
      <c r="B14" s="78" t="n">
        <v>46235</v>
      </c>
      <c r="C14" s="75" t="inlineStr">
        <is>
          <t>Designer</t>
        </is>
      </c>
      <c r="D14" s="75" t="inlineStr">
        <is>
          <t>Luna Interiors</t>
        </is>
      </c>
      <c r="E14" s="76" t="inlineStr">
        <is>
          <t>PRJ-002</t>
        </is>
      </c>
      <c r="F14" s="76" t="inlineStr">
        <is>
          <t>INV-LUNA-140</t>
        </is>
      </c>
      <c r="G14" s="87" t="n">
        <v>600</v>
      </c>
      <c r="H14" s="75" t="inlineStr">
        <is>
          <t>ACH</t>
        </is>
      </c>
      <c r="I14" s="75" t="inlineStr">
        <is>
          <t>Paid</t>
        </is>
      </c>
      <c r="J14" s="78" t="n">
        <v>46249</v>
      </c>
      <c r="K14" s="77" t="n">
        <v>46235</v>
      </c>
      <c r="L14" s="91">
        <f>IF($A14="","",IF($I14="Paid",0,IF($J14="","" ,AsOfDate-$J14)))</f>
        <v/>
      </c>
    </row>
    <row r="15" ht="18" customHeight="1">
      <c r="A15" s="67" t="inlineStr">
        <is>
          <t>PAY-011</t>
        </is>
      </c>
      <c r="B15" s="70" t="n">
        <v>46277</v>
      </c>
      <c r="C15" s="67" t="inlineStr">
        <is>
          <t>Supplier</t>
        </is>
      </c>
      <c r="D15" s="67" t="inlineStr">
        <is>
          <t>Article</t>
        </is>
      </c>
      <c r="E15" s="68" t="inlineStr">
        <is>
          <t>PRJ-001</t>
        </is>
      </c>
      <c r="F15" s="68" t="inlineStr">
        <is>
          <t>ART-SOFA</t>
        </is>
      </c>
      <c r="G15" s="83" t="n">
        <v>3400</v>
      </c>
      <c r="H15" s="67" t="inlineStr">
        <is>
          <t>Credit Card</t>
        </is>
      </c>
      <c r="I15" s="67" t="inlineStr">
        <is>
          <t>Draft</t>
        </is>
      </c>
      <c r="J15" s="70" t="n">
        <v>46277</v>
      </c>
      <c r="K15" s="69" t="n"/>
      <c r="L15" s="91">
        <f>IF($A15="","",IF($I15="Paid",0,IF($J15="","" ,AsOfDate-$J15)))</f>
        <v/>
      </c>
    </row>
    <row r="16">
      <c r="A16" s="82" t="n"/>
      <c r="B16" s="82" t="n"/>
      <c r="C16" s="82" t="n"/>
      <c r="D16" s="82" t="n"/>
      <c r="E16" s="82" t="n"/>
      <c r="F16" s="82" t="n"/>
      <c r="G16" s="82" t="n"/>
      <c r="H16" s="82" t="n"/>
      <c r="I16" s="82" t="n"/>
      <c r="J16" s="82" t="n"/>
      <c r="K16" s="82" t="n"/>
    </row>
    <row r="17">
      <c r="A17" s="82" t="n"/>
      <c r="B17" s="82" t="n"/>
      <c r="C17" s="82" t="n"/>
      <c r="D17" s="82" t="n"/>
      <c r="E17" s="82" t="n"/>
      <c r="F17" s="82" t="n"/>
      <c r="G17" s="82" t="n"/>
      <c r="H17" s="82" t="n"/>
      <c r="I17" s="82" t="n"/>
      <c r="J17" s="82" t="n"/>
      <c r="K17" s="82" t="n"/>
    </row>
    <row r="18">
      <c r="A18" s="82" t="n"/>
      <c r="B18" s="82" t="n"/>
      <c r="C18" s="82" t="n"/>
      <c r="D18" s="82" t="n"/>
      <c r="E18" s="82" t="n"/>
      <c r="F18" s="82" t="n"/>
      <c r="G18" s="82" t="n"/>
      <c r="H18" s="82" t="n"/>
      <c r="I18" s="82" t="n"/>
      <c r="J18" s="82" t="n"/>
      <c r="K18" s="82" t="n"/>
    </row>
    <row r="19">
      <c r="A19" s="82" t="n"/>
      <c r="B19" s="82" t="n"/>
      <c r="C19" s="82" t="n"/>
      <c r="D19" s="82" t="n"/>
      <c r="E19" s="82" t="n"/>
      <c r="F19" s="82" t="n"/>
      <c r="G19" s="82" t="n"/>
      <c r="H19" s="82" t="n"/>
      <c r="I19" s="82" t="n"/>
      <c r="J19" s="82" t="n"/>
      <c r="K19" s="82" t="n"/>
    </row>
    <row r="20">
      <c r="A20" s="82" t="n"/>
      <c r="B20" s="82" t="n"/>
      <c r="C20" s="82" t="n"/>
      <c r="D20" s="82" t="n"/>
      <c r="E20" s="82" t="n"/>
      <c r="F20" s="82" t="n"/>
      <c r="G20" s="82" t="n"/>
      <c r="H20" s="82" t="n"/>
      <c r="I20" s="82" t="n"/>
      <c r="J20" s="82" t="n"/>
      <c r="K20" s="82" t="n"/>
    </row>
    <row r="21">
      <c r="A21" s="82" t="n"/>
      <c r="B21" s="82" t="n"/>
      <c r="C21" s="82" t="n"/>
      <c r="D21" s="82" t="n"/>
      <c r="E21" s="82" t="n"/>
      <c r="F21" s="82" t="n"/>
      <c r="G21" s="82" t="n"/>
      <c r="H21" s="82" t="n"/>
      <c r="I21" s="82" t="n"/>
      <c r="J21" s="82" t="n"/>
      <c r="K21" s="82" t="n"/>
    </row>
    <row r="22">
      <c r="A22" s="82" t="n"/>
      <c r="B22" s="82" t="n"/>
      <c r="C22" s="82" t="n"/>
      <c r="D22" s="82" t="n"/>
      <c r="E22" s="82" t="n"/>
      <c r="F22" s="82" t="n"/>
      <c r="G22" s="82" t="n"/>
      <c r="H22" s="82" t="n"/>
      <c r="I22" s="82" t="n"/>
      <c r="J22" s="82" t="n"/>
      <c r="K22" s="82" t="n"/>
    </row>
    <row r="23">
      <c r="A23" s="82" t="n"/>
      <c r="B23" s="82" t="n"/>
      <c r="C23" s="82" t="n"/>
      <c r="D23" s="82" t="n"/>
      <c r="E23" s="82" t="n"/>
      <c r="F23" s="82" t="n"/>
      <c r="G23" s="82" t="n"/>
      <c r="H23" s="82" t="n"/>
      <c r="I23" s="82" t="n"/>
      <c r="J23" s="82" t="n"/>
      <c r="K23" s="82" t="n"/>
    </row>
    <row r="24">
      <c r="A24" s="82" t="n"/>
      <c r="B24" s="82" t="n"/>
      <c r="C24" s="82" t="n"/>
      <c r="D24" s="82" t="n"/>
      <c r="E24" s="82" t="n"/>
      <c r="F24" s="82" t="n"/>
      <c r="G24" s="82" t="n"/>
      <c r="H24" s="82" t="n"/>
      <c r="I24" s="82" t="n"/>
      <c r="J24" s="82" t="n"/>
      <c r="K24" s="82" t="n"/>
    </row>
    <row r="25">
      <c r="A25" s="82" t="n"/>
      <c r="B25" s="82" t="n"/>
      <c r="C25" s="82" t="n"/>
      <c r="D25" s="82" t="n"/>
      <c r="E25" s="82" t="n"/>
      <c r="F25" s="82" t="n"/>
      <c r="G25" s="82" t="n"/>
      <c r="H25" s="82" t="n"/>
      <c r="I25" s="82" t="n"/>
      <c r="J25" s="82" t="n"/>
      <c r="K25" s="82" t="n"/>
    </row>
    <row r="26">
      <c r="A26" s="82" t="n"/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</row>
    <row r="27">
      <c r="A27" s="82" t="n"/>
      <c r="B27" s="82" t="n"/>
      <c r="C27" s="82" t="n"/>
      <c r="D27" s="82" t="n"/>
      <c r="E27" s="82" t="n"/>
      <c r="F27" s="82" t="n"/>
      <c r="G27" s="82" t="n"/>
      <c r="H27" s="82" t="n"/>
      <c r="I27" s="82" t="n"/>
      <c r="J27" s="82" t="n"/>
      <c r="K27" s="82" t="n"/>
    </row>
    <row r="28">
      <c r="A28" s="82" t="n"/>
      <c r="B28" s="82" t="n"/>
      <c r="C28" s="82" t="n"/>
      <c r="D28" s="82" t="n"/>
      <c r="E28" s="82" t="n"/>
      <c r="F28" s="82" t="n"/>
      <c r="G28" s="82" t="n"/>
      <c r="H28" s="82" t="n"/>
      <c r="I28" s="82" t="n"/>
      <c r="J28" s="82" t="n"/>
      <c r="K28" s="82" t="n"/>
    </row>
    <row r="29">
      <c r="A29" s="82" t="n"/>
      <c r="B29" s="82" t="n"/>
      <c r="C29" s="82" t="n"/>
      <c r="D29" s="82" t="n"/>
      <c r="E29" s="82" t="n"/>
      <c r="F29" s="82" t="n"/>
      <c r="G29" s="82" t="n"/>
      <c r="H29" s="82" t="n"/>
      <c r="I29" s="82" t="n"/>
      <c r="J29" s="82" t="n"/>
      <c r="K29" s="82" t="n"/>
    </row>
    <row r="30">
      <c r="A30" s="82" t="n"/>
      <c r="B30" s="82" t="n"/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</row>
    <row r="31">
      <c r="A31" s="82" t="n"/>
      <c r="B31" s="82" t="n"/>
      <c r="C31" s="82" t="n"/>
      <c r="D31" s="82" t="n"/>
      <c r="E31" s="82" t="n"/>
      <c r="F31" s="82" t="n"/>
      <c r="G31" s="82" t="n"/>
      <c r="H31" s="82" t="n"/>
      <c r="I31" s="82" t="n"/>
      <c r="J31" s="82" t="n"/>
      <c r="K31" s="82" t="n"/>
    </row>
    <row r="32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</row>
    <row r="33">
      <c r="A33" s="82" t="n"/>
      <c r="B33" s="82" t="n"/>
      <c r="C33" s="82" t="n"/>
      <c r="D33" s="82" t="n"/>
      <c r="E33" s="82" t="n"/>
      <c r="F33" s="82" t="n"/>
      <c r="G33" s="82" t="n"/>
      <c r="H33" s="82" t="n"/>
      <c r="I33" s="82" t="n"/>
      <c r="J33" s="82" t="n"/>
      <c r="K33" s="82" t="n"/>
    </row>
    <row r="34">
      <c r="A34" s="82" t="n"/>
      <c r="B34" s="82" t="n"/>
      <c r="C34" s="82" t="n"/>
      <c r="D34" s="82" t="n"/>
      <c r="E34" s="82" t="n"/>
      <c r="F34" s="82" t="n"/>
      <c r="G34" s="82" t="n"/>
      <c r="H34" s="82" t="n"/>
      <c r="I34" s="82" t="n"/>
      <c r="J34" s="82" t="n"/>
      <c r="K34" s="82" t="n"/>
    </row>
    <row r="35">
      <c r="A35" s="82" t="n"/>
      <c r="B35" s="82" t="n"/>
      <c r="C35" s="82" t="n"/>
      <c r="D35" s="82" t="n"/>
      <c r="E35" s="82" t="n"/>
      <c r="F35" s="82" t="n"/>
      <c r="G35" s="82" t="n"/>
      <c r="H35" s="82" t="n"/>
      <c r="I35" s="82" t="n"/>
      <c r="J35" s="82" t="n"/>
      <c r="K35" s="82" t="n"/>
    </row>
    <row r="36">
      <c r="A36" s="82" t="n"/>
      <c r="B36" s="82" t="n"/>
      <c r="C36" s="82" t="n"/>
      <c r="D36" s="82" t="n"/>
      <c r="E36" s="82" t="n"/>
      <c r="F36" s="82" t="n"/>
      <c r="G36" s="82" t="n"/>
      <c r="H36" s="82" t="n"/>
      <c r="I36" s="82" t="n"/>
      <c r="J36" s="82" t="n"/>
      <c r="K36" s="82" t="n"/>
    </row>
    <row r="37">
      <c r="A37" s="82" t="n"/>
      <c r="B37" s="82" t="n"/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</row>
    <row r="38">
      <c r="A38" s="82" t="n"/>
      <c r="B38" s="82" t="n"/>
      <c r="C38" s="82" t="n"/>
      <c r="D38" s="82" t="n"/>
      <c r="E38" s="82" t="n"/>
      <c r="F38" s="82" t="n"/>
      <c r="G38" s="82" t="n"/>
      <c r="H38" s="82" t="n"/>
      <c r="I38" s="82" t="n"/>
      <c r="J38" s="82" t="n"/>
      <c r="K38" s="82" t="n"/>
    </row>
    <row r="39">
      <c r="A39" s="82" t="n"/>
      <c r="B39" s="82" t="n"/>
      <c r="C39" s="82" t="n"/>
      <c r="D39" s="82" t="n"/>
      <c r="E39" s="82" t="n"/>
      <c r="F39" s="82" t="n"/>
      <c r="G39" s="82" t="n"/>
      <c r="H39" s="82" t="n"/>
      <c r="I39" s="82" t="n"/>
      <c r="J39" s="82" t="n"/>
      <c r="K39" s="82" t="n"/>
    </row>
    <row r="40">
      <c r="A40" s="82" t="n"/>
      <c r="B40" s="82" t="n"/>
      <c r="C40" s="82" t="n"/>
      <c r="D40" s="82" t="n"/>
      <c r="E40" s="82" t="n"/>
      <c r="F40" s="82" t="n"/>
      <c r="G40" s="82" t="n"/>
      <c r="H40" s="82" t="n"/>
      <c r="I40" s="82" t="n"/>
      <c r="J40" s="82" t="n"/>
      <c r="K40" s="82" t="n"/>
    </row>
    <row r="41">
      <c r="A41" s="82" t="n"/>
      <c r="B41" s="82" t="n"/>
      <c r="C41" s="82" t="n"/>
      <c r="D41" s="82" t="n"/>
      <c r="E41" s="82" t="n"/>
      <c r="F41" s="82" t="n"/>
      <c r="G41" s="82" t="n"/>
      <c r="H41" s="82" t="n"/>
      <c r="I41" s="82" t="n"/>
      <c r="J41" s="82" t="n"/>
      <c r="K41" s="82" t="n"/>
    </row>
    <row r="42">
      <c r="A42" s="82" t="n"/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</row>
    <row r="43">
      <c r="A43" s="82" t="n"/>
      <c r="B43" s="82" t="n"/>
      <c r="C43" s="82" t="n"/>
      <c r="D43" s="82" t="n"/>
      <c r="E43" s="82" t="n"/>
      <c r="F43" s="82" t="n"/>
      <c r="G43" s="82" t="n"/>
      <c r="H43" s="82" t="n"/>
      <c r="I43" s="82" t="n"/>
      <c r="J43" s="82" t="n"/>
      <c r="K43" s="82" t="n"/>
    </row>
    <row r="44">
      <c r="A44" s="82" t="n"/>
      <c r="B44" s="82" t="n"/>
      <c r="C44" s="82" t="n"/>
      <c r="D44" s="82" t="n"/>
      <c r="E44" s="82" t="n"/>
      <c r="F44" s="82" t="n"/>
      <c r="G44" s="82" t="n"/>
      <c r="H44" s="82" t="n"/>
      <c r="I44" s="82" t="n"/>
      <c r="J44" s="82" t="n"/>
      <c r="K44" s="82" t="n"/>
    </row>
    <row r="45">
      <c r="A45" s="82" t="n"/>
      <c r="B45" s="82" t="n"/>
      <c r="C45" s="82" t="n"/>
      <c r="D45" s="82" t="n"/>
      <c r="E45" s="82" t="n"/>
      <c r="F45" s="82" t="n"/>
      <c r="G45" s="82" t="n"/>
      <c r="H45" s="82" t="n"/>
      <c r="I45" s="82" t="n"/>
      <c r="J45" s="82" t="n"/>
      <c r="K45" s="82" t="n"/>
    </row>
    <row r="46">
      <c r="A46" s="82" t="n"/>
      <c r="B46" s="82" t="n"/>
      <c r="C46" s="82" t="n"/>
      <c r="D46" s="82" t="n"/>
      <c r="E46" s="82" t="n"/>
      <c r="F46" s="82" t="n"/>
      <c r="G46" s="82" t="n"/>
      <c r="H46" s="82" t="n"/>
      <c r="I46" s="82" t="n"/>
      <c r="J46" s="82" t="n"/>
      <c r="K46" s="82" t="n"/>
    </row>
    <row r="47">
      <c r="A47" s="82" t="n"/>
      <c r="B47" s="82" t="n"/>
      <c r="C47" s="82" t="n"/>
      <c r="D47" s="82" t="n"/>
      <c r="E47" s="82" t="n"/>
      <c r="F47" s="82" t="n"/>
      <c r="G47" s="82" t="n"/>
      <c r="H47" s="82" t="n"/>
      <c r="I47" s="82" t="n"/>
      <c r="J47" s="82" t="n"/>
      <c r="K47" s="82" t="n"/>
    </row>
    <row r="48">
      <c r="A48" s="82" t="n"/>
      <c r="B48" s="82" t="n"/>
      <c r="C48" s="82" t="n"/>
      <c r="D48" s="82" t="n"/>
      <c r="E48" s="82" t="n"/>
      <c r="F48" s="82" t="n"/>
      <c r="G48" s="82" t="n"/>
      <c r="H48" s="82" t="n"/>
      <c r="I48" s="82" t="n"/>
      <c r="J48" s="82" t="n"/>
      <c r="K48" s="82" t="n"/>
    </row>
    <row r="49">
      <c r="A49" s="82" t="n"/>
      <c r="B49" s="82" t="n"/>
      <c r="C49" s="82" t="n"/>
      <c r="D49" s="82" t="n"/>
      <c r="E49" s="82" t="n"/>
      <c r="F49" s="82" t="n"/>
      <c r="G49" s="82" t="n"/>
      <c r="H49" s="82" t="n"/>
      <c r="I49" s="82" t="n"/>
      <c r="J49" s="82" t="n"/>
      <c r="K49" s="82" t="n"/>
    </row>
    <row r="50">
      <c r="A50" s="82" t="n"/>
      <c r="B50" s="82" t="n"/>
      <c r="C50" s="82" t="n"/>
      <c r="D50" s="82" t="n"/>
      <c r="E50" s="82" t="n"/>
      <c r="F50" s="82" t="n"/>
      <c r="G50" s="82" t="n"/>
      <c r="H50" s="82" t="n"/>
      <c r="I50" s="82" t="n"/>
      <c r="J50" s="82" t="n"/>
      <c r="K50" s="82" t="n"/>
    </row>
    <row r="51">
      <c r="A51" s="82" t="n"/>
      <c r="B51" s="82" t="n"/>
      <c r="C51" s="82" t="n"/>
      <c r="D51" s="82" t="n"/>
      <c r="E51" s="82" t="n"/>
      <c r="F51" s="82" t="n"/>
      <c r="G51" s="82" t="n"/>
      <c r="H51" s="82" t="n"/>
      <c r="I51" s="82" t="n"/>
      <c r="J51" s="82" t="n"/>
      <c r="K51" s="82" t="n"/>
    </row>
    <row r="52">
      <c r="A52" s="82" t="n"/>
      <c r="B52" s="82" t="n"/>
      <c r="C52" s="82" t="n"/>
      <c r="D52" s="82" t="n"/>
      <c r="E52" s="82" t="n"/>
      <c r="F52" s="82" t="n"/>
      <c r="G52" s="82" t="n"/>
      <c r="H52" s="82" t="n"/>
      <c r="I52" s="82" t="n"/>
      <c r="J52" s="82" t="n"/>
      <c r="K52" s="82" t="n"/>
    </row>
    <row r="53">
      <c r="A53" s="82" t="n"/>
      <c r="B53" s="82" t="n"/>
      <c r="C53" s="82" t="n"/>
      <c r="D53" s="82" t="n"/>
      <c r="E53" s="82" t="n"/>
      <c r="F53" s="82" t="n"/>
      <c r="G53" s="82" t="n"/>
      <c r="H53" s="82" t="n"/>
      <c r="I53" s="82" t="n"/>
      <c r="J53" s="82" t="n"/>
      <c r="K53" s="82" t="n"/>
    </row>
    <row r="54">
      <c r="A54" s="82" t="n"/>
      <c r="B54" s="82" t="n"/>
      <c r="C54" s="82" t="n"/>
      <c r="D54" s="82" t="n"/>
      <c r="E54" s="82" t="n"/>
      <c r="F54" s="82" t="n"/>
      <c r="G54" s="82" t="n"/>
      <c r="H54" s="82" t="n"/>
      <c r="I54" s="82" t="n"/>
      <c r="J54" s="82" t="n"/>
      <c r="K54" s="82" t="n"/>
    </row>
    <row r="55">
      <c r="A55" s="82" t="n"/>
      <c r="B55" s="82" t="n"/>
      <c r="C55" s="82" t="n"/>
      <c r="D55" s="82" t="n"/>
      <c r="E55" s="82" t="n"/>
      <c r="F55" s="82" t="n"/>
      <c r="G55" s="82" t="n"/>
      <c r="H55" s="82" t="n"/>
      <c r="I55" s="82" t="n"/>
      <c r="J55" s="82" t="n"/>
      <c r="K55" s="82" t="n"/>
    </row>
    <row r="56">
      <c r="A56" s="82" t="n"/>
      <c r="B56" s="82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2" t="n"/>
    </row>
    <row r="57">
      <c r="A57" s="82" t="n"/>
      <c r="B57" s="82" t="n"/>
      <c r="C57" s="82" t="n"/>
      <c r="D57" s="82" t="n"/>
      <c r="E57" s="82" t="n"/>
      <c r="F57" s="82" t="n"/>
      <c r="G57" s="82" t="n"/>
      <c r="H57" s="82" t="n"/>
      <c r="I57" s="82" t="n"/>
      <c r="J57" s="82" t="n"/>
      <c r="K57" s="82" t="n"/>
    </row>
    <row r="58">
      <c r="A58" s="82" t="n"/>
      <c r="B58" s="82" t="n"/>
      <c r="C58" s="82" t="n"/>
      <c r="D58" s="82" t="n"/>
      <c r="E58" s="82" t="n"/>
      <c r="F58" s="82" t="n"/>
      <c r="G58" s="82" t="n"/>
      <c r="H58" s="82" t="n"/>
      <c r="I58" s="82" t="n"/>
      <c r="J58" s="82" t="n"/>
      <c r="K58" s="82" t="n"/>
    </row>
    <row r="59">
      <c r="A59" s="82" t="n"/>
      <c r="B59" s="82" t="n"/>
      <c r="C59" s="82" t="n"/>
      <c r="D59" s="82" t="n"/>
      <c r="E59" s="82" t="n"/>
      <c r="F59" s="82" t="n"/>
      <c r="G59" s="82" t="n"/>
      <c r="H59" s="82" t="n"/>
      <c r="I59" s="82" t="n"/>
      <c r="J59" s="82" t="n"/>
      <c r="K59" s="82" t="n"/>
    </row>
    <row r="60">
      <c r="A60" s="82" t="n"/>
      <c r="B60" s="82" t="n"/>
      <c r="C60" s="82" t="n"/>
      <c r="D60" s="82" t="n"/>
      <c r="E60" s="82" t="n"/>
      <c r="F60" s="82" t="n"/>
      <c r="G60" s="82" t="n"/>
      <c r="H60" s="82" t="n"/>
      <c r="I60" s="82" t="n"/>
      <c r="J60" s="82" t="n"/>
      <c r="K60" s="82" t="n"/>
    </row>
    <row r="61">
      <c r="A61" s="82" t="n"/>
      <c r="B61" s="82" t="n"/>
      <c r="C61" s="82" t="n"/>
      <c r="D61" s="82" t="n"/>
      <c r="E61" s="82" t="n"/>
      <c r="F61" s="82" t="n"/>
      <c r="G61" s="82" t="n"/>
      <c r="H61" s="82" t="n"/>
      <c r="I61" s="82" t="n"/>
      <c r="J61" s="82" t="n"/>
      <c r="K61" s="82" t="n"/>
    </row>
    <row r="62">
      <c r="A62" s="82" t="n"/>
      <c r="B62" s="82" t="n"/>
      <c r="C62" s="82" t="n"/>
      <c r="D62" s="82" t="n"/>
      <c r="E62" s="82" t="n"/>
      <c r="F62" s="82" t="n"/>
      <c r="G62" s="82" t="n"/>
      <c r="H62" s="82" t="n"/>
      <c r="I62" s="82" t="n"/>
      <c r="J62" s="82" t="n"/>
      <c r="K62" s="82" t="n"/>
    </row>
    <row r="63">
      <c r="A63" s="82" t="n"/>
      <c r="B63" s="82" t="n"/>
      <c r="C63" s="82" t="n"/>
      <c r="D63" s="82" t="n"/>
      <c r="E63" s="82" t="n"/>
      <c r="F63" s="82" t="n"/>
      <c r="G63" s="82" t="n"/>
      <c r="H63" s="82" t="n"/>
      <c r="I63" s="82" t="n"/>
      <c r="J63" s="82" t="n"/>
      <c r="K63" s="82" t="n"/>
    </row>
    <row r="64">
      <c r="A64" s="82" t="n"/>
      <c r="B64" s="82" t="n"/>
      <c r="C64" s="82" t="n"/>
      <c r="D64" s="82" t="n"/>
      <c r="E64" s="82" t="n"/>
      <c r="F64" s="82" t="n"/>
      <c r="G64" s="82" t="n"/>
      <c r="H64" s="82" t="n"/>
      <c r="I64" s="82" t="n"/>
      <c r="J64" s="82" t="n"/>
      <c r="K64" s="82" t="n"/>
    </row>
    <row r="65">
      <c r="A65" s="82" t="n"/>
      <c r="B65" s="82" t="n"/>
      <c r="C65" s="82" t="n"/>
      <c r="D65" s="82" t="n"/>
      <c r="E65" s="82" t="n"/>
      <c r="F65" s="82" t="n"/>
      <c r="G65" s="82" t="n"/>
      <c r="H65" s="82" t="n"/>
      <c r="I65" s="82" t="n"/>
      <c r="J65" s="82" t="n"/>
      <c r="K65" s="82" t="n"/>
    </row>
    <row r="66">
      <c r="A66" s="82" t="n"/>
      <c r="B66" s="82" t="n"/>
      <c r="C66" s="82" t="n"/>
      <c r="D66" s="82" t="n"/>
      <c r="E66" s="82" t="n"/>
      <c r="F66" s="82" t="n"/>
      <c r="G66" s="82" t="n"/>
      <c r="H66" s="82" t="n"/>
      <c r="I66" s="82" t="n"/>
      <c r="J66" s="82" t="n"/>
      <c r="K66" s="82" t="n"/>
    </row>
    <row r="67">
      <c r="A67" s="82" t="n"/>
      <c r="B67" s="82" t="n"/>
      <c r="C67" s="82" t="n"/>
      <c r="D67" s="82" t="n"/>
      <c r="E67" s="82" t="n"/>
      <c r="F67" s="82" t="n"/>
      <c r="G67" s="82" t="n"/>
      <c r="H67" s="82" t="n"/>
      <c r="I67" s="82" t="n"/>
      <c r="J67" s="82" t="n"/>
      <c r="K67" s="82" t="n"/>
    </row>
    <row r="68">
      <c r="A68" s="82" t="n"/>
      <c r="B68" s="82" t="n"/>
      <c r="C68" s="82" t="n"/>
      <c r="D68" s="82" t="n"/>
      <c r="E68" s="82" t="n"/>
      <c r="F68" s="82" t="n"/>
      <c r="G68" s="82" t="n"/>
      <c r="H68" s="82" t="n"/>
      <c r="I68" s="82" t="n"/>
      <c r="J68" s="82" t="n"/>
      <c r="K68" s="82" t="n"/>
    </row>
    <row r="69">
      <c r="A69" s="82" t="n"/>
      <c r="B69" s="82" t="n"/>
      <c r="C69" s="82" t="n"/>
      <c r="D69" s="82" t="n"/>
      <c r="E69" s="82" t="n"/>
      <c r="F69" s="82" t="n"/>
      <c r="G69" s="82" t="n"/>
      <c r="H69" s="82" t="n"/>
      <c r="I69" s="82" t="n"/>
      <c r="J69" s="82" t="n"/>
      <c r="K69" s="82" t="n"/>
    </row>
    <row r="70">
      <c r="A70" s="82" t="n"/>
      <c r="B70" s="82" t="n"/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</row>
    <row r="71">
      <c r="A71" s="82" t="n"/>
      <c r="B71" s="82" t="n"/>
      <c r="C71" s="82" t="n"/>
      <c r="D71" s="82" t="n"/>
      <c r="E71" s="82" t="n"/>
      <c r="F71" s="82" t="n"/>
      <c r="G71" s="82" t="n"/>
      <c r="H71" s="82" t="n"/>
      <c r="I71" s="82" t="n"/>
      <c r="J71" s="82" t="n"/>
      <c r="K71" s="82" t="n"/>
    </row>
    <row r="72">
      <c r="A72" s="82" t="n"/>
      <c r="B72" s="82" t="n"/>
      <c r="C72" s="82" t="n"/>
      <c r="D72" s="82" t="n"/>
      <c r="E72" s="82" t="n"/>
      <c r="F72" s="82" t="n"/>
      <c r="G72" s="82" t="n"/>
      <c r="H72" s="82" t="n"/>
      <c r="I72" s="82" t="n"/>
      <c r="J72" s="82" t="n"/>
      <c r="K72" s="82" t="n"/>
    </row>
    <row r="73">
      <c r="A73" s="82" t="n"/>
      <c r="B73" s="82" t="n"/>
      <c r="C73" s="82" t="n"/>
      <c r="D73" s="82" t="n"/>
      <c r="E73" s="82" t="n"/>
      <c r="F73" s="82" t="n"/>
      <c r="G73" s="82" t="n"/>
      <c r="H73" s="82" t="n"/>
      <c r="I73" s="82" t="n"/>
      <c r="J73" s="82" t="n"/>
      <c r="K73" s="82" t="n"/>
    </row>
    <row r="74">
      <c r="A74" s="82" t="n"/>
      <c r="B74" s="82" t="n"/>
      <c r="C74" s="82" t="n"/>
      <c r="D74" s="82" t="n"/>
      <c r="E74" s="82" t="n"/>
      <c r="F74" s="82" t="n"/>
      <c r="G74" s="82" t="n"/>
      <c r="H74" s="82" t="n"/>
      <c r="I74" s="82" t="n"/>
      <c r="J74" s="82" t="n"/>
      <c r="K74" s="82" t="n"/>
    </row>
    <row r="75">
      <c r="A75" s="82" t="n"/>
      <c r="B75" s="82" t="n"/>
      <c r="C75" s="82" t="n"/>
      <c r="D75" s="82" t="n"/>
      <c r="E75" s="82" t="n"/>
      <c r="F75" s="82" t="n"/>
      <c r="G75" s="82" t="n"/>
      <c r="H75" s="82" t="n"/>
      <c r="I75" s="82" t="n"/>
      <c r="J75" s="82" t="n"/>
      <c r="K75" s="82" t="n"/>
    </row>
    <row r="76">
      <c r="A76" s="82" t="n"/>
      <c r="B76" s="82" t="n"/>
      <c r="C76" s="82" t="n"/>
      <c r="D76" s="82" t="n"/>
      <c r="E76" s="82" t="n"/>
      <c r="F76" s="82" t="n"/>
      <c r="G76" s="82" t="n"/>
      <c r="H76" s="82" t="n"/>
      <c r="I76" s="82" t="n"/>
      <c r="J76" s="82" t="n"/>
      <c r="K76" s="82" t="n"/>
    </row>
    <row r="77">
      <c r="A77" s="82" t="n"/>
      <c r="B77" s="82" t="n"/>
      <c r="C77" s="82" t="n"/>
      <c r="D77" s="82" t="n"/>
      <c r="E77" s="82" t="n"/>
      <c r="F77" s="82" t="n"/>
      <c r="G77" s="82" t="n"/>
      <c r="H77" s="82" t="n"/>
      <c r="I77" s="82" t="n"/>
      <c r="J77" s="82" t="n"/>
      <c r="K77" s="82" t="n"/>
    </row>
    <row r="78">
      <c r="A78" s="82" t="n"/>
      <c r="B78" s="82" t="n"/>
      <c r="C78" s="82" t="n"/>
      <c r="D78" s="82" t="n"/>
      <c r="E78" s="82" t="n"/>
      <c r="F78" s="82" t="n"/>
      <c r="G78" s="82" t="n"/>
      <c r="H78" s="82" t="n"/>
      <c r="I78" s="82" t="n"/>
      <c r="J78" s="82" t="n"/>
      <c r="K78" s="82" t="n"/>
    </row>
    <row r="79">
      <c r="A79" s="82" t="n"/>
      <c r="B79" s="82" t="n"/>
      <c r="C79" s="82" t="n"/>
      <c r="D79" s="82" t="n"/>
      <c r="E79" s="82" t="n"/>
      <c r="F79" s="82" t="n"/>
      <c r="G79" s="82" t="n"/>
      <c r="H79" s="82" t="n"/>
      <c r="I79" s="82" t="n"/>
      <c r="J79" s="82" t="n"/>
      <c r="K79" s="82" t="n"/>
    </row>
    <row r="80">
      <c r="A80" s="82" t="n"/>
      <c r="B80" s="82" t="n"/>
      <c r="C80" s="82" t="n"/>
      <c r="D80" s="82" t="n"/>
      <c r="E80" s="82" t="n"/>
      <c r="F80" s="82" t="n"/>
      <c r="G80" s="82" t="n"/>
      <c r="H80" s="82" t="n"/>
      <c r="I80" s="82" t="n"/>
      <c r="J80" s="82" t="n"/>
      <c r="K80" s="82" t="n"/>
    </row>
    <row r="81">
      <c r="A81" s="82" t="n"/>
      <c r="B81" s="82" t="n"/>
      <c r="C81" s="82" t="n"/>
      <c r="D81" s="82" t="n"/>
      <c r="E81" s="82" t="n"/>
      <c r="F81" s="82" t="n"/>
      <c r="G81" s="82" t="n"/>
      <c r="H81" s="82" t="n"/>
      <c r="I81" s="82" t="n"/>
      <c r="J81" s="82" t="n"/>
      <c r="K81" s="82" t="n"/>
    </row>
    <row r="82">
      <c r="A82" s="82" t="n"/>
      <c r="B82" s="82" t="n"/>
      <c r="C82" s="82" t="n"/>
      <c r="D82" s="82" t="n"/>
      <c r="E82" s="82" t="n"/>
      <c r="F82" s="82" t="n"/>
      <c r="G82" s="82" t="n"/>
      <c r="H82" s="82" t="n"/>
      <c r="I82" s="82" t="n"/>
      <c r="J82" s="82" t="n"/>
      <c r="K82" s="82" t="n"/>
    </row>
    <row r="83">
      <c r="A83" s="82" t="n"/>
      <c r="B83" s="82" t="n"/>
      <c r="C83" s="82" t="n"/>
      <c r="D83" s="82" t="n"/>
      <c r="E83" s="82" t="n"/>
      <c r="F83" s="82" t="n"/>
      <c r="G83" s="82" t="n"/>
      <c r="H83" s="82" t="n"/>
      <c r="I83" s="82" t="n"/>
      <c r="J83" s="82" t="n"/>
      <c r="K83" s="82" t="n"/>
    </row>
    <row r="84">
      <c r="A84" s="82" t="n"/>
      <c r="B84" s="82" t="n"/>
      <c r="C84" s="82" t="n"/>
      <c r="D84" s="82" t="n"/>
      <c r="E84" s="82" t="n"/>
      <c r="F84" s="82" t="n"/>
      <c r="G84" s="82" t="n"/>
      <c r="H84" s="82" t="n"/>
      <c r="I84" s="82" t="n"/>
      <c r="J84" s="82" t="n"/>
      <c r="K84" s="82" t="n"/>
    </row>
    <row r="85">
      <c r="A85" s="82" t="n"/>
      <c r="B85" s="82" t="n"/>
      <c r="C85" s="82" t="n"/>
      <c r="D85" s="82" t="n"/>
      <c r="E85" s="82" t="n"/>
      <c r="F85" s="82" t="n"/>
      <c r="G85" s="82" t="n"/>
      <c r="H85" s="82" t="n"/>
      <c r="I85" s="82" t="n"/>
      <c r="J85" s="82" t="n"/>
      <c r="K85" s="82" t="n"/>
    </row>
    <row r="86">
      <c r="A86" s="82" t="n"/>
      <c r="B86" s="82" t="n"/>
      <c r="C86" s="82" t="n"/>
      <c r="D86" s="82" t="n"/>
      <c r="E86" s="82" t="n"/>
      <c r="F86" s="82" t="n"/>
      <c r="G86" s="82" t="n"/>
      <c r="H86" s="82" t="n"/>
      <c r="I86" s="82" t="n"/>
      <c r="J86" s="82" t="n"/>
      <c r="K86" s="82" t="n"/>
    </row>
    <row r="87">
      <c r="A87" s="82" t="n"/>
      <c r="B87" s="82" t="n"/>
      <c r="C87" s="82" t="n"/>
      <c r="D87" s="82" t="n"/>
      <c r="E87" s="82" t="n"/>
      <c r="F87" s="82" t="n"/>
      <c r="G87" s="82" t="n"/>
      <c r="H87" s="82" t="n"/>
      <c r="I87" s="82" t="n"/>
      <c r="J87" s="82" t="n"/>
      <c r="K87" s="82" t="n"/>
    </row>
    <row r="88">
      <c r="A88" s="82" t="n"/>
      <c r="B88" s="82" t="n"/>
      <c r="C88" s="82" t="n"/>
      <c r="D88" s="82" t="n"/>
      <c r="E88" s="82" t="n"/>
      <c r="F88" s="82" t="n"/>
      <c r="G88" s="82" t="n"/>
      <c r="H88" s="82" t="n"/>
      <c r="I88" s="82" t="n"/>
      <c r="J88" s="82" t="n"/>
      <c r="K88" s="82" t="n"/>
    </row>
    <row r="89">
      <c r="A89" s="82" t="n"/>
      <c r="B89" s="82" t="n"/>
      <c r="C89" s="82" t="n"/>
      <c r="D89" s="82" t="n"/>
      <c r="E89" s="82" t="n"/>
      <c r="F89" s="82" t="n"/>
      <c r="G89" s="82" t="n"/>
      <c r="H89" s="82" t="n"/>
      <c r="I89" s="82" t="n"/>
      <c r="J89" s="82" t="n"/>
      <c r="K89" s="82" t="n"/>
    </row>
    <row r="90">
      <c r="A90" s="82" t="n"/>
      <c r="B90" s="82" t="n"/>
      <c r="C90" s="82" t="n"/>
      <c r="D90" s="82" t="n"/>
      <c r="E90" s="82" t="n"/>
      <c r="F90" s="82" t="n"/>
      <c r="G90" s="82" t="n"/>
      <c r="H90" s="82" t="n"/>
      <c r="I90" s="82" t="n"/>
      <c r="J90" s="82" t="n"/>
      <c r="K90" s="82" t="n"/>
    </row>
    <row r="91">
      <c r="A91" s="82" t="n"/>
      <c r="B91" s="82" t="n"/>
      <c r="C91" s="82" t="n"/>
      <c r="D91" s="82" t="n"/>
      <c r="E91" s="82" t="n"/>
      <c r="F91" s="82" t="n"/>
      <c r="G91" s="82" t="n"/>
      <c r="H91" s="82" t="n"/>
      <c r="I91" s="82" t="n"/>
      <c r="J91" s="82" t="n"/>
      <c r="K91" s="82" t="n"/>
    </row>
    <row r="92">
      <c r="A92" s="82" t="n"/>
      <c r="B92" s="82" t="n"/>
      <c r="C92" s="82" t="n"/>
      <c r="D92" s="82" t="n"/>
      <c r="E92" s="82" t="n"/>
      <c r="F92" s="82" t="n"/>
      <c r="G92" s="82" t="n"/>
      <c r="H92" s="82" t="n"/>
      <c r="I92" s="82" t="n"/>
      <c r="J92" s="82" t="n"/>
      <c r="K92" s="82" t="n"/>
    </row>
    <row r="93">
      <c r="A93" s="82" t="n"/>
      <c r="B93" s="82" t="n"/>
      <c r="C93" s="82" t="n"/>
      <c r="D93" s="82" t="n"/>
      <c r="E93" s="82" t="n"/>
      <c r="F93" s="82" t="n"/>
      <c r="G93" s="82" t="n"/>
      <c r="H93" s="82" t="n"/>
      <c r="I93" s="82" t="n"/>
      <c r="J93" s="82" t="n"/>
      <c r="K93" s="82" t="n"/>
    </row>
    <row r="94">
      <c r="A94" s="82" t="n"/>
      <c r="B94" s="82" t="n"/>
      <c r="C94" s="82" t="n"/>
      <c r="D94" s="82" t="n"/>
      <c r="E94" s="82" t="n"/>
      <c r="F94" s="82" t="n"/>
      <c r="G94" s="82" t="n"/>
      <c r="H94" s="82" t="n"/>
      <c r="I94" s="82" t="n"/>
      <c r="J94" s="82" t="n"/>
      <c r="K94" s="82" t="n"/>
    </row>
    <row r="95">
      <c r="A95" s="82" t="n"/>
      <c r="B95" s="82" t="n"/>
      <c r="C95" s="82" t="n"/>
      <c r="D95" s="82" t="n"/>
      <c r="E95" s="82" t="n"/>
      <c r="F95" s="82" t="n"/>
      <c r="G95" s="82" t="n"/>
      <c r="H95" s="82" t="n"/>
      <c r="I95" s="82" t="n"/>
      <c r="J95" s="82" t="n"/>
      <c r="K95" s="82" t="n"/>
    </row>
    <row r="96">
      <c r="A96" s="82" t="n"/>
      <c r="B96" s="82" t="n"/>
      <c r="C96" s="82" t="n"/>
      <c r="D96" s="82" t="n"/>
      <c r="E96" s="82" t="n"/>
      <c r="F96" s="82" t="n"/>
      <c r="G96" s="82" t="n"/>
      <c r="H96" s="82" t="n"/>
      <c r="I96" s="82" t="n"/>
      <c r="J96" s="82" t="n"/>
      <c r="K96" s="82" t="n"/>
    </row>
    <row r="97">
      <c r="A97" s="82" t="n"/>
      <c r="B97" s="82" t="n"/>
      <c r="C97" s="82" t="n"/>
      <c r="D97" s="82" t="n"/>
      <c r="E97" s="82" t="n"/>
      <c r="F97" s="82" t="n"/>
      <c r="G97" s="82" t="n"/>
      <c r="H97" s="82" t="n"/>
      <c r="I97" s="82" t="n"/>
      <c r="J97" s="82" t="n"/>
      <c r="K97" s="82" t="n"/>
    </row>
    <row r="98">
      <c r="A98" s="82" t="n"/>
      <c r="B98" s="82" t="n"/>
      <c r="C98" s="82" t="n"/>
      <c r="D98" s="82" t="n"/>
      <c r="E98" s="82" t="n"/>
      <c r="F98" s="82" t="n"/>
      <c r="G98" s="82" t="n"/>
      <c r="H98" s="82" t="n"/>
      <c r="I98" s="82" t="n"/>
      <c r="J98" s="82" t="n"/>
      <c r="K98" s="82" t="n"/>
    </row>
    <row r="99">
      <c r="A99" s="82" t="n"/>
      <c r="B99" s="82" t="n"/>
      <c r="C99" s="82" t="n"/>
      <c r="D99" s="82" t="n"/>
      <c r="E99" s="82" t="n"/>
      <c r="F99" s="82" t="n"/>
      <c r="G99" s="82" t="n"/>
      <c r="H99" s="82" t="n"/>
      <c r="I99" s="82" t="n"/>
      <c r="J99" s="82" t="n"/>
      <c r="K99" s="82" t="n"/>
    </row>
    <row r="100">
      <c r="A100" s="82" t="n"/>
      <c r="B100" s="82" t="n"/>
      <c r="C100" s="82" t="n"/>
      <c r="D100" s="82" t="n"/>
      <c r="E100" s="82" t="n"/>
      <c r="F100" s="82" t="n"/>
      <c r="G100" s="82" t="n"/>
      <c r="H100" s="82" t="n"/>
      <c r="I100" s="82" t="n"/>
      <c r="J100" s="82" t="n"/>
      <c r="K100" s="82" t="n"/>
    </row>
    <row r="101">
      <c r="A101" s="82" t="n"/>
      <c r="B101" s="82" t="n"/>
      <c r="C101" s="82" t="n"/>
      <c r="D101" s="82" t="n"/>
      <c r="E101" s="82" t="n"/>
      <c r="F101" s="82" t="n"/>
      <c r="G101" s="82" t="n"/>
      <c r="H101" s="82" t="n"/>
      <c r="I101" s="82" t="n"/>
      <c r="J101" s="82" t="n"/>
      <c r="K101" s="82" t="n"/>
    </row>
    <row r="102">
      <c r="A102" s="82" t="n"/>
      <c r="B102" s="82" t="n"/>
      <c r="C102" s="82" t="n"/>
      <c r="D102" s="82" t="n"/>
      <c r="E102" s="82" t="n"/>
      <c r="F102" s="82" t="n"/>
      <c r="G102" s="82" t="n"/>
      <c r="H102" s="82" t="n"/>
      <c r="I102" s="82" t="n"/>
      <c r="J102" s="82" t="n"/>
      <c r="K102" s="82" t="n"/>
    </row>
    <row r="103">
      <c r="A103" s="82" t="n"/>
      <c r="B103" s="82" t="n"/>
      <c r="C103" s="82" t="n"/>
      <c r="D103" s="82" t="n"/>
      <c r="E103" s="82" t="n"/>
      <c r="F103" s="82" t="n"/>
      <c r="G103" s="82" t="n"/>
      <c r="H103" s="82" t="n"/>
      <c r="I103" s="82" t="n"/>
      <c r="J103" s="82" t="n"/>
      <c r="K103" s="82" t="n"/>
    </row>
    <row r="104">
      <c r="A104" s="82" t="n"/>
      <c r="B104" s="82" t="n"/>
      <c r="C104" s="82" t="n"/>
      <c r="D104" s="82" t="n"/>
      <c r="E104" s="82" t="n"/>
      <c r="F104" s="82" t="n"/>
      <c r="G104" s="82" t="n"/>
      <c r="H104" s="82" t="n"/>
      <c r="I104" s="82" t="n"/>
      <c r="J104" s="82" t="n"/>
      <c r="K104" s="82" t="n"/>
    </row>
    <row r="105">
      <c r="A105" s="82" t="n"/>
      <c r="B105" s="82" t="n"/>
      <c r="C105" s="82" t="n"/>
      <c r="D105" s="82" t="n"/>
      <c r="E105" s="82" t="n"/>
      <c r="F105" s="82" t="n"/>
      <c r="G105" s="82" t="n"/>
      <c r="H105" s="82" t="n"/>
      <c r="I105" s="82" t="n"/>
      <c r="J105" s="82" t="n"/>
      <c r="K105" s="82" t="n"/>
    </row>
    <row r="106">
      <c r="A106" s="82" t="n"/>
      <c r="B106" s="82" t="n"/>
      <c r="C106" s="82" t="n"/>
      <c r="D106" s="82" t="n"/>
      <c r="E106" s="82" t="n"/>
      <c r="F106" s="82" t="n"/>
      <c r="G106" s="82" t="n"/>
      <c r="H106" s="82" t="n"/>
      <c r="I106" s="82" t="n"/>
      <c r="J106" s="82" t="n"/>
      <c r="K106" s="82" t="n"/>
    </row>
    <row r="107">
      <c r="A107" s="82" t="n"/>
      <c r="B107" s="82" t="n"/>
      <c r="C107" s="82" t="n"/>
      <c r="D107" s="82" t="n"/>
      <c r="E107" s="82" t="n"/>
      <c r="F107" s="82" t="n"/>
      <c r="G107" s="82" t="n"/>
      <c r="H107" s="82" t="n"/>
      <c r="I107" s="82" t="n"/>
      <c r="J107" s="82" t="n"/>
      <c r="K107" s="82" t="n"/>
    </row>
    <row r="108">
      <c r="A108" s="82" t="n"/>
      <c r="B108" s="82" t="n"/>
      <c r="C108" s="82" t="n"/>
      <c r="D108" s="82" t="n"/>
      <c r="E108" s="82" t="n"/>
      <c r="F108" s="82" t="n"/>
      <c r="G108" s="82" t="n"/>
      <c r="H108" s="82" t="n"/>
      <c r="I108" s="82" t="n"/>
      <c r="J108" s="82" t="n"/>
      <c r="K108" s="82" t="n"/>
    </row>
    <row r="109">
      <c r="A109" s="82" t="n"/>
      <c r="B109" s="82" t="n"/>
      <c r="C109" s="82" t="n"/>
      <c r="D109" s="82" t="n"/>
      <c r="E109" s="82" t="n"/>
      <c r="F109" s="82" t="n"/>
      <c r="G109" s="82" t="n"/>
      <c r="H109" s="82" t="n"/>
      <c r="I109" s="82" t="n"/>
      <c r="J109" s="82" t="n"/>
      <c r="K109" s="82" t="n"/>
    </row>
    <row r="110">
      <c r="A110" s="82" t="n"/>
      <c r="B110" s="82" t="n"/>
      <c r="C110" s="82" t="n"/>
      <c r="D110" s="82" t="n"/>
      <c r="E110" s="82" t="n"/>
      <c r="F110" s="82" t="n"/>
      <c r="G110" s="82" t="n"/>
      <c r="H110" s="82" t="n"/>
      <c r="I110" s="82" t="n"/>
      <c r="J110" s="82" t="n"/>
      <c r="K110" s="82" t="n"/>
    </row>
    <row r="111">
      <c r="A111" s="82" t="n"/>
      <c r="B111" s="82" t="n"/>
      <c r="C111" s="82" t="n"/>
      <c r="D111" s="82" t="n"/>
      <c r="E111" s="82" t="n"/>
      <c r="F111" s="82" t="n"/>
      <c r="G111" s="82" t="n"/>
      <c r="H111" s="82" t="n"/>
      <c r="I111" s="82" t="n"/>
      <c r="J111" s="82" t="n"/>
      <c r="K111" s="82" t="n"/>
    </row>
    <row r="112">
      <c r="A112" s="82" t="n"/>
      <c r="B112" s="82" t="n"/>
      <c r="C112" s="82" t="n"/>
      <c r="D112" s="82" t="n"/>
      <c r="E112" s="82" t="n"/>
      <c r="F112" s="82" t="n"/>
      <c r="G112" s="82" t="n"/>
      <c r="H112" s="82" t="n"/>
      <c r="I112" s="82" t="n"/>
      <c r="J112" s="82" t="n"/>
      <c r="K112" s="82" t="n"/>
    </row>
    <row r="113">
      <c r="A113" s="82" t="n"/>
      <c r="B113" s="82" t="n"/>
      <c r="C113" s="82" t="n"/>
      <c r="D113" s="82" t="n"/>
      <c r="E113" s="82" t="n"/>
      <c r="F113" s="82" t="n"/>
      <c r="G113" s="82" t="n"/>
      <c r="H113" s="82" t="n"/>
      <c r="I113" s="82" t="n"/>
      <c r="J113" s="82" t="n"/>
      <c r="K113" s="82" t="n"/>
    </row>
    <row r="114">
      <c r="A114" s="82" t="n"/>
      <c r="B114" s="82" t="n"/>
      <c r="C114" s="82" t="n"/>
      <c r="D114" s="82" t="n"/>
      <c r="E114" s="82" t="n"/>
      <c r="F114" s="82" t="n"/>
      <c r="G114" s="82" t="n"/>
      <c r="H114" s="82" t="n"/>
      <c r="I114" s="82" t="n"/>
      <c r="J114" s="82" t="n"/>
      <c r="K114" s="82" t="n"/>
    </row>
    <row r="115">
      <c r="A115" s="82" t="n"/>
      <c r="B115" s="82" t="n"/>
      <c r="C115" s="82" t="n"/>
      <c r="D115" s="82" t="n"/>
      <c r="E115" s="82" t="n"/>
      <c r="F115" s="82" t="n"/>
      <c r="G115" s="82" t="n"/>
      <c r="H115" s="82" t="n"/>
      <c r="I115" s="82" t="n"/>
      <c r="J115" s="82" t="n"/>
      <c r="K115" s="82" t="n"/>
    </row>
    <row r="116">
      <c r="A116" s="82" t="n"/>
      <c r="B116" s="82" t="n"/>
      <c r="C116" s="82" t="n"/>
      <c r="D116" s="82" t="n"/>
      <c r="E116" s="82" t="n"/>
      <c r="F116" s="82" t="n"/>
      <c r="G116" s="82" t="n"/>
      <c r="H116" s="82" t="n"/>
      <c r="I116" s="82" t="n"/>
      <c r="J116" s="82" t="n"/>
      <c r="K116" s="82" t="n"/>
    </row>
    <row r="117">
      <c r="A117" s="82" t="n"/>
      <c r="B117" s="82" t="n"/>
      <c r="C117" s="82" t="n"/>
      <c r="D117" s="82" t="n"/>
      <c r="E117" s="82" t="n"/>
      <c r="F117" s="82" t="n"/>
      <c r="G117" s="82" t="n"/>
      <c r="H117" s="82" t="n"/>
      <c r="I117" s="82" t="n"/>
      <c r="J117" s="82" t="n"/>
      <c r="K117" s="82" t="n"/>
    </row>
    <row r="118">
      <c r="A118" s="82" t="n"/>
      <c r="B118" s="82" t="n"/>
      <c r="C118" s="82" t="n"/>
      <c r="D118" s="82" t="n"/>
      <c r="E118" s="82" t="n"/>
      <c r="F118" s="82" t="n"/>
      <c r="G118" s="82" t="n"/>
      <c r="H118" s="82" t="n"/>
      <c r="I118" s="82" t="n"/>
      <c r="J118" s="82" t="n"/>
      <c r="K118" s="82" t="n"/>
    </row>
    <row r="119">
      <c r="A119" s="82" t="n"/>
      <c r="B119" s="82" t="n"/>
      <c r="C119" s="82" t="n"/>
      <c r="D119" s="82" t="n"/>
      <c r="E119" s="82" t="n"/>
      <c r="F119" s="82" t="n"/>
      <c r="G119" s="82" t="n"/>
      <c r="H119" s="82" t="n"/>
      <c r="I119" s="82" t="n"/>
      <c r="J119" s="82" t="n"/>
      <c r="K119" s="82" t="n"/>
    </row>
    <row r="120">
      <c r="A120" s="82" t="n"/>
      <c r="B120" s="82" t="n"/>
      <c r="C120" s="82" t="n"/>
      <c r="D120" s="82" t="n"/>
      <c r="E120" s="82" t="n"/>
      <c r="F120" s="82" t="n"/>
      <c r="G120" s="82" t="n"/>
      <c r="H120" s="82" t="n"/>
      <c r="I120" s="82" t="n"/>
      <c r="J120" s="82" t="n"/>
      <c r="K120" s="82" t="n"/>
    </row>
    <row r="121">
      <c r="A121" s="82" t="n"/>
      <c r="B121" s="82" t="n"/>
      <c r="C121" s="82" t="n"/>
      <c r="D121" s="82" t="n"/>
      <c r="E121" s="82" t="n"/>
      <c r="F121" s="82" t="n"/>
      <c r="G121" s="82" t="n"/>
      <c r="H121" s="82" t="n"/>
      <c r="I121" s="82" t="n"/>
      <c r="J121" s="82" t="n"/>
      <c r="K121" s="82" t="n"/>
    </row>
    <row r="122">
      <c r="A122" s="82" t="n"/>
      <c r="B122" s="82" t="n"/>
      <c r="C122" s="82" t="n"/>
      <c r="D122" s="82" t="n"/>
      <c r="E122" s="82" t="n"/>
      <c r="F122" s="82" t="n"/>
      <c r="G122" s="82" t="n"/>
      <c r="H122" s="82" t="n"/>
      <c r="I122" s="82" t="n"/>
      <c r="J122" s="82" t="n"/>
      <c r="K122" s="82" t="n"/>
    </row>
    <row r="123">
      <c r="A123" s="82" t="n"/>
      <c r="B123" s="82" t="n"/>
      <c r="C123" s="82" t="n"/>
      <c r="D123" s="82" t="n"/>
      <c r="E123" s="82" t="n"/>
      <c r="F123" s="82" t="n"/>
      <c r="G123" s="82" t="n"/>
      <c r="H123" s="82" t="n"/>
      <c r="I123" s="82" t="n"/>
      <c r="J123" s="82" t="n"/>
      <c r="K123" s="82" t="n"/>
    </row>
    <row r="124">
      <c r="A124" s="82" t="n"/>
      <c r="B124" s="82" t="n"/>
      <c r="C124" s="82" t="n"/>
      <c r="D124" s="82" t="n"/>
      <c r="E124" s="82" t="n"/>
      <c r="F124" s="82" t="n"/>
      <c r="G124" s="82" t="n"/>
      <c r="H124" s="82" t="n"/>
      <c r="I124" s="82" t="n"/>
      <c r="J124" s="82" t="n"/>
      <c r="K124" s="82" t="n"/>
    </row>
    <row r="125">
      <c r="A125" s="82" t="n"/>
      <c r="B125" s="82" t="n"/>
      <c r="C125" s="82" t="n"/>
      <c r="D125" s="82" t="n"/>
      <c r="E125" s="82" t="n"/>
      <c r="F125" s="82" t="n"/>
      <c r="G125" s="82" t="n"/>
      <c r="H125" s="82" t="n"/>
      <c r="I125" s="82" t="n"/>
      <c r="J125" s="82" t="n"/>
      <c r="K125" s="82" t="n"/>
    </row>
    <row r="126">
      <c r="A126" s="82" t="n"/>
      <c r="B126" s="82" t="n"/>
      <c r="C126" s="82" t="n"/>
      <c r="D126" s="82" t="n"/>
      <c r="E126" s="82" t="n"/>
      <c r="F126" s="82" t="n"/>
      <c r="G126" s="82" t="n"/>
      <c r="H126" s="82" t="n"/>
      <c r="I126" s="82" t="n"/>
      <c r="J126" s="82" t="n"/>
      <c r="K126" s="82" t="n"/>
    </row>
    <row r="127">
      <c r="A127" s="82" t="n"/>
      <c r="B127" s="82" t="n"/>
      <c r="C127" s="82" t="n"/>
      <c r="D127" s="82" t="n"/>
      <c r="E127" s="82" t="n"/>
      <c r="F127" s="82" t="n"/>
      <c r="G127" s="82" t="n"/>
      <c r="H127" s="82" t="n"/>
      <c r="I127" s="82" t="n"/>
      <c r="J127" s="82" t="n"/>
      <c r="K127" s="82" t="n"/>
    </row>
    <row r="128">
      <c r="A128" s="82" t="n"/>
      <c r="B128" s="82" t="n"/>
      <c r="C128" s="82" t="n"/>
      <c r="D128" s="82" t="n"/>
      <c r="E128" s="82" t="n"/>
      <c r="F128" s="82" t="n"/>
      <c r="G128" s="82" t="n"/>
      <c r="H128" s="82" t="n"/>
      <c r="I128" s="82" t="n"/>
      <c r="J128" s="82" t="n"/>
      <c r="K128" s="82" t="n"/>
    </row>
    <row r="129">
      <c r="A129" s="82" t="n"/>
      <c r="B129" s="82" t="n"/>
      <c r="C129" s="82" t="n"/>
      <c r="D129" s="82" t="n"/>
      <c r="E129" s="82" t="n"/>
      <c r="F129" s="82" t="n"/>
      <c r="G129" s="82" t="n"/>
      <c r="H129" s="82" t="n"/>
      <c r="I129" s="82" t="n"/>
      <c r="J129" s="82" t="n"/>
      <c r="K129" s="82" t="n"/>
    </row>
    <row r="130">
      <c r="A130" s="82" t="n"/>
      <c r="B130" s="82" t="n"/>
      <c r="C130" s="82" t="n"/>
      <c r="D130" s="82" t="n"/>
      <c r="E130" s="82" t="n"/>
      <c r="F130" s="82" t="n"/>
      <c r="G130" s="82" t="n"/>
      <c r="H130" s="82" t="n"/>
      <c r="I130" s="82" t="n"/>
      <c r="J130" s="82" t="n"/>
      <c r="K130" s="82" t="n"/>
    </row>
    <row r="131">
      <c r="A131" s="82" t="n"/>
      <c r="B131" s="82" t="n"/>
      <c r="C131" s="82" t="n"/>
      <c r="D131" s="82" t="n"/>
      <c r="E131" s="82" t="n"/>
      <c r="F131" s="82" t="n"/>
      <c r="G131" s="82" t="n"/>
      <c r="H131" s="82" t="n"/>
      <c r="I131" s="82" t="n"/>
      <c r="J131" s="82" t="n"/>
      <c r="K131" s="82" t="n"/>
    </row>
    <row r="132">
      <c r="A132" s="82" t="n"/>
      <c r="B132" s="82" t="n"/>
      <c r="C132" s="82" t="n"/>
      <c r="D132" s="82" t="n"/>
      <c r="E132" s="82" t="n"/>
      <c r="F132" s="82" t="n"/>
      <c r="G132" s="82" t="n"/>
      <c r="H132" s="82" t="n"/>
      <c r="I132" s="82" t="n"/>
      <c r="J132" s="82" t="n"/>
      <c r="K132" s="82" t="n"/>
    </row>
    <row r="133">
      <c r="A133" s="82" t="n"/>
      <c r="B133" s="82" t="n"/>
      <c r="C133" s="82" t="n"/>
      <c r="D133" s="82" t="n"/>
      <c r="E133" s="82" t="n"/>
      <c r="F133" s="82" t="n"/>
      <c r="G133" s="82" t="n"/>
      <c r="H133" s="82" t="n"/>
      <c r="I133" s="82" t="n"/>
      <c r="J133" s="82" t="n"/>
      <c r="K133" s="82" t="n"/>
    </row>
    <row r="134">
      <c r="A134" s="82" t="n"/>
      <c r="B134" s="82" t="n"/>
      <c r="C134" s="82" t="n"/>
      <c r="D134" s="82" t="n"/>
      <c r="E134" s="82" t="n"/>
      <c r="F134" s="82" t="n"/>
      <c r="G134" s="82" t="n"/>
      <c r="H134" s="82" t="n"/>
      <c r="I134" s="82" t="n"/>
      <c r="J134" s="82" t="n"/>
      <c r="K134" s="82" t="n"/>
    </row>
    <row r="135">
      <c r="A135" s="82" t="n"/>
      <c r="B135" s="82" t="n"/>
      <c r="C135" s="82" t="n"/>
      <c r="D135" s="82" t="n"/>
      <c r="E135" s="82" t="n"/>
      <c r="F135" s="82" t="n"/>
      <c r="G135" s="82" t="n"/>
      <c r="H135" s="82" t="n"/>
      <c r="I135" s="82" t="n"/>
      <c r="J135" s="82" t="n"/>
      <c r="K135" s="82" t="n"/>
    </row>
    <row r="136">
      <c r="A136" s="82" t="n"/>
      <c r="B136" s="82" t="n"/>
      <c r="C136" s="82" t="n"/>
      <c r="D136" s="82" t="n"/>
      <c r="E136" s="82" t="n"/>
      <c r="F136" s="82" t="n"/>
      <c r="G136" s="82" t="n"/>
      <c r="H136" s="82" t="n"/>
      <c r="I136" s="82" t="n"/>
      <c r="J136" s="82" t="n"/>
      <c r="K136" s="82" t="n"/>
    </row>
    <row r="137">
      <c r="A137" s="82" t="n"/>
      <c r="B137" s="82" t="n"/>
      <c r="C137" s="82" t="n"/>
      <c r="D137" s="82" t="n"/>
      <c r="E137" s="82" t="n"/>
      <c r="F137" s="82" t="n"/>
      <c r="G137" s="82" t="n"/>
      <c r="H137" s="82" t="n"/>
      <c r="I137" s="82" t="n"/>
      <c r="J137" s="82" t="n"/>
      <c r="K137" s="82" t="n"/>
    </row>
    <row r="138">
      <c r="A138" s="82" t="n"/>
      <c r="B138" s="82" t="n"/>
      <c r="C138" s="82" t="n"/>
      <c r="D138" s="82" t="n"/>
      <c r="E138" s="82" t="n"/>
      <c r="F138" s="82" t="n"/>
      <c r="G138" s="82" t="n"/>
      <c r="H138" s="82" t="n"/>
      <c r="I138" s="82" t="n"/>
      <c r="J138" s="82" t="n"/>
      <c r="K138" s="82" t="n"/>
    </row>
    <row r="139">
      <c r="A139" s="82" t="n"/>
      <c r="B139" s="82" t="n"/>
      <c r="C139" s="82" t="n"/>
      <c r="D139" s="82" t="n"/>
      <c r="E139" s="82" t="n"/>
      <c r="F139" s="82" t="n"/>
      <c r="G139" s="82" t="n"/>
      <c r="H139" s="82" t="n"/>
      <c r="I139" s="82" t="n"/>
      <c r="J139" s="82" t="n"/>
      <c r="K139" s="82" t="n"/>
    </row>
    <row r="140">
      <c r="A140" s="82" t="n"/>
      <c r="B140" s="82" t="n"/>
      <c r="C140" s="82" t="n"/>
      <c r="D140" s="82" t="n"/>
      <c r="E140" s="82" t="n"/>
      <c r="F140" s="82" t="n"/>
      <c r="G140" s="82" t="n"/>
      <c r="H140" s="82" t="n"/>
      <c r="I140" s="82" t="n"/>
      <c r="J140" s="82" t="n"/>
      <c r="K140" s="82" t="n"/>
    </row>
    <row r="141">
      <c r="A141" s="82" t="n"/>
      <c r="B141" s="82" t="n"/>
      <c r="C141" s="82" t="n"/>
      <c r="D141" s="82" t="n"/>
      <c r="E141" s="82" t="n"/>
      <c r="F141" s="82" t="n"/>
      <c r="G141" s="82" t="n"/>
      <c r="H141" s="82" t="n"/>
      <c r="I141" s="82" t="n"/>
      <c r="J141" s="82" t="n"/>
      <c r="K141" s="82" t="n"/>
    </row>
    <row r="142">
      <c r="A142" s="82" t="n"/>
      <c r="B142" s="82" t="n"/>
      <c r="C142" s="82" t="n"/>
      <c r="D142" s="82" t="n"/>
      <c r="E142" s="82" t="n"/>
      <c r="F142" s="82" t="n"/>
      <c r="G142" s="82" t="n"/>
      <c r="H142" s="82" t="n"/>
      <c r="I142" s="82" t="n"/>
      <c r="J142" s="82" t="n"/>
      <c r="K142" s="82" t="n"/>
    </row>
    <row r="143">
      <c r="A143" s="82" t="n"/>
      <c r="B143" s="82" t="n"/>
      <c r="C143" s="82" t="n"/>
      <c r="D143" s="82" t="n"/>
      <c r="E143" s="82" t="n"/>
      <c r="F143" s="82" t="n"/>
      <c r="G143" s="82" t="n"/>
      <c r="H143" s="82" t="n"/>
      <c r="I143" s="82" t="n"/>
      <c r="J143" s="82" t="n"/>
      <c r="K143" s="82" t="n"/>
    </row>
    <row r="144">
      <c r="A144" s="82" t="n"/>
      <c r="B144" s="82" t="n"/>
      <c r="C144" s="82" t="n"/>
      <c r="D144" s="82" t="n"/>
      <c r="E144" s="82" t="n"/>
      <c r="F144" s="82" t="n"/>
      <c r="G144" s="82" t="n"/>
      <c r="H144" s="82" t="n"/>
      <c r="I144" s="82" t="n"/>
      <c r="J144" s="82" t="n"/>
      <c r="K144" s="82" t="n"/>
    </row>
    <row r="145">
      <c r="A145" s="82" t="n"/>
      <c r="B145" s="82" t="n"/>
      <c r="C145" s="82" t="n"/>
      <c r="D145" s="82" t="n"/>
      <c r="E145" s="82" t="n"/>
      <c r="F145" s="82" t="n"/>
      <c r="G145" s="82" t="n"/>
      <c r="H145" s="82" t="n"/>
      <c r="I145" s="82" t="n"/>
      <c r="J145" s="82" t="n"/>
      <c r="K145" s="82" t="n"/>
    </row>
    <row r="146">
      <c r="A146" s="82" t="n"/>
      <c r="B146" s="82" t="n"/>
      <c r="C146" s="82" t="n"/>
      <c r="D146" s="82" t="n"/>
      <c r="E146" s="82" t="n"/>
      <c r="F146" s="82" t="n"/>
      <c r="G146" s="82" t="n"/>
      <c r="H146" s="82" t="n"/>
      <c r="I146" s="82" t="n"/>
      <c r="J146" s="82" t="n"/>
      <c r="K146" s="82" t="n"/>
    </row>
    <row r="147">
      <c r="A147" s="82" t="n"/>
      <c r="B147" s="82" t="n"/>
      <c r="C147" s="82" t="n"/>
      <c r="D147" s="82" t="n"/>
      <c r="E147" s="82" t="n"/>
      <c r="F147" s="82" t="n"/>
      <c r="G147" s="82" t="n"/>
      <c r="H147" s="82" t="n"/>
      <c r="I147" s="82" t="n"/>
      <c r="J147" s="82" t="n"/>
      <c r="K147" s="82" t="n"/>
    </row>
    <row r="148">
      <c r="A148" s="82" t="n"/>
      <c r="B148" s="82" t="n"/>
      <c r="C148" s="82" t="n"/>
      <c r="D148" s="82" t="n"/>
      <c r="E148" s="82" t="n"/>
      <c r="F148" s="82" t="n"/>
      <c r="G148" s="82" t="n"/>
      <c r="H148" s="82" t="n"/>
      <c r="I148" s="82" t="n"/>
      <c r="J148" s="82" t="n"/>
      <c r="K148" s="82" t="n"/>
    </row>
    <row r="149">
      <c r="A149" s="82" t="n"/>
      <c r="B149" s="82" t="n"/>
      <c r="C149" s="82" t="n"/>
      <c r="D149" s="82" t="n"/>
      <c r="E149" s="82" t="n"/>
      <c r="F149" s="82" t="n"/>
      <c r="G149" s="82" t="n"/>
      <c r="H149" s="82" t="n"/>
      <c r="I149" s="82" t="n"/>
      <c r="J149" s="82" t="n"/>
      <c r="K149" s="82" t="n"/>
    </row>
    <row r="150">
      <c r="A150" s="82" t="n"/>
      <c r="B150" s="82" t="n"/>
      <c r="C150" s="82" t="n"/>
      <c r="D150" s="82" t="n"/>
      <c r="E150" s="82" t="n"/>
      <c r="F150" s="82" t="n"/>
      <c r="G150" s="82" t="n"/>
      <c r="H150" s="82" t="n"/>
      <c r="I150" s="82" t="n"/>
      <c r="J150" s="82" t="n"/>
      <c r="K150" s="82" t="n"/>
    </row>
    <row r="151">
      <c r="A151" s="82" t="n"/>
      <c r="B151" s="82" t="n"/>
      <c r="C151" s="82" t="n"/>
      <c r="D151" s="82" t="n"/>
      <c r="E151" s="82" t="n"/>
      <c r="F151" s="82" t="n"/>
      <c r="G151" s="82" t="n"/>
      <c r="H151" s="82" t="n"/>
      <c r="I151" s="82" t="n"/>
      <c r="J151" s="82" t="n"/>
      <c r="K151" s="82" t="n"/>
    </row>
    <row r="152">
      <c r="A152" s="82" t="n"/>
      <c r="B152" s="82" t="n"/>
      <c r="C152" s="82" t="n"/>
      <c r="D152" s="82" t="n"/>
      <c r="E152" s="82" t="n"/>
      <c r="F152" s="82" t="n"/>
      <c r="G152" s="82" t="n"/>
      <c r="H152" s="82" t="n"/>
      <c r="I152" s="82" t="n"/>
      <c r="J152" s="82" t="n"/>
      <c r="K152" s="82" t="n"/>
    </row>
    <row r="153">
      <c r="A153" s="82" t="n"/>
      <c r="B153" s="82" t="n"/>
      <c r="C153" s="82" t="n"/>
      <c r="D153" s="82" t="n"/>
      <c r="E153" s="82" t="n"/>
      <c r="F153" s="82" t="n"/>
      <c r="G153" s="82" t="n"/>
      <c r="H153" s="82" t="n"/>
      <c r="I153" s="82" t="n"/>
      <c r="J153" s="82" t="n"/>
      <c r="K153" s="82" t="n"/>
    </row>
    <row r="154">
      <c r="A154" s="82" t="n"/>
      <c r="B154" s="82" t="n"/>
      <c r="C154" s="82" t="n"/>
      <c r="D154" s="82" t="n"/>
      <c r="E154" s="82" t="n"/>
      <c r="F154" s="82" t="n"/>
      <c r="G154" s="82" t="n"/>
      <c r="H154" s="82" t="n"/>
      <c r="I154" s="82" t="n"/>
      <c r="J154" s="82" t="n"/>
      <c r="K154" s="82" t="n"/>
    </row>
    <row r="155">
      <c r="A155" s="82" t="n"/>
      <c r="B155" s="82" t="n"/>
      <c r="C155" s="82" t="n"/>
      <c r="D155" s="82" t="n"/>
      <c r="E155" s="82" t="n"/>
      <c r="F155" s="82" t="n"/>
      <c r="G155" s="82" t="n"/>
      <c r="H155" s="82" t="n"/>
      <c r="I155" s="82" t="n"/>
      <c r="J155" s="82" t="n"/>
      <c r="K155" s="82" t="n"/>
    </row>
    <row r="156">
      <c r="A156" s="82" t="n"/>
      <c r="B156" s="82" t="n"/>
      <c r="C156" s="82" t="n"/>
      <c r="D156" s="82" t="n"/>
      <c r="E156" s="82" t="n"/>
      <c r="F156" s="82" t="n"/>
      <c r="G156" s="82" t="n"/>
      <c r="H156" s="82" t="n"/>
      <c r="I156" s="82" t="n"/>
      <c r="J156" s="82" t="n"/>
      <c r="K156" s="82" t="n"/>
    </row>
    <row r="157">
      <c r="A157" s="82" t="n"/>
      <c r="B157" s="82" t="n"/>
      <c r="C157" s="82" t="n"/>
      <c r="D157" s="82" t="n"/>
      <c r="E157" s="82" t="n"/>
      <c r="F157" s="82" t="n"/>
      <c r="G157" s="82" t="n"/>
      <c r="H157" s="82" t="n"/>
      <c r="I157" s="82" t="n"/>
      <c r="J157" s="82" t="n"/>
      <c r="K157" s="82" t="n"/>
    </row>
    <row r="158">
      <c r="A158" s="82" t="n"/>
      <c r="B158" s="82" t="n"/>
      <c r="C158" s="82" t="n"/>
      <c r="D158" s="82" t="n"/>
      <c r="E158" s="82" t="n"/>
      <c r="F158" s="82" t="n"/>
      <c r="G158" s="82" t="n"/>
      <c r="H158" s="82" t="n"/>
      <c r="I158" s="82" t="n"/>
      <c r="J158" s="82" t="n"/>
      <c r="K158" s="82" t="n"/>
    </row>
    <row r="159">
      <c r="A159" s="82" t="n"/>
      <c r="B159" s="82" t="n"/>
      <c r="C159" s="82" t="n"/>
      <c r="D159" s="82" t="n"/>
      <c r="E159" s="82" t="n"/>
      <c r="F159" s="82" t="n"/>
      <c r="G159" s="82" t="n"/>
      <c r="H159" s="82" t="n"/>
      <c r="I159" s="82" t="n"/>
      <c r="J159" s="82" t="n"/>
      <c r="K159" s="82" t="n"/>
    </row>
    <row r="160">
      <c r="A160" s="82" t="n"/>
      <c r="B160" s="82" t="n"/>
      <c r="C160" s="82" t="n"/>
      <c r="D160" s="82" t="n"/>
      <c r="E160" s="82" t="n"/>
      <c r="F160" s="82" t="n"/>
      <c r="G160" s="82" t="n"/>
      <c r="H160" s="82" t="n"/>
      <c r="I160" s="82" t="n"/>
      <c r="J160" s="82" t="n"/>
      <c r="K160" s="82" t="n"/>
    </row>
    <row r="161">
      <c r="A161" s="82" t="n"/>
      <c r="B161" s="82" t="n"/>
      <c r="C161" s="82" t="n"/>
      <c r="D161" s="82" t="n"/>
      <c r="E161" s="82" t="n"/>
      <c r="F161" s="82" t="n"/>
      <c r="G161" s="82" t="n"/>
      <c r="H161" s="82" t="n"/>
      <c r="I161" s="82" t="n"/>
      <c r="J161" s="82" t="n"/>
      <c r="K161" s="82" t="n"/>
    </row>
    <row r="162">
      <c r="A162" s="82" t="n"/>
      <c r="B162" s="82" t="n"/>
      <c r="C162" s="82" t="n"/>
      <c r="D162" s="82" t="n"/>
      <c r="E162" s="82" t="n"/>
      <c r="F162" s="82" t="n"/>
      <c r="G162" s="82" t="n"/>
      <c r="H162" s="82" t="n"/>
      <c r="I162" s="82" t="n"/>
      <c r="J162" s="82" t="n"/>
      <c r="K162" s="82" t="n"/>
    </row>
    <row r="163">
      <c r="A163" s="82" t="n"/>
      <c r="B163" s="82" t="n"/>
      <c r="C163" s="82" t="n"/>
      <c r="D163" s="82" t="n"/>
      <c r="E163" s="82" t="n"/>
      <c r="F163" s="82" t="n"/>
      <c r="G163" s="82" t="n"/>
      <c r="H163" s="82" t="n"/>
      <c r="I163" s="82" t="n"/>
      <c r="J163" s="82" t="n"/>
      <c r="K163" s="82" t="n"/>
    </row>
    <row r="164">
      <c r="A164" s="82" t="n"/>
      <c r="B164" s="82" t="n"/>
      <c r="C164" s="82" t="n"/>
      <c r="D164" s="82" t="n"/>
      <c r="E164" s="82" t="n"/>
      <c r="F164" s="82" t="n"/>
      <c r="G164" s="82" t="n"/>
      <c r="H164" s="82" t="n"/>
      <c r="I164" s="82" t="n"/>
      <c r="J164" s="82" t="n"/>
      <c r="K164" s="82" t="n"/>
    </row>
    <row r="165">
      <c r="A165" s="82" t="n"/>
      <c r="B165" s="82" t="n"/>
      <c r="C165" s="82" t="n"/>
      <c r="D165" s="82" t="n"/>
      <c r="E165" s="82" t="n"/>
      <c r="F165" s="82" t="n"/>
      <c r="G165" s="82" t="n"/>
      <c r="H165" s="82" t="n"/>
      <c r="I165" s="82" t="n"/>
      <c r="J165" s="82" t="n"/>
      <c r="K165" s="82" t="n"/>
    </row>
    <row r="166">
      <c r="A166" s="82" t="n"/>
      <c r="B166" s="82" t="n"/>
      <c r="C166" s="82" t="n"/>
      <c r="D166" s="82" t="n"/>
      <c r="E166" s="82" t="n"/>
      <c r="F166" s="82" t="n"/>
      <c r="G166" s="82" t="n"/>
      <c r="H166" s="82" t="n"/>
      <c r="I166" s="82" t="n"/>
      <c r="J166" s="82" t="n"/>
      <c r="K166" s="82" t="n"/>
    </row>
    <row r="167">
      <c r="A167" s="82" t="n"/>
      <c r="B167" s="82" t="n"/>
      <c r="C167" s="82" t="n"/>
      <c r="D167" s="82" t="n"/>
      <c r="E167" s="82" t="n"/>
      <c r="F167" s="82" t="n"/>
      <c r="G167" s="82" t="n"/>
      <c r="H167" s="82" t="n"/>
      <c r="I167" s="82" t="n"/>
      <c r="J167" s="82" t="n"/>
      <c r="K167" s="82" t="n"/>
    </row>
    <row r="168">
      <c r="A168" s="82" t="n"/>
      <c r="B168" s="82" t="n"/>
      <c r="C168" s="82" t="n"/>
      <c r="D168" s="82" t="n"/>
      <c r="E168" s="82" t="n"/>
      <c r="F168" s="82" t="n"/>
      <c r="G168" s="82" t="n"/>
      <c r="H168" s="82" t="n"/>
      <c r="I168" s="82" t="n"/>
      <c r="J168" s="82" t="n"/>
      <c r="K168" s="82" t="n"/>
    </row>
    <row r="169">
      <c r="A169" s="82" t="n"/>
      <c r="B169" s="82" t="n"/>
      <c r="C169" s="82" t="n"/>
      <c r="D169" s="82" t="n"/>
      <c r="E169" s="82" t="n"/>
      <c r="F169" s="82" t="n"/>
      <c r="G169" s="82" t="n"/>
      <c r="H169" s="82" t="n"/>
      <c r="I169" s="82" t="n"/>
      <c r="J169" s="82" t="n"/>
      <c r="K169" s="82" t="n"/>
    </row>
    <row r="170">
      <c r="A170" s="82" t="n"/>
      <c r="B170" s="82" t="n"/>
      <c r="C170" s="82" t="n"/>
      <c r="D170" s="82" t="n"/>
      <c r="E170" s="82" t="n"/>
      <c r="F170" s="82" t="n"/>
      <c r="G170" s="82" t="n"/>
      <c r="H170" s="82" t="n"/>
      <c r="I170" s="82" t="n"/>
      <c r="J170" s="82" t="n"/>
      <c r="K170" s="82" t="n"/>
    </row>
    <row r="171">
      <c r="A171" s="82" t="n"/>
      <c r="B171" s="82" t="n"/>
      <c r="C171" s="82" t="n"/>
      <c r="D171" s="82" t="n"/>
      <c r="E171" s="82" t="n"/>
      <c r="F171" s="82" t="n"/>
      <c r="G171" s="82" t="n"/>
      <c r="H171" s="82" t="n"/>
      <c r="I171" s="82" t="n"/>
      <c r="J171" s="82" t="n"/>
      <c r="K171" s="82" t="n"/>
    </row>
    <row r="172">
      <c r="A172" s="82" t="n"/>
      <c r="B172" s="82" t="n"/>
      <c r="C172" s="82" t="n"/>
      <c r="D172" s="82" t="n"/>
      <c r="E172" s="82" t="n"/>
      <c r="F172" s="82" t="n"/>
      <c r="G172" s="82" t="n"/>
      <c r="H172" s="82" t="n"/>
      <c r="I172" s="82" t="n"/>
      <c r="J172" s="82" t="n"/>
      <c r="K172" s="82" t="n"/>
    </row>
    <row r="173">
      <c r="A173" s="82" t="n"/>
      <c r="B173" s="82" t="n"/>
      <c r="C173" s="82" t="n"/>
      <c r="D173" s="82" t="n"/>
      <c r="E173" s="82" t="n"/>
      <c r="F173" s="82" t="n"/>
      <c r="G173" s="82" t="n"/>
      <c r="H173" s="82" t="n"/>
      <c r="I173" s="82" t="n"/>
      <c r="J173" s="82" t="n"/>
      <c r="K173" s="82" t="n"/>
    </row>
    <row r="174">
      <c r="A174" s="82" t="n"/>
      <c r="B174" s="82" t="n"/>
      <c r="C174" s="82" t="n"/>
      <c r="D174" s="82" t="n"/>
      <c r="E174" s="82" t="n"/>
      <c r="F174" s="82" t="n"/>
      <c r="G174" s="82" t="n"/>
      <c r="H174" s="82" t="n"/>
      <c r="I174" s="82" t="n"/>
      <c r="J174" s="82" t="n"/>
      <c r="K174" s="82" t="n"/>
    </row>
    <row r="175">
      <c r="A175" s="82" t="n"/>
      <c r="B175" s="82" t="n"/>
      <c r="C175" s="82" t="n"/>
      <c r="D175" s="82" t="n"/>
      <c r="E175" s="82" t="n"/>
      <c r="F175" s="82" t="n"/>
      <c r="G175" s="82" t="n"/>
      <c r="H175" s="82" t="n"/>
      <c r="I175" s="82" t="n"/>
      <c r="J175" s="82" t="n"/>
      <c r="K175" s="82" t="n"/>
    </row>
    <row r="176">
      <c r="A176" s="82" t="n"/>
      <c r="B176" s="82" t="n"/>
      <c r="C176" s="82" t="n"/>
      <c r="D176" s="82" t="n"/>
      <c r="E176" s="82" t="n"/>
      <c r="F176" s="82" t="n"/>
      <c r="G176" s="82" t="n"/>
      <c r="H176" s="82" t="n"/>
      <c r="I176" s="82" t="n"/>
      <c r="J176" s="82" t="n"/>
      <c r="K176" s="82" t="n"/>
    </row>
    <row r="177">
      <c r="A177" s="82" t="n"/>
      <c r="B177" s="82" t="n"/>
      <c r="C177" s="82" t="n"/>
      <c r="D177" s="82" t="n"/>
      <c r="E177" s="82" t="n"/>
      <c r="F177" s="82" t="n"/>
      <c r="G177" s="82" t="n"/>
      <c r="H177" s="82" t="n"/>
      <c r="I177" s="82" t="n"/>
      <c r="J177" s="82" t="n"/>
      <c r="K177" s="82" t="n"/>
    </row>
    <row r="178">
      <c r="A178" s="82" t="n"/>
      <c r="B178" s="82" t="n"/>
      <c r="C178" s="82" t="n"/>
      <c r="D178" s="82" t="n"/>
      <c r="E178" s="82" t="n"/>
      <c r="F178" s="82" t="n"/>
      <c r="G178" s="82" t="n"/>
      <c r="H178" s="82" t="n"/>
      <c r="I178" s="82" t="n"/>
      <c r="J178" s="82" t="n"/>
      <c r="K178" s="82" t="n"/>
    </row>
    <row r="179">
      <c r="A179" s="82" t="n"/>
      <c r="B179" s="82" t="n"/>
      <c r="C179" s="82" t="n"/>
      <c r="D179" s="82" t="n"/>
      <c r="E179" s="82" t="n"/>
      <c r="F179" s="82" t="n"/>
      <c r="G179" s="82" t="n"/>
      <c r="H179" s="82" t="n"/>
      <c r="I179" s="82" t="n"/>
      <c r="J179" s="82" t="n"/>
      <c r="K179" s="82" t="n"/>
    </row>
    <row r="180">
      <c r="A180" s="82" t="n"/>
      <c r="B180" s="82" t="n"/>
      <c r="C180" s="82" t="n"/>
      <c r="D180" s="82" t="n"/>
      <c r="E180" s="82" t="n"/>
      <c r="F180" s="82" t="n"/>
      <c r="G180" s="82" t="n"/>
      <c r="H180" s="82" t="n"/>
      <c r="I180" s="82" t="n"/>
      <c r="J180" s="82" t="n"/>
      <c r="K180" s="82" t="n"/>
    </row>
    <row r="181">
      <c r="A181" s="82" t="n"/>
      <c r="B181" s="82" t="n"/>
      <c r="C181" s="82" t="n"/>
      <c r="D181" s="82" t="n"/>
      <c r="E181" s="82" t="n"/>
      <c r="F181" s="82" t="n"/>
      <c r="G181" s="82" t="n"/>
      <c r="H181" s="82" t="n"/>
      <c r="I181" s="82" t="n"/>
      <c r="J181" s="82" t="n"/>
      <c r="K181" s="82" t="n"/>
    </row>
    <row r="182">
      <c r="A182" s="82" t="n"/>
      <c r="B182" s="82" t="n"/>
      <c r="C182" s="82" t="n"/>
      <c r="D182" s="82" t="n"/>
      <c r="E182" s="82" t="n"/>
      <c r="F182" s="82" t="n"/>
      <c r="G182" s="82" t="n"/>
      <c r="H182" s="82" t="n"/>
      <c r="I182" s="82" t="n"/>
      <c r="J182" s="82" t="n"/>
      <c r="K182" s="82" t="n"/>
    </row>
    <row r="183">
      <c r="A183" s="82" t="n"/>
      <c r="B183" s="82" t="n"/>
      <c r="C183" s="82" t="n"/>
      <c r="D183" s="82" t="n"/>
      <c r="E183" s="82" t="n"/>
      <c r="F183" s="82" t="n"/>
      <c r="G183" s="82" t="n"/>
      <c r="H183" s="82" t="n"/>
      <c r="I183" s="82" t="n"/>
      <c r="J183" s="82" t="n"/>
      <c r="K183" s="82" t="n"/>
    </row>
    <row r="184">
      <c r="A184" s="82" t="n"/>
      <c r="B184" s="82" t="n"/>
      <c r="C184" s="82" t="n"/>
      <c r="D184" s="82" t="n"/>
      <c r="E184" s="82" t="n"/>
      <c r="F184" s="82" t="n"/>
      <c r="G184" s="82" t="n"/>
      <c r="H184" s="82" t="n"/>
      <c r="I184" s="82" t="n"/>
      <c r="J184" s="82" t="n"/>
      <c r="K184" s="82" t="n"/>
    </row>
    <row r="185">
      <c r="A185" s="82" t="n"/>
      <c r="B185" s="82" t="n"/>
      <c r="C185" s="82" t="n"/>
      <c r="D185" s="82" t="n"/>
      <c r="E185" s="82" t="n"/>
      <c r="F185" s="82" t="n"/>
      <c r="G185" s="82" t="n"/>
      <c r="H185" s="82" t="n"/>
      <c r="I185" s="82" t="n"/>
      <c r="J185" s="82" t="n"/>
      <c r="K185" s="82" t="n"/>
    </row>
    <row r="186">
      <c r="A186" s="82" t="n"/>
      <c r="B186" s="82" t="n"/>
      <c r="C186" s="82" t="n"/>
      <c r="D186" s="82" t="n"/>
      <c r="E186" s="82" t="n"/>
      <c r="F186" s="82" t="n"/>
      <c r="G186" s="82" t="n"/>
      <c r="H186" s="82" t="n"/>
      <c r="I186" s="82" t="n"/>
      <c r="J186" s="82" t="n"/>
      <c r="K186" s="82" t="n"/>
    </row>
    <row r="187">
      <c r="A187" s="82" t="n"/>
      <c r="B187" s="82" t="n"/>
      <c r="C187" s="82" t="n"/>
      <c r="D187" s="82" t="n"/>
      <c r="E187" s="82" t="n"/>
      <c r="F187" s="82" t="n"/>
      <c r="G187" s="82" t="n"/>
      <c r="H187" s="82" t="n"/>
      <c r="I187" s="82" t="n"/>
      <c r="J187" s="82" t="n"/>
      <c r="K187" s="82" t="n"/>
    </row>
    <row r="188">
      <c r="A188" s="82" t="n"/>
      <c r="B188" s="82" t="n"/>
      <c r="C188" s="82" t="n"/>
      <c r="D188" s="82" t="n"/>
      <c r="E188" s="82" t="n"/>
      <c r="F188" s="82" t="n"/>
      <c r="G188" s="82" t="n"/>
      <c r="H188" s="82" t="n"/>
      <c r="I188" s="82" t="n"/>
      <c r="J188" s="82" t="n"/>
      <c r="K188" s="82" t="n"/>
    </row>
    <row r="189">
      <c r="A189" s="82" t="n"/>
      <c r="B189" s="82" t="n"/>
      <c r="C189" s="82" t="n"/>
      <c r="D189" s="82" t="n"/>
      <c r="E189" s="82" t="n"/>
      <c r="F189" s="82" t="n"/>
      <c r="G189" s="82" t="n"/>
      <c r="H189" s="82" t="n"/>
      <c r="I189" s="82" t="n"/>
      <c r="J189" s="82" t="n"/>
      <c r="K189" s="82" t="n"/>
    </row>
    <row r="190">
      <c r="A190" s="82" t="n"/>
      <c r="B190" s="82" t="n"/>
      <c r="C190" s="82" t="n"/>
      <c r="D190" s="82" t="n"/>
      <c r="E190" s="82" t="n"/>
      <c r="F190" s="82" t="n"/>
      <c r="G190" s="82" t="n"/>
      <c r="H190" s="82" t="n"/>
      <c r="I190" s="82" t="n"/>
      <c r="J190" s="82" t="n"/>
      <c r="K190" s="82" t="n"/>
    </row>
    <row r="191">
      <c r="A191" s="82" t="n"/>
      <c r="B191" s="82" t="n"/>
      <c r="C191" s="82" t="n"/>
      <c r="D191" s="82" t="n"/>
      <c r="E191" s="82" t="n"/>
      <c r="F191" s="82" t="n"/>
      <c r="G191" s="82" t="n"/>
      <c r="H191" s="82" t="n"/>
      <c r="I191" s="82" t="n"/>
      <c r="J191" s="82" t="n"/>
      <c r="K191" s="82" t="n"/>
    </row>
    <row r="192">
      <c r="A192" s="82" t="n"/>
      <c r="B192" s="82" t="n"/>
      <c r="C192" s="82" t="n"/>
      <c r="D192" s="82" t="n"/>
      <c r="E192" s="82" t="n"/>
      <c r="F192" s="82" t="n"/>
      <c r="G192" s="82" t="n"/>
      <c r="H192" s="82" t="n"/>
      <c r="I192" s="82" t="n"/>
      <c r="J192" s="82" t="n"/>
      <c r="K192" s="82" t="n"/>
    </row>
    <row r="193">
      <c r="A193" s="82" t="n"/>
      <c r="B193" s="82" t="n"/>
      <c r="C193" s="82" t="n"/>
      <c r="D193" s="82" t="n"/>
      <c r="E193" s="82" t="n"/>
      <c r="F193" s="82" t="n"/>
      <c r="G193" s="82" t="n"/>
      <c r="H193" s="82" t="n"/>
      <c r="I193" s="82" t="n"/>
      <c r="J193" s="82" t="n"/>
      <c r="K193" s="82" t="n"/>
    </row>
    <row r="194">
      <c r="A194" s="82" t="n"/>
      <c r="B194" s="82" t="n"/>
      <c r="C194" s="82" t="n"/>
      <c r="D194" s="82" t="n"/>
      <c r="E194" s="82" t="n"/>
      <c r="F194" s="82" t="n"/>
      <c r="G194" s="82" t="n"/>
      <c r="H194" s="82" t="n"/>
      <c r="I194" s="82" t="n"/>
      <c r="J194" s="82" t="n"/>
      <c r="K194" s="82" t="n"/>
    </row>
    <row r="195">
      <c r="A195" s="82" t="n"/>
      <c r="B195" s="82" t="n"/>
      <c r="C195" s="82" t="n"/>
      <c r="D195" s="82" t="n"/>
      <c r="E195" s="82" t="n"/>
      <c r="F195" s="82" t="n"/>
      <c r="G195" s="82" t="n"/>
      <c r="H195" s="82" t="n"/>
      <c r="I195" s="82" t="n"/>
      <c r="J195" s="82" t="n"/>
      <c r="K195" s="82" t="n"/>
    </row>
    <row r="196">
      <c r="A196" s="82" t="n"/>
      <c r="B196" s="82" t="n"/>
      <c r="C196" s="82" t="n"/>
      <c r="D196" s="82" t="n"/>
      <c r="E196" s="82" t="n"/>
      <c r="F196" s="82" t="n"/>
      <c r="G196" s="82" t="n"/>
      <c r="H196" s="82" t="n"/>
      <c r="I196" s="82" t="n"/>
      <c r="J196" s="82" t="n"/>
      <c r="K196" s="82" t="n"/>
    </row>
    <row r="197">
      <c r="A197" s="82" t="n"/>
      <c r="B197" s="82" t="n"/>
      <c r="C197" s="82" t="n"/>
      <c r="D197" s="82" t="n"/>
      <c r="E197" s="82" t="n"/>
      <c r="F197" s="82" t="n"/>
      <c r="G197" s="82" t="n"/>
      <c r="H197" s="82" t="n"/>
      <c r="I197" s="82" t="n"/>
      <c r="J197" s="82" t="n"/>
      <c r="K197" s="82" t="n"/>
    </row>
    <row r="198">
      <c r="A198" s="82" t="n"/>
      <c r="B198" s="82" t="n"/>
      <c r="C198" s="82" t="n"/>
      <c r="D198" s="82" t="n"/>
      <c r="E198" s="82" t="n"/>
      <c r="F198" s="82" t="n"/>
      <c r="G198" s="82" t="n"/>
      <c r="H198" s="82" t="n"/>
      <c r="I198" s="82" t="n"/>
      <c r="J198" s="82" t="n"/>
      <c r="K198" s="82" t="n"/>
    </row>
    <row r="199">
      <c r="A199" s="82" t="n"/>
      <c r="B199" s="82" t="n"/>
      <c r="C199" s="82" t="n"/>
      <c r="D199" s="82" t="n"/>
      <c r="E199" s="82" t="n"/>
      <c r="F199" s="82" t="n"/>
      <c r="G199" s="82" t="n"/>
      <c r="H199" s="82" t="n"/>
      <c r="I199" s="82" t="n"/>
      <c r="J199" s="82" t="n"/>
      <c r="K199" s="82" t="n"/>
    </row>
    <row r="200">
      <c r="A200" s="82" t="n"/>
      <c r="B200" s="82" t="n"/>
      <c r="C200" s="82" t="n"/>
      <c r="D200" s="82" t="n"/>
      <c r="E200" s="82" t="n"/>
      <c r="F200" s="82" t="n"/>
      <c r="G200" s="82" t="n"/>
      <c r="H200" s="82" t="n"/>
      <c r="I200" s="82" t="n"/>
      <c r="J200" s="82" t="n"/>
      <c r="K200" s="82" t="n"/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autoFilter ref="A4:L15"/>
  <mergeCells count="2">
    <mergeCell ref="A2:L2"/>
    <mergeCell ref="A1:L1"/>
  </mergeCells>
  <conditionalFormatting sqref="I5:I80">
    <cfRule type="expression" priority="1" dxfId="0">
      <formula>I5="Paid"</formula>
    </cfRule>
    <cfRule type="expression" priority="2" dxfId="2">
      <formula>I5="Scheduled"</formula>
    </cfRule>
    <cfRule type="expression" priority="3" dxfId="8">
      <formula>I5="Draft"</formula>
    </cfRule>
    <cfRule type="expression" priority="4" dxfId="4">
      <formula>I5="Overdue"</formula>
    </cfRule>
    <cfRule type="expression" priority="5" dxfId="9">
      <formula>I5="Disputed"</formula>
    </cfRule>
  </conditionalFormatting>
  <dataValidations count="1">
    <dataValidation sqref="I5:I80" showDropDown="0" showInputMessage="0" showErrorMessage="1" allowBlank="1" errorTitle="Invalid value" error="Pick a value from the list." type="list">
      <formula1>=Payment_Status</formula1>
    </dataValidation>
  </dataValidations>
  <pageMargins left="0.4" right="0.4" top="0.6" bottom="0.5" header="0.25" footer="0.25"/>
  <pageSetup orientation="landscape" paperSize="3" fitToHeight="0" fitToWidth="1"/>
  <headerFooter>
    <oddHeader>&amp;LNovality Store  ·  Home Renovation System&amp;RPayments</oddHeader>
    <oddFooter>&amp;LConfidential  ·  Digital twin of the home&amp;RPage 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tabColor rgb="00C86B4A"/>
    <outlinePr summaryBelow="1" summaryRight="1"/>
    <pageSetUpPr fitToPage="1"/>
  </sheetPr>
  <dimension ref="A1:J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56" customWidth="1" min="4" max="4"/>
    <col width="22" customWidth="1" min="5" max="5"/>
    <col width="12" customWidth="1" min="6" max="6"/>
    <col width="12" customWidth="1" min="7" max="7"/>
    <col width="18" customWidth="1" min="8" max="8"/>
    <col width="14" customWidth="1" min="9" max="9"/>
    <col width="16" customWidth="1" min="10" max="10"/>
  </cols>
  <sheetData>
    <row r="1" ht="28" customHeight="1">
      <c r="A1" s="1" t="inlineStr">
        <is>
          <t>CHANGE ORDERS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8" customHeight="1">
      <c r="A2" s="3" t="inlineStr">
        <is>
          <t>Scope, cost, and schedule impacts  ·  negative cost = savings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22" customHeight="1">
      <c r="A4" s="66" t="inlineStr">
        <is>
          <t>CO ID</t>
        </is>
      </c>
      <c r="B4" s="66" t="inlineStr">
        <is>
          <t>Project ID</t>
        </is>
      </c>
      <c r="C4" s="66" t="inlineStr">
        <is>
          <t>Room ID</t>
        </is>
      </c>
      <c r="D4" s="66" t="inlineStr">
        <is>
          <t>Description</t>
        </is>
      </c>
      <c r="E4" s="66" t="inlineStr">
        <is>
          <t>Requested By</t>
        </is>
      </c>
      <c r="F4" s="66" t="inlineStr">
        <is>
          <t>Date</t>
        </is>
      </c>
      <c r="G4" s="66" t="inlineStr">
        <is>
          <t>Cost Impact</t>
        </is>
      </c>
      <c r="H4" s="66" t="inlineStr">
        <is>
          <t>Schedule Impact (days)</t>
        </is>
      </c>
      <c r="I4" s="66" t="inlineStr">
        <is>
          <t>Status</t>
        </is>
      </c>
      <c r="J4" s="66" t="inlineStr">
        <is>
          <t>Approved By</t>
        </is>
      </c>
    </row>
    <row r="5" ht="18" customHeight="1">
      <c r="A5" s="67" t="inlineStr">
        <is>
          <t>CO-001</t>
        </is>
      </c>
      <c r="B5" s="67" t="inlineStr">
        <is>
          <t>PRJ-001</t>
        </is>
      </c>
      <c r="C5" s="67" t="inlineStr">
        <is>
          <t>RM-03</t>
        </is>
      </c>
      <c r="D5" s="67" t="inlineStr">
        <is>
          <t>Swap marble floor for porcelain HT-8841</t>
        </is>
      </c>
      <c r="E5" s="68" t="inlineStr">
        <is>
          <t>Sofia Alvarez / AI</t>
        </is>
      </c>
      <c r="F5" s="69" t="n">
        <v>46160</v>
      </c>
      <c r="G5" s="83" t="n">
        <v>-1640</v>
      </c>
      <c r="H5" s="67" t="n">
        <v>0</v>
      </c>
      <c r="I5" s="67" t="inlineStr">
        <is>
          <t>Implemented</t>
        </is>
      </c>
      <c r="J5" s="67" t="inlineStr">
        <is>
          <t>Alex Rivera</t>
        </is>
      </c>
    </row>
    <row r="6" ht="18" customHeight="1">
      <c r="A6" s="75" t="inlineStr">
        <is>
          <t>CO-002</t>
        </is>
      </c>
      <c r="B6" s="75" t="inlineStr">
        <is>
          <t>PRJ-001</t>
        </is>
      </c>
      <c r="C6" s="75" t="inlineStr">
        <is>
          <t>RM-01</t>
        </is>
      </c>
      <c r="D6" s="75" t="inlineStr">
        <is>
          <t>Island surface: porcelain slab instead of marble</t>
        </is>
      </c>
      <c r="E6" s="76" t="inlineStr">
        <is>
          <t>Sofia Alvarez / AI</t>
        </is>
      </c>
      <c r="F6" s="77" t="n">
        <v>46255</v>
      </c>
      <c r="G6" s="87" t="n">
        <v>-460</v>
      </c>
      <c r="H6" s="75" t="n">
        <v>2</v>
      </c>
      <c r="I6" s="75" t="inlineStr">
        <is>
          <t>Submitted</t>
        </is>
      </c>
      <c r="J6" s="75" t="inlineStr"/>
    </row>
    <row r="7" ht="18" customHeight="1">
      <c r="A7" s="67" t="inlineStr">
        <is>
          <t>CO-003</t>
        </is>
      </c>
      <c r="B7" s="67" t="inlineStr">
        <is>
          <t>PRJ-001</t>
        </is>
      </c>
      <c r="C7" s="67" t="inlineStr">
        <is>
          <t>RM-01</t>
        </is>
      </c>
      <c r="D7" s="67" t="inlineStr">
        <is>
          <t>Add pot-filler at range</t>
        </is>
      </c>
      <c r="E7" s="68" t="inlineStr">
        <is>
          <t>Alex Rivera</t>
        </is>
      </c>
      <c r="F7" s="69" t="n">
        <v>46183</v>
      </c>
      <c r="G7" s="83" t="n">
        <v>480</v>
      </c>
      <c r="H7" s="67" t="n">
        <v>1</v>
      </c>
      <c r="I7" s="67" t="inlineStr">
        <is>
          <t>Approved</t>
        </is>
      </c>
      <c r="J7" s="67" t="inlineStr">
        <is>
          <t>Alex Rivera</t>
        </is>
      </c>
    </row>
    <row r="8" ht="18" customHeight="1">
      <c r="A8" s="75" t="inlineStr">
        <is>
          <t>CO-004</t>
        </is>
      </c>
      <c r="B8" s="75" t="inlineStr">
        <is>
          <t>PRJ-001</t>
        </is>
      </c>
      <c r="C8" s="75" t="inlineStr">
        <is>
          <t>RM-02</t>
        </is>
      </c>
      <c r="D8" s="75" t="inlineStr">
        <is>
          <t>Site-cut oak nosing in lieu of factory (backorder)</t>
        </is>
      </c>
      <c r="E8" s="76" t="inlineStr">
        <is>
          <t>Elena Voss</t>
        </is>
      </c>
      <c r="F8" s="77" t="n">
        <v>46255</v>
      </c>
      <c r="G8" s="87" t="n">
        <v>0</v>
      </c>
      <c r="H8" s="75" t="n">
        <v>0</v>
      </c>
      <c r="I8" s="75" t="inlineStr">
        <is>
          <t>Approved</t>
        </is>
      </c>
      <c r="J8" s="75" t="inlineStr">
        <is>
          <t>Marcus Webb</t>
        </is>
      </c>
    </row>
    <row r="9" ht="18" customHeight="1">
      <c r="A9" s="67" t="inlineStr">
        <is>
          <t>CO-005</t>
        </is>
      </c>
      <c r="B9" s="67" t="inlineStr">
        <is>
          <t>PRJ-001</t>
        </is>
      </c>
      <c r="C9" s="67" t="inlineStr">
        <is>
          <t>RM-06</t>
        </is>
      </c>
      <c r="D9" s="67" t="inlineStr">
        <is>
          <t>Hold water feature until contingency recovers</t>
        </is>
      </c>
      <c r="E9" s="68" t="inlineStr">
        <is>
          <t>Morgan Ellis / AI</t>
        </is>
      </c>
      <c r="F9" s="69" t="n">
        <v>46258</v>
      </c>
      <c r="G9" s="83" t="n">
        <v>-1800</v>
      </c>
      <c r="H9" s="67" t="n">
        <v>0</v>
      </c>
      <c r="I9" s="67" t="inlineStr">
        <is>
          <t>Draft</t>
        </is>
      </c>
      <c r="J9" s="67" t="inlineStr"/>
    </row>
    <row r="10">
      <c r="A10" s="82" t="n"/>
      <c r="B10" s="82" t="n"/>
      <c r="C10" s="82" t="n"/>
      <c r="D10" s="82" t="n"/>
      <c r="E10" s="82" t="n"/>
      <c r="F10" s="82" t="n"/>
      <c r="G10" s="82" t="n"/>
      <c r="H10" s="82" t="n"/>
      <c r="I10" s="82" t="n"/>
      <c r="J10" s="82" t="n"/>
    </row>
    <row r="11">
      <c r="A11" s="82" t="n"/>
      <c r="B11" s="82" t="n"/>
      <c r="C11" s="82" t="n"/>
      <c r="D11" s="82" t="n"/>
      <c r="E11" s="82" t="n"/>
      <c r="F11" s="82" t="n"/>
      <c r="G11" s="82" t="n"/>
      <c r="H11" s="82" t="n"/>
      <c r="I11" s="82" t="n"/>
      <c r="J11" s="82" t="n"/>
    </row>
    <row r="12">
      <c r="A12" s="82" t="n"/>
      <c r="B12" s="82" t="n"/>
      <c r="C12" s="82" t="n"/>
      <c r="D12" s="82" t="n"/>
      <c r="E12" s="82" t="n"/>
      <c r="F12" s="82" t="n"/>
      <c r="G12" s="82" t="n"/>
      <c r="H12" s="82" t="n"/>
      <c r="I12" s="82" t="n"/>
      <c r="J12" s="82" t="n"/>
    </row>
    <row r="13">
      <c r="A13" s="82" t="n"/>
      <c r="B13" s="82" t="n"/>
      <c r="C13" s="82" t="n"/>
      <c r="D13" s="82" t="n"/>
      <c r="E13" s="82" t="n"/>
      <c r="F13" s="82" t="n"/>
      <c r="G13" s="82" t="n"/>
      <c r="H13" s="82" t="n"/>
      <c r="I13" s="82" t="n"/>
      <c r="J13" s="82" t="n"/>
    </row>
    <row r="14">
      <c r="A14" s="82" t="n"/>
      <c r="B14" s="82" t="n"/>
      <c r="C14" s="82" t="n"/>
      <c r="D14" s="82" t="n"/>
      <c r="E14" s="82" t="n"/>
      <c r="F14" s="82" t="n"/>
      <c r="G14" s="82" t="n"/>
      <c r="H14" s="82" t="n"/>
      <c r="I14" s="82" t="n"/>
      <c r="J14" s="82" t="n"/>
    </row>
    <row r="15">
      <c r="A15" s="82" t="n"/>
      <c r="B15" s="82" t="n"/>
      <c r="C15" s="82" t="n"/>
      <c r="D15" s="82" t="n"/>
      <c r="E15" s="82" t="n"/>
      <c r="F15" s="82" t="n"/>
      <c r="G15" s="82" t="n"/>
      <c r="H15" s="82" t="n"/>
      <c r="I15" s="82" t="n"/>
      <c r="J15" s="82" t="n"/>
    </row>
    <row r="16">
      <c r="A16" s="82" t="n"/>
      <c r="B16" s="82" t="n"/>
      <c r="C16" s="82" t="n"/>
      <c r="D16" s="82" t="n"/>
      <c r="E16" s="82" t="n"/>
      <c r="F16" s="82" t="n"/>
      <c r="G16" s="82" t="n"/>
      <c r="H16" s="82" t="n"/>
      <c r="I16" s="82" t="n"/>
      <c r="J16" s="82" t="n"/>
    </row>
    <row r="17">
      <c r="A17" s="82" t="n"/>
      <c r="B17" s="82" t="n"/>
      <c r="C17" s="82" t="n"/>
      <c r="D17" s="82" t="n"/>
      <c r="E17" s="82" t="n"/>
      <c r="F17" s="82" t="n"/>
      <c r="G17" s="82" t="n"/>
      <c r="H17" s="82" t="n"/>
      <c r="I17" s="82" t="n"/>
      <c r="J17" s="82" t="n"/>
    </row>
    <row r="18">
      <c r="A18" s="82" t="n"/>
      <c r="B18" s="82" t="n"/>
      <c r="C18" s="82" t="n"/>
      <c r="D18" s="82" t="n"/>
      <c r="E18" s="82" t="n"/>
      <c r="F18" s="82" t="n"/>
      <c r="G18" s="82" t="n"/>
      <c r="H18" s="82" t="n"/>
      <c r="I18" s="82" t="n"/>
      <c r="J18" s="82" t="n"/>
    </row>
    <row r="19">
      <c r="A19" s="82" t="n"/>
      <c r="B19" s="82" t="n"/>
      <c r="C19" s="82" t="n"/>
      <c r="D19" s="82" t="n"/>
      <c r="E19" s="82" t="n"/>
      <c r="F19" s="82" t="n"/>
      <c r="G19" s="82" t="n"/>
      <c r="H19" s="82" t="n"/>
      <c r="I19" s="82" t="n"/>
      <c r="J19" s="82" t="n"/>
    </row>
    <row r="20">
      <c r="A20" s="82" t="n"/>
      <c r="B20" s="82" t="n"/>
      <c r="C20" s="82" t="n"/>
      <c r="D20" s="82" t="n"/>
      <c r="E20" s="82" t="n"/>
      <c r="F20" s="82" t="n"/>
      <c r="G20" s="82" t="n"/>
      <c r="H20" s="82" t="n"/>
      <c r="I20" s="82" t="n"/>
      <c r="J20" s="82" t="n"/>
    </row>
    <row r="21">
      <c r="A21" s="82" t="n"/>
      <c r="B21" s="82" t="n"/>
      <c r="C21" s="82" t="n"/>
      <c r="D21" s="82" t="n"/>
      <c r="E21" s="82" t="n"/>
      <c r="F21" s="82" t="n"/>
      <c r="G21" s="82" t="n"/>
      <c r="H21" s="82" t="n"/>
      <c r="I21" s="82" t="n"/>
      <c r="J21" s="82" t="n"/>
    </row>
    <row r="22">
      <c r="A22" s="82" t="n"/>
      <c r="B22" s="82" t="n"/>
      <c r="C22" s="82" t="n"/>
      <c r="D22" s="82" t="n"/>
      <c r="E22" s="82" t="n"/>
      <c r="F22" s="82" t="n"/>
      <c r="G22" s="82" t="n"/>
      <c r="H22" s="82" t="n"/>
      <c r="I22" s="82" t="n"/>
      <c r="J22" s="82" t="n"/>
    </row>
    <row r="23">
      <c r="A23" s="82" t="n"/>
      <c r="B23" s="82" t="n"/>
      <c r="C23" s="82" t="n"/>
      <c r="D23" s="82" t="n"/>
      <c r="E23" s="82" t="n"/>
      <c r="F23" s="82" t="n"/>
      <c r="G23" s="82" t="n"/>
      <c r="H23" s="82" t="n"/>
      <c r="I23" s="82" t="n"/>
      <c r="J23" s="82" t="n"/>
    </row>
    <row r="24">
      <c r="A24" s="82" t="n"/>
      <c r="B24" s="82" t="n"/>
      <c r="C24" s="82" t="n"/>
      <c r="D24" s="82" t="n"/>
      <c r="E24" s="82" t="n"/>
      <c r="F24" s="82" t="n"/>
      <c r="G24" s="82" t="n"/>
      <c r="H24" s="82" t="n"/>
      <c r="I24" s="82" t="n"/>
      <c r="J24" s="82" t="n"/>
    </row>
    <row r="25">
      <c r="A25" s="82" t="n"/>
      <c r="B25" s="82" t="n"/>
      <c r="C25" s="82" t="n"/>
      <c r="D25" s="82" t="n"/>
      <c r="E25" s="82" t="n"/>
      <c r="F25" s="82" t="n"/>
      <c r="G25" s="82" t="n"/>
      <c r="H25" s="82" t="n"/>
      <c r="I25" s="82" t="n"/>
      <c r="J25" s="82" t="n"/>
    </row>
    <row r="26">
      <c r="A26" s="82" t="n"/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</row>
    <row r="27">
      <c r="A27" s="82" t="n"/>
      <c r="B27" s="82" t="n"/>
      <c r="C27" s="82" t="n"/>
      <c r="D27" s="82" t="n"/>
      <c r="E27" s="82" t="n"/>
      <c r="F27" s="82" t="n"/>
      <c r="G27" s="82" t="n"/>
      <c r="H27" s="82" t="n"/>
      <c r="I27" s="82" t="n"/>
      <c r="J27" s="82" t="n"/>
    </row>
    <row r="28">
      <c r="A28" s="82" t="n"/>
      <c r="B28" s="82" t="n"/>
      <c r="C28" s="82" t="n"/>
      <c r="D28" s="82" t="n"/>
      <c r="E28" s="82" t="n"/>
      <c r="F28" s="82" t="n"/>
      <c r="G28" s="82" t="n"/>
      <c r="H28" s="82" t="n"/>
      <c r="I28" s="82" t="n"/>
      <c r="J28" s="82" t="n"/>
    </row>
    <row r="29">
      <c r="A29" s="82" t="n"/>
      <c r="B29" s="82" t="n"/>
      <c r="C29" s="82" t="n"/>
      <c r="D29" s="82" t="n"/>
      <c r="E29" s="82" t="n"/>
      <c r="F29" s="82" t="n"/>
      <c r="G29" s="82" t="n"/>
      <c r="H29" s="82" t="n"/>
      <c r="I29" s="82" t="n"/>
      <c r="J29" s="82" t="n"/>
    </row>
    <row r="30">
      <c r="A30" s="82" t="n"/>
      <c r="B30" s="82" t="n"/>
      <c r="C30" s="82" t="n"/>
      <c r="D30" s="82" t="n"/>
      <c r="E30" s="82" t="n"/>
      <c r="F30" s="82" t="n"/>
      <c r="G30" s="82" t="n"/>
      <c r="H30" s="82" t="n"/>
      <c r="I30" s="82" t="n"/>
      <c r="J30" s="82" t="n"/>
    </row>
    <row r="31">
      <c r="A31" s="82" t="n"/>
      <c r="B31" s="82" t="n"/>
      <c r="C31" s="82" t="n"/>
      <c r="D31" s="82" t="n"/>
      <c r="E31" s="82" t="n"/>
      <c r="F31" s="82" t="n"/>
      <c r="G31" s="82" t="n"/>
      <c r="H31" s="82" t="n"/>
      <c r="I31" s="82" t="n"/>
      <c r="J31" s="82" t="n"/>
    </row>
    <row r="32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</row>
    <row r="33">
      <c r="A33" s="82" t="n"/>
      <c r="B33" s="82" t="n"/>
      <c r="C33" s="82" t="n"/>
      <c r="D33" s="82" t="n"/>
      <c r="E33" s="82" t="n"/>
      <c r="F33" s="82" t="n"/>
      <c r="G33" s="82" t="n"/>
      <c r="H33" s="82" t="n"/>
      <c r="I33" s="82" t="n"/>
      <c r="J33" s="82" t="n"/>
    </row>
    <row r="34">
      <c r="A34" s="82" t="n"/>
      <c r="B34" s="82" t="n"/>
      <c r="C34" s="82" t="n"/>
      <c r="D34" s="82" t="n"/>
      <c r="E34" s="82" t="n"/>
      <c r="F34" s="82" t="n"/>
      <c r="G34" s="82" t="n"/>
      <c r="H34" s="82" t="n"/>
      <c r="I34" s="82" t="n"/>
      <c r="J34" s="82" t="n"/>
    </row>
    <row r="35">
      <c r="A35" s="82" t="n"/>
      <c r="B35" s="82" t="n"/>
      <c r="C35" s="82" t="n"/>
      <c r="D35" s="82" t="n"/>
      <c r="E35" s="82" t="n"/>
      <c r="F35" s="82" t="n"/>
      <c r="G35" s="82" t="n"/>
      <c r="H35" s="82" t="n"/>
      <c r="I35" s="82" t="n"/>
      <c r="J35" s="82" t="n"/>
    </row>
    <row r="36">
      <c r="A36" s="82" t="n"/>
      <c r="B36" s="82" t="n"/>
      <c r="C36" s="82" t="n"/>
      <c r="D36" s="82" t="n"/>
      <c r="E36" s="82" t="n"/>
      <c r="F36" s="82" t="n"/>
      <c r="G36" s="82" t="n"/>
      <c r="H36" s="82" t="n"/>
      <c r="I36" s="82" t="n"/>
      <c r="J36" s="82" t="n"/>
    </row>
    <row r="37">
      <c r="A37" s="82" t="n"/>
      <c r="B37" s="82" t="n"/>
      <c r="C37" s="82" t="n"/>
      <c r="D37" s="82" t="n"/>
      <c r="E37" s="82" t="n"/>
      <c r="F37" s="82" t="n"/>
      <c r="G37" s="82" t="n"/>
      <c r="H37" s="82" t="n"/>
      <c r="I37" s="82" t="n"/>
      <c r="J37" s="82" t="n"/>
    </row>
    <row r="38">
      <c r="A38" s="82" t="n"/>
      <c r="B38" s="82" t="n"/>
      <c r="C38" s="82" t="n"/>
      <c r="D38" s="82" t="n"/>
      <c r="E38" s="82" t="n"/>
      <c r="F38" s="82" t="n"/>
      <c r="G38" s="82" t="n"/>
      <c r="H38" s="82" t="n"/>
      <c r="I38" s="82" t="n"/>
      <c r="J38" s="82" t="n"/>
    </row>
    <row r="39">
      <c r="A39" s="82" t="n"/>
      <c r="B39" s="82" t="n"/>
      <c r="C39" s="82" t="n"/>
      <c r="D39" s="82" t="n"/>
      <c r="E39" s="82" t="n"/>
      <c r="F39" s="82" t="n"/>
      <c r="G39" s="82" t="n"/>
      <c r="H39" s="82" t="n"/>
      <c r="I39" s="82" t="n"/>
      <c r="J39" s="82" t="n"/>
    </row>
    <row r="40">
      <c r="A40" s="82" t="n"/>
      <c r="B40" s="82" t="n"/>
      <c r="C40" s="82" t="n"/>
      <c r="D40" s="82" t="n"/>
      <c r="E40" s="82" t="n"/>
      <c r="F40" s="82" t="n"/>
      <c r="G40" s="82" t="n"/>
      <c r="H40" s="82" t="n"/>
      <c r="I40" s="82" t="n"/>
      <c r="J40" s="82" t="n"/>
    </row>
    <row r="41">
      <c r="A41" s="82" t="n"/>
      <c r="B41" s="82" t="n"/>
      <c r="C41" s="82" t="n"/>
      <c r="D41" s="82" t="n"/>
      <c r="E41" s="82" t="n"/>
      <c r="F41" s="82" t="n"/>
      <c r="G41" s="82" t="n"/>
      <c r="H41" s="82" t="n"/>
      <c r="I41" s="82" t="n"/>
      <c r="J41" s="82" t="n"/>
    </row>
    <row r="42">
      <c r="A42" s="82" t="n"/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</row>
    <row r="43">
      <c r="A43" s="82" t="n"/>
      <c r="B43" s="82" t="n"/>
      <c r="C43" s="82" t="n"/>
      <c r="D43" s="82" t="n"/>
      <c r="E43" s="82" t="n"/>
      <c r="F43" s="82" t="n"/>
      <c r="G43" s="82" t="n"/>
      <c r="H43" s="82" t="n"/>
      <c r="I43" s="82" t="n"/>
      <c r="J43" s="82" t="n"/>
    </row>
    <row r="44">
      <c r="A44" s="82" t="n"/>
      <c r="B44" s="82" t="n"/>
      <c r="C44" s="82" t="n"/>
      <c r="D44" s="82" t="n"/>
      <c r="E44" s="82" t="n"/>
      <c r="F44" s="82" t="n"/>
      <c r="G44" s="82" t="n"/>
      <c r="H44" s="82" t="n"/>
      <c r="I44" s="82" t="n"/>
      <c r="J44" s="82" t="n"/>
    </row>
    <row r="45">
      <c r="A45" s="82" t="n"/>
      <c r="B45" s="82" t="n"/>
      <c r="C45" s="82" t="n"/>
      <c r="D45" s="82" t="n"/>
      <c r="E45" s="82" t="n"/>
      <c r="F45" s="82" t="n"/>
      <c r="G45" s="82" t="n"/>
      <c r="H45" s="82" t="n"/>
      <c r="I45" s="82" t="n"/>
      <c r="J45" s="82" t="n"/>
    </row>
    <row r="46">
      <c r="A46" s="82" t="n"/>
      <c r="B46" s="82" t="n"/>
      <c r="C46" s="82" t="n"/>
      <c r="D46" s="82" t="n"/>
      <c r="E46" s="82" t="n"/>
      <c r="F46" s="82" t="n"/>
      <c r="G46" s="82" t="n"/>
      <c r="H46" s="82" t="n"/>
      <c r="I46" s="82" t="n"/>
      <c r="J46" s="82" t="n"/>
    </row>
    <row r="47">
      <c r="A47" s="82" t="n"/>
      <c r="B47" s="82" t="n"/>
      <c r="C47" s="82" t="n"/>
      <c r="D47" s="82" t="n"/>
      <c r="E47" s="82" t="n"/>
      <c r="F47" s="82" t="n"/>
      <c r="G47" s="82" t="n"/>
      <c r="H47" s="82" t="n"/>
      <c r="I47" s="82" t="n"/>
      <c r="J47" s="82" t="n"/>
    </row>
    <row r="48">
      <c r="A48" s="82" t="n"/>
      <c r="B48" s="82" t="n"/>
      <c r="C48" s="82" t="n"/>
      <c r="D48" s="82" t="n"/>
      <c r="E48" s="82" t="n"/>
      <c r="F48" s="82" t="n"/>
      <c r="G48" s="82" t="n"/>
      <c r="H48" s="82" t="n"/>
      <c r="I48" s="82" t="n"/>
      <c r="J48" s="82" t="n"/>
    </row>
    <row r="49">
      <c r="A49" s="82" t="n"/>
      <c r="B49" s="82" t="n"/>
      <c r="C49" s="82" t="n"/>
      <c r="D49" s="82" t="n"/>
      <c r="E49" s="82" t="n"/>
      <c r="F49" s="82" t="n"/>
      <c r="G49" s="82" t="n"/>
      <c r="H49" s="82" t="n"/>
      <c r="I49" s="82" t="n"/>
      <c r="J49" s="82" t="n"/>
    </row>
    <row r="50">
      <c r="A50" s="82" t="n"/>
      <c r="B50" s="82" t="n"/>
      <c r="C50" s="82" t="n"/>
      <c r="D50" s="82" t="n"/>
      <c r="E50" s="82" t="n"/>
      <c r="F50" s="82" t="n"/>
      <c r="G50" s="82" t="n"/>
      <c r="H50" s="82" t="n"/>
      <c r="I50" s="82" t="n"/>
      <c r="J50" s="82" t="n"/>
    </row>
    <row r="51">
      <c r="A51" s="82" t="n"/>
      <c r="B51" s="82" t="n"/>
      <c r="C51" s="82" t="n"/>
      <c r="D51" s="82" t="n"/>
      <c r="E51" s="82" t="n"/>
      <c r="F51" s="82" t="n"/>
      <c r="G51" s="82" t="n"/>
      <c r="H51" s="82" t="n"/>
      <c r="I51" s="82" t="n"/>
      <c r="J51" s="82" t="n"/>
    </row>
    <row r="52">
      <c r="A52" s="82" t="n"/>
      <c r="B52" s="82" t="n"/>
      <c r="C52" s="82" t="n"/>
      <c r="D52" s="82" t="n"/>
      <c r="E52" s="82" t="n"/>
      <c r="F52" s="82" t="n"/>
      <c r="G52" s="82" t="n"/>
      <c r="H52" s="82" t="n"/>
      <c r="I52" s="82" t="n"/>
      <c r="J52" s="82" t="n"/>
    </row>
    <row r="53">
      <c r="A53" s="82" t="n"/>
      <c r="B53" s="82" t="n"/>
      <c r="C53" s="82" t="n"/>
      <c r="D53" s="82" t="n"/>
      <c r="E53" s="82" t="n"/>
      <c r="F53" s="82" t="n"/>
      <c r="G53" s="82" t="n"/>
      <c r="H53" s="82" t="n"/>
      <c r="I53" s="82" t="n"/>
      <c r="J53" s="82" t="n"/>
    </row>
    <row r="54">
      <c r="A54" s="82" t="n"/>
      <c r="B54" s="82" t="n"/>
      <c r="C54" s="82" t="n"/>
      <c r="D54" s="82" t="n"/>
      <c r="E54" s="82" t="n"/>
      <c r="F54" s="82" t="n"/>
      <c r="G54" s="82" t="n"/>
      <c r="H54" s="82" t="n"/>
      <c r="I54" s="82" t="n"/>
      <c r="J54" s="82" t="n"/>
    </row>
    <row r="55">
      <c r="A55" s="82" t="n"/>
      <c r="B55" s="82" t="n"/>
      <c r="C55" s="82" t="n"/>
      <c r="D55" s="82" t="n"/>
      <c r="E55" s="82" t="n"/>
      <c r="F55" s="82" t="n"/>
      <c r="G55" s="82" t="n"/>
      <c r="H55" s="82" t="n"/>
      <c r="I55" s="82" t="n"/>
      <c r="J55" s="82" t="n"/>
    </row>
    <row r="56">
      <c r="A56" s="82" t="n"/>
      <c r="B56" s="82" t="n"/>
      <c r="C56" s="82" t="n"/>
      <c r="D56" s="82" t="n"/>
      <c r="E56" s="82" t="n"/>
      <c r="F56" s="82" t="n"/>
      <c r="G56" s="82" t="n"/>
      <c r="H56" s="82" t="n"/>
      <c r="I56" s="82" t="n"/>
      <c r="J56" s="82" t="n"/>
    </row>
    <row r="57">
      <c r="A57" s="82" t="n"/>
      <c r="B57" s="82" t="n"/>
      <c r="C57" s="82" t="n"/>
      <c r="D57" s="82" t="n"/>
      <c r="E57" s="82" t="n"/>
      <c r="F57" s="82" t="n"/>
      <c r="G57" s="82" t="n"/>
      <c r="H57" s="82" t="n"/>
      <c r="I57" s="82" t="n"/>
      <c r="J57" s="82" t="n"/>
    </row>
    <row r="58">
      <c r="A58" s="82" t="n"/>
      <c r="B58" s="82" t="n"/>
      <c r="C58" s="82" t="n"/>
      <c r="D58" s="82" t="n"/>
      <c r="E58" s="82" t="n"/>
      <c r="F58" s="82" t="n"/>
      <c r="G58" s="82" t="n"/>
      <c r="H58" s="82" t="n"/>
      <c r="I58" s="82" t="n"/>
      <c r="J58" s="82" t="n"/>
    </row>
    <row r="59">
      <c r="A59" s="82" t="n"/>
      <c r="B59" s="82" t="n"/>
      <c r="C59" s="82" t="n"/>
      <c r="D59" s="82" t="n"/>
      <c r="E59" s="82" t="n"/>
      <c r="F59" s="82" t="n"/>
      <c r="G59" s="82" t="n"/>
      <c r="H59" s="82" t="n"/>
      <c r="I59" s="82" t="n"/>
      <c r="J59" s="82" t="n"/>
    </row>
    <row r="60">
      <c r="A60" s="82" t="n"/>
      <c r="B60" s="82" t="n"/>
      <c r="C60" s="82" t="n"/>
      <c r="D60" s="82" t="n"/>
      <c r="E60" s="82" t="n"/>
      <c r="F60" s="82" t="n"/>
      <c r="G60" s="82" t="n"/>
      <c r="H60" s="82" t="n"/>
      <c r="I60" s="82" t="n"/>
      <c r="J60" s="82" t="n"/>
    </row>
    <row r="61">
      <c r="A61" s="82" t="n"/>
      <c r="B61" s="82" t="n"/>
      <c r="C61" s="82" t="n"/>
      <c r="D61" s="82" t="n"/>
      <c r="E61" s="82" t="n"/>
      <c r="F61" s="82" t="n"/>
      <c r="G61" s="82" t="n"/>
      <c r="H61" s="82" t="n"/>
      <c r="I61" s="82" t="n"/>
      <c r="J61" s="82" t="n"/>
    </row>
    <row r="62">
      <c r="A62" s="82" t="n"/>
      <c r="B62" s="82" t="n"/>
      <c r="C62" s="82" t="n"/>
      <c r="D62" s="82" t="n"/>
      <c r="E62" s="82" t="n"/>
      <c r="F62" s="82" t="n"/>
      <c r="G62" s="82" t="n"/>
      <c r="H62" s="82" t="n"/>
      <c r="I62" s="82" t="n"/>
      <c r="J62" s="82" t="n"/>
    </row>
    <row r="63">
      <c r="A63" s="82" t="n"/>
      <c r="B63" s="82" t="n"/>
      <c r="C63" s="82" t="n"/>
      <c r="D63" s="82" t="n"/>
      <c r="E63" s="82" t="n"/>
      <c r="F63" s="82" t="n"/>
      <c r="G63" s="82" t="n"/>
      <c r="H63" s="82" t="n"/>
      <c r="I63" s="82" t="n"/>
      <c r="J63" s="82" t="n"/>
    </row>
    <row r="64">
      <c r="A64" s="82" t="n"/>
      <c r="B64" s="82" t="n"/>
      <c r="C64" s="82" t="n"/>
      <c r="D64" s="82" t="n"/>
      <c r="E64" s="82" t="n"/>
      <c r="F64" s="82" t="n"/>
      <c r="G64" s="82" t="n"/>
      <c r="H64" s="82" t="n"/>
      <c r="I64" s="82" t="n"/>
      <c r="J64" s="82" t="n"/>
    </row>
    <row r="65">
      <c r="A65" s="82" t="n"/>
      <c r="B65" s="82" t="n"/>
      <c r="C65" s="82" t="n"/>
      <c r="D65" s="82" t="n"/>
      <c r="E65" s="82" t="n"/>
      <c r="F65" s="82" t="n"/>
      <c r="G65" s="82" t="n"/>
      <c r="H65" s="82" t="n"/>
      <c r="I65" s="82" t="n"/>
      <c r="J65" s="82" t="n"/>
    </row>
    <row r="66">
      <c r="A66" s="82" t="n"/>
      <c r="B66" s="82" t="n"/>
      <c r="C66" s="82" t="n"/>
      <c r="D66" s="82" t="n"/>
      <c r="E66" s="82" t="n"/>
      <c r="F66" s="82" t="n"/>
      <c r="G66" s="82" t="n"/>
      <c r="H66" s="82" t="n"/>
      <c r="I66" s="82" t="n"/>
      <c r="J66" s="82" t="n"/>
    </row>
    <row r="67">
      <c r="A67" s="82" t="n"/>
      <c r="B67" s="82" t="n"/>
      <c r="C67" s="82" t="n"/>
      <c r="D67" s="82" t="n"/>
      <c r="E67" s="82" t="n"/>
      <c r="F67" s="82" t="n"/>
      <c r="G67" s="82" t="n"/>
      <c r="H67" s="82" t="n"/>
      <c r="I67" s="82" t="n"/>
      <c r="J67" s="82" t="n"/>
    </row>
    <row r="68">
      <c r="A68" s="82" t="n"/>
      <c r="B68" s="82" t="n"/>
      <c r="C68" s="82" t="n"/>
      <c r="D68" s="82" t="n"/>
      <c r="E68" s="82" t="n"/>
      <c r="F68" s="82" t="n"/>
      <c r="G68" s="82" t="n"/>
      <c r="H68" s="82" t="n"/>
      <c r="I68" s="82" t="n"/>
      <c r="J68" s="82" t="n"/>
    </row>
    <row r="69">
      <c r="A69" s="82" t="n"/>
      <c r="B69" s="82" t="n"/>
      <c r="C69" s="82" t="n"/>
      <c r="D69" s="82" t="n"/>
      <c r="E69" s="82" t="n"/>
      <c r="F69" s="82" t="n"/>
      <c r="G69" s="82" t="n"/>
      <c r="H69" s="82" t="n"/>
      <c r="I69" s="82" t="n"/>
      <c r="J69" s="82" t="n"/>
    </row>
    <row r="70">
      <c r="A70" s="82" t="n"/>
      <c r="B70" s="82" t="n"/>
      <c r="C70" s="82" t="n"/>
      <c r="D70" s="82" t="n"/>
      <c r="E70" s="82" t="n"/>
      <c r="F70" s="82" t="n"/>
      <c r="G70" s="82" t="n"/>
      <c r="H70" s="82" t="n"/>
      <c r="I70" s="82" t="n"/>
      <c r="J70" s="82" t="n"/>
    </row>
    <row r="71">
      <c r="A71" s="82" t="n"/>
      <c r="B71" s="82" t="n"/>
      <c r="C71" s="82" t="n"/>
      <c r="D71" s="82" t="n"/>
      <c r="E71" s="82" t="n"/>
      <c r="F71" s="82" t="n"/>
      <c r="G71" s="82" t="n"/>
      <c r="H71" s="82" t="n"/>
      <c r="I71" s="82" t="n"/>
      <c r="J71" s="82" t="n"/>
    </row>
    <row r="72">
      <c r="A72" s="82" t="n"/>
      <c r="B72" s="82" t="n"/>
      <c r="C72" s="82" t="n"/>
      <c r="D72" s="82" t="n"/>
      <c r="E72" s="82" t="n"/>
      <c r="F72" s="82" t="n"/>
      <c r="G72" s="82" t="n"/>
      <c r="H72" s="82" t="n"/>
      <c r="I72" s="82" t="n"/>
      <c r="J72" s="82" t="n"/>
    </row>
    <row r="73">
      <c r="A73" s="82" t="n"/>
      <c r="B73" s="82" t="n"/>
      <c r="C73" s="82" t="n"/>
      <c r="D73" s="82" t="n"/>
      <c r="E73" s="82" t="n"/>
      <c r="F73" s="82" t="n"/>
      <c r="G73" s="82" t="n"/>
      <c r="H73" s="82" t="n"/>
      <c r="I73" s="82" t="n"/>
      <c r="J73" s="82" t="n"/>
    </row>
    <row r="74">
      <c r="A74" s="82" t="n"/>
      <c r="B74" s="82" t="n"/>
      <c r="C74" s="82" t="n"/>
      <c r="D74" s="82" t="n"/>
      <c r="E74" s="82" t="n"/>
      <c r="F74" s="82" t="n"/>
      <c r="G74" s="82" t="n"/>
      <c r="H74" s="82" t="n"/>
      <c r="I74" s="82" t="n"/>
      <c r="J74" s="82" t="n"/>
    </row>
    <row r="75">
      <c r="A75" s="82" t="n"/>
      <c r="B75" s="82" t="n"/>
      <c r="C75" s="82" t="n"/>
      <c r="D75" s="82" t="n"/>
      <c r="E75" s="82" t="n"/>
      <c r="F75" s="82" t="n"/>
      <c r="G75" s="82" t="n"/>
      <c r="H75" s="82" t="n"/>
      <c r="I75" s="82" t="n"/>
      <c r="J75" s="82" t="n"/>
    </row>
    <row r="76">
      <c r="A76" s="82" t="n"/>
      <c r="B76" s="82" t="n"/>
      <c r="C76" s="82" t="n"/>
      <c r="D76" s="82" t="n"/>
      <c r="E76" s="82" t="n"/>
      <c r="F76" s="82" t="n"/>
      <c r="G76" s="82" t="n"/>
      <c r="H76" s="82" t="n"/>
      <c r="I76" s="82" t="n"/>
      <c r="J76" s="82" t="n"/>
    </row>
    <row r="77">
      <c r="A77" s="82" t="n"/>
      <c r="B77" s="82" t="n"/>
      <c r="C77" s="82" t="n"/>
      <c r="D77" s="82" t="n"/>
      <c r="E77" s="82" t="n"/>
      <c r="F77" s="82" t="n"/>
      <c r="G77" s="82" t="n"/>
      <c r="H77" s="82" t="n"/>
      <c r="I77" s="82" t="n"/>
      <c r="J77" s="82" t="n"/>
    </row>
    <row r="78">
      <c r="A78" s="82" t="n"/>
      <c r="B78" s="82" t="n"/>
      <c r="C78" s="82" t="n"/>
      <c r="D78" s="82" t="n"/>
      <c r="E78" s="82" t="n"/>
      <c r="F78" s="82" t="n"/>
      <c r="G78" s="82" t="n"/>
      <c r="H78" s="82" t="n"/>
      <c r="I78" s="82" t="n"/>
      <c r="J78" s="82" t="n"/>
    </row>
    <row r="79">
      <c r="A79" s="82" t="n"/>
      <c r="B79" s="82" t="n"/>
      <c r="C79" s="82" t="n"/>
      <c r="D79" s="82" t="n"/>
      <c r="E79" s="82" t="n"/>
      <c r="F79" s="82" t="n"/>
      <c r="G79" s="82" t="n"/>
      <c r="H79" s="82" t="n"/>
      <c r="I79" s="82" t="n"/>
      <c r="J79" s="82" t="n"/>
    </row>
    <row r="80">
      <c r="A80" s="82" t="n"/>
      <c r="B80" s="82" t="n"/>
      <c r="C80" s="82" t="n"/>
      <c r="D80" s="82" t="n"/>
      <c r="E80" s="82" t="n"/>
      <c r="F80" s="82" t="n"/>
      <c r="G80" s="82" t="n"/>
      <c r="H80" s="82" t="n"/>
      <c r="I80" s="82" t="n"/>
      <c r="J80" s="82" t="n"/>
    </row>
    <row r="81">
      <c r="A81" s="82" t="n"/>
      <c r="B81" s="82" t="n"/>
      <c r="C81" s="82" t="n"/>
      <c r="D81" s="82" t="n"/>
      <c r="E81" s="82" t="n"/>
      <c r="F81" s="82" t="n"/>
      <c r="G81" s="82" t="n"/>
      <c r="H81" s="82" t="n"/>
      <c r="I81" s="82" t="n"/>
      <c r="J81" s="82" t="n"/>
    </row>
    <row r="82">
      <c r="A82" s="82" t="n"/>
      <c r="B82" s="82" t="n"/>
      <c r="C82" s="82" t="n"/>
      <c r="D82" s="82" t="n"/>
      <c r="E82" s="82" t="n"/>
      <c r="F82" s="82" t="n"/>
      <c r="G82" s="82" t="n"/>
      <c r="H82" s="82" t="n"/>
      <c r="I82" s="82" t="n"/>
      <c r="J82" s="82" t="n"/>
    </row>
    <row r="83">
      <c r="A83" s="82" t="n"/>
      <c r="B83" s="82" t="n"/>
      <c r="C83" s="82" t="n"/>
      <c r="D83" s="82" t="n"/>
      <c r="E83" s="82" t="n"/>
      <c r="F83" s="82" t="n"/>
      <c r="G83" s="82" t="n"/>
      <c r="H83" s="82" t="n"/>
      <c r="I83" s="82" t="n"/>
      <c r="J83" s="82" t="n"/>
    </row>
    <row r="84">
      <c r="A84" s="82" t="n"/>
      <c r="B84" s="82" t="n"/>
      <c r="C84" s="82" t="n"/>
      <c r="D84" s="82" t="n"/>
      <c r="E84" s="82" t="n"/>
      <c r="F84" s="82" t="n"/>
      <c r="G84" s="82" t="n"/>
      <c r="H84" s="82" t="n"/>
      <c r="I84" s="82" t="n"/>
      <c r="J84" s="82" t="n"/>
    </row>
    <row r="85">
      <c r="A85" s="82" t="n"/>
      <c r="B85" s="82" t="n"/>
      <c r="C85" s="82" t="n"/>
      <c r="D85" s="82" t="n"/>
      <c r="E85" s="82" t="n"/>
      <c r="F85" s="82" t="n"/>
      <c r="G85" s="82" t="n"/>
      <c r="H85" s="82" t="n"/>
      <c r="I85" s="82" t="n"/>
      <c r="J85" s="82" t="n"/>
    </row>
    <row r="86">
      <c r="A86" s="82" t="n"/>
      <c r="B86" s="82" t="n"/>
      <c r="C86" s="82" t="n"/>
      <c r="D86" s="82" t="n"/>
      <c r="E86" s="82" t="n"/>
      <c r="F86" s="82" t="n"/>
      <c r="G86" s="82" t="n"/>
      <c r="H86" s="82" t="n"/>
      <c r="I86" s="82" t="n"/>
      <c r="J86" s="82" t="n"/>
    </row>
    <row r="87">
      <c r="A87" s="82" t="n"/>
      <c r="B87" s="82" t="n"/>
      <c r="C87" s="82" t="n"/>
      <c r="D87" s="82" t="n"/>
      <c r="E87" s="82" t="n"/>
      <c r="F87" s="82" t="n"/>
      <c r="G87" s="82" t="n"/>
      <c r="H87" s="82" t="n"/>
      <c r="I87" s="82" t="n"/>
      <c r="J87" s="82" t="n"/>
    </row>
    <row r="88">
      <c r="A88" s="82" t="n"/>
      <c r="B88" s="82" t="n"/>
      <c r="C88" s="82" t="n"/>
      <c r="D88" s="82" t="n"/>
      <c r="E88" s="82" t="n"/>
      <c r="F88" s="82" t="n"/>
      <c r="G88" s="82" t="n"/>
      <c r="H88" s="82" t="n"/>
      <c r="I88" s="82" t="n"/>
      <c r="J88" s="82" t="n"/>
    </row>
    <row r="89">
      <c r="A89" s="82" t="n"/>
      <c r="B89" s="82" t="n"/>
      <c r="C89" s="82" t="n"/>
      <c r="D89" s="82" t="n"/>
      <c r="E89" s="82" t="n"/>
      <c r="F89" s="82" t="n"/>
      <c r="G89" s="82" t="n"/>
      <c r="H89" s="82" t="n"/>
      <c r="I89" s="82" t="n"/>
      <c r="J89" s="82" t="n"/>
    </row>
    <row r="90">
      <c r="A90" s="82" t="n"/>
      <c r="B90" s="82" t="n"/>
      <c r="C90" s="82" t="n"/>
      <c r="D90" s="82" t="n"/>
      <c r="E90" s="82" t="n"/>
      <c r="F90" s="82" t="n"/>
      <c r="G90" s="82" t="n"/>
      <c r="H90" s="82" t="n"/>
      <c r="I90" s="82" t="n"/>
      <c r="J90" s="82" t="n"/>
    </row>
    <row r="91">
      <c r="A91" s="82" t="n"/>
      <c r="B91" s="82" t="n"/>
      <c r="C91" s="82" t="n"/>
      <c r="D91" s="82" t="n"/>
      <c r="E91" s="82" t="n"/>
      <c r="F91" s="82" t="n"/>
      <c r="G91" s="82" t="n"/>
      <c r="H91" s="82" t="n"/>
      <c r="I91" s="82" t="n"/>
      <c r="J91" s="82" t="n"/>
    </row>
    <row r="92">
      <c r="A92" s="82" t="n"/>
      <c r="B92" s="82" t="n"/>
      <c r="C92" s="82" t="n"/>
      <c r="D92" s="82" t="n"/>
      <c r="E92" s="82" t="n"/>
      <c r="F92" s="82" t="n"/>
      <c r="G92" s="82" t="n"/>
      <c r="H92" s="82" t="n"/>
      <c r="I92" s="82" t="n"/>
      <c r="J92" s="82" t="n"/>
    </row>
    <row r="93">
      <c r="A93" s="82" t="n"/>
      <c r="B93" s="82" t="n"/>
      <c r="C93" s="82" t="n"/>
      <c r="D93" s="82" t="n"/>
      <c r="E93" s="82" t="n"/>
      <c r="F93" s="82" t="n"/>
      <c r="G93" s="82" t="n"/>
      <c r="H93" s="82" t="n"/>
      <c r="I93" s="82" t="n"/>
      <c r="J93" s="82" t="n"/>
    </row>
    <row r="94">
      <c r="A94" s="82" t="n"/>
      <c r="B94" s="82" t="n"/>
      <c r="C94" s="82" t="n"/>
      <c r="D94" s="82" t="n"/>
      <c r="E94" s="82" t="n"/>
      <c r="F94" s="82" t="n"/>
      <c r="G94" s="82" t="n"/>
      <c r="H94" s="82" t="n"/>
      <c r="I94" s="82" t="n"/>
      <c r="J94" s="82" t="n"/>
    </row>
    <row r="95">
      <c r="A95" s="82" t="n"/>
      <c r="B95" s="82" t="n"/>
      <c r="C95" s="82" t="n"/>
      <c r="D95" s="82" t="n"/>
      <c r="E95" s="82" t="n"/>
      <c r="F95" s="82" t="n"/>
      <c r="G95" s="82" t="n"/>
      <c r="H95" s="82" t="n"/>
      <c r="I95" s="82" t="n"/>
      <c r="J95" s="82" t="n"/>
    </row>
    <row r="96">
      <c r="A96" s="82" t="n"/>
      <c r="B96" s="82" t="n"/>
      <c r="C96" s="82" t="n"/>
      <c r="D96" s="82" t="n"/>
      <c r="E96" s="82" t="n"/>
      <c r="F96" s="82" t="n"/>
      <c r="G96" s="82" t="n"/>
      <c r="H96" s="82" t="n"/>
      <c r="I96" s="82" t="n"/>
      <c r="J96" s="82" t="n"/>
    </row>
    <row r="97">
      <c r="A97" s="82" t="n"/>
      <c r="B97" s="82" t="n"/>
      <c r="C97" s="82" t="n"/>
      <c r="D97" s="82" t="n"/>
      <c r="E97" s="82" t="n"/>
      <c r="F97" s="82" t="n"/>
      <c r="G97" s="82" t="n"/>
      <c r="H97" s="82" t="n"/>
      <c r="I97" s="82" t="n"/>
      <c r="J97" s="82" t="n"/>
    </row>
    <row r="98">
      <c r="A98" s="82" t="n"/>
      <c r="B98" s="82" t="n"/>
      <c r="C98" s="82" t="n"/>
      <c r="D98" s="82" t="n"/>
      <c r="E98" s="82" t="n"/>
      <c r="F98" s="82" t="n"/>
      <c r="G98" s="82" t="n"/>
      <c r="H98" s="82" t="n"/>
      <c r="I98" s="82" t="n"/>
      <c r="J98" s="82" t="n"/>
    </row>
    <row r="99">
      <c r="A99" s="82" t="n"/>
      <c r="B99" s="82" t="n"/>
      <c r="C99" s="82" t="n"/>
      <c r="D99" s="82" t="n"/>
      <c r="E99" s="82" t="n"/>
      <c r="F99" s="82" t="n"/>
      <c r="G99" s="82" t="n"/>
      <c r="H99" s="82" t="n"/>
      <c r="I99" s="82" t="n"/>
      <c r="J99" s="82" t="n"/>
    </row>
    <row r="100">
      <c r="A100" s="82" t="n"/>
      <c r="B100" s="82" t="n"/>
      <c r="C100" s="82" t="n"/>
      <c r="D100" s="82" t="n"/>
      <c r="E100" s="82" t="n"/>
      <c r="F100" s="82" t="n"/>
      <c r="G100" s="82" t="n"/>
      <c r="H100" s="82" t="n"/>
      <c r="I100" s="82" t="n"/>
      <c r="J100" s="82" t="n"/>
    </row>
    <row r="101">
      <c r="A101" s="82" t="n"/>
      <c r="B101" s="82" t="n"/>
      <c r="C101" s="82" t="n"/>
      <c r="D101" s="82" t="n"/>
      <c r="E101" s="82" t="n"/>
      <c r="F101" s="82" t="n"/>
      <c r="G101" s="82" t="n"/>
      <c r="H101" s="82" t="n"/>
      <c r="I101" s="82" t="n"/>
      <c r="J101" s="82" t="n"/>
    </row>
    <row r="102">
      <c r="A102" s="82" t="n"/>
      <c r="B102" s="82" t="n"/>
      <c r="C102" s="82" t="n"/>
      <c r="D102" s="82" t="n"/>
      <c r="E102" s="82" t="n"/>
      <c r="F102" s="82" t="n"/>
      <c r="G102" s="82" t="n"/>
      <c r="H102" s="82" t="n"/>
      <c r="I102" s="82" t="n"/>
      <c r="J102" s="82" t="n"/>
    </row>
    <row r="103">
      <c r="A103" s="82" t="n"/>
      <c r="B103" s="82" t="n"/>
      <c r="C103" s="82" t="n"/>
      <c r="D103" s="82" t="n"/>
      <c r="E103" s="82" t="n"/>
      <c r="F103" s="82" t="n"/>
      <c r="G103" s="82" t="n"/>
      <c r="H103" s="82" t="n"/>
      <c r="I103" s="82" t="n"/>
      <c r="J103" s="82" t="n"/>
    </row>
    <row r="104">
      <c r="A104" s="82" t="n"/>
      <c r="B104" s="82" t="n"/>
      <c r="C104" s="82" t="n"/>
      <c r="D104" s="82" t="n"/>
      <c r="E104" s="82" t="n"/>
      <c r="F104" s="82" t="n"/>
      <c r="G104" s="82" t="n"/>
      <c r="H104" s="82" t="n"/>
      <c r="I104" s="82" t="n"/>
      <c r="J104" s="82" t="n"/>
    </row>
    <row r="105">
      <c r="A105" s="82" t="n"/>
      <c r="B105" s="82" t="n"/>
      <c r="C105" s="82" t="n"/>
      <c r="D105" s="82" t="n"/>
      <c r="E105" s="82" t="n"/>
      <c r="F105" s="82" t="n"/>
      <c r="G105" s="82" t="n"/>
      <c r="H105" s="82" t="n"/>
      <c r="I105" s="82" t="n"/>
      <c r="J105" s="82" t="n"/>
    </row>
    <row r="106">
      <c r="A106" s="82" t="n"/>
      <c r="B106" s="82" t="n"/>
      <c r="C106" s="82" t="n"/>
      <c r="D106" s="82" t="n"/>
      <c r="E106" s="82" t="n"/>
      <c r="F106" s="82" t="n"/>
      <c r="G106" s="82" t="n"/>
      <c r="H106" s="82" t="n"/>
      <c r="I106" s="82" t="n"/>
      <c r="J106" s="82" t="n"/>
    </row>
    <row r="107">
      <c r="A107" s="82" t="n"/>
      <c r="B107" s="82" t="n"/>
      <c r="C107" s="82" t="n"/>
      <c r="D107" s="82" t="n"/>
      <c r="E107" s="82" t="n"/>
      <c r="F107" s="82" t="n"/>
      <c r="G107" s="82" t="n"/>
      <c r="H107" s="82" t="n"/>
      <c r="I107" s="82" t="n"/>
      <c r="J107" s="82" t="n"/>
    </row>
    <row r="108">
      <c r="A108" s="82" t="n"/>
      <c r="B108" s="82" t="n"/>
      <c r="C108" s="82" t="n"/>
      <c r="D108" s="82" t="n"/>
      <c r="E108" s="82" t="n"/>
      <c r="F108" s="82" t="n"/>
      <c r="G108" s="82" t="n"/>
      <c r="H108" s="82" t="n"/>
      <c r="I108" s="82" t="n"/>
      <c r="J108" s="82" t="n"/>
    </row>
    <row r="109">
      <c r="A109" s="82" t="n"/>
      <c r="B109" s="82" t="n"/>
      <c r="C109" s="82" t="n"/>
      <c r="D109" s="82" t="n"/>
      <c r="E109" s="82" t="n"/>
      <c r="F109" s="82" t="n"/>
      <c r="G109" s="82" t="n"/>
      <c r="H109" s="82" t="n"/>
      <c r="I109" s="82" t="n"/>
      <c r="J109" s="82" t="n"/>
    </row>
    <row r="110">
      <c r="A110" s="82" t="n"/>
      <c r="B110" s="82" t="n"/>
      <c r="C110" s="82" t="n"/>
      <c r="D110" s="82" t="n"/>
      <c r="E110" s="82" t="n"/>
      <c r="F110" s="82" t="n"/>
      <c r="G110" s="82" t="n"/>
      <c r="H110" s="82" t="n"/>
      <c r="I110" s="82" t="n"/>
      <c r="J110" s="82" t="n"/>
    </row>
    <row r="111">
      <c r="A111" s="82" t="n"/>
      <c r="B111" s="82" t="n"/>
      <c r="C111" s="82" t="n"/>
      <c r="D111" s="82" t="n"/>
      <c r="E111" s="82" t="n"/>
      <c r="F111" s="82" t="n"/>
      <c r="G111" s="82" t="n"/>
      <c r="H111" s="82" t="n"/>
      <c r="I111" s="82" t="n"/>
      <c r="J111" s="82" t="n"/>
    </row>
    <row r="112">
      <c r="A112" s="82" t="n"/>
      <c r="B112" s="82" t="n"/>
      <c r="C112" s="82" t="n"/>
      <c r="D112" s="82" t="n"/>
      <c r="E112" s="82" t="n"/>
      <c r="F112" s="82" t="n"/>
      <c r="G112" s="82" t="n"/>
      <c r="H112" s="82" t="n"/>
      <c r="I112" s="82" t="n"/>
      <c r="J112" s="82" t="n"/>
    </row>
    <row r="113">
      <c r="A113" s="82" t="n"/>
      <c r="B113" s="82" t="n"/>
      <c r="C113" s="82" t="n"/>
      <c r="D113" s="82" t="n"/>
      <c r="E113" s="82" t="n"/>
      <c r="F113" s="82" t="n"/>
      <c r="G113" s="82" t="n"/>
      <c r="H113" s="82" t="n"/>
      <c r="I113" s="82" t="n"/>
      <c r="J113" s="82" t="n"/>
    </row>
    <row r="114">
      <c r="A114" s="82" t="n"/>
      <c r="B114" s="82" t="n"/>
      <c r="C114" s="82" t="n"/>
      <c r="D114" s="82" t="n"/>
      <c r="E114" s="82" t="n"/>
      <c r="F114" s="82" t="n"/>
      <c r="G114" s="82" t="n"/>
      <c r="H114" s="82" t="n"/>
      <c r="I114" s="82" t="n"/>
      <c r="J114" s="82" t="n"/>
    </row>
    <row r="115">
      <c r="A115" s="82" t="n"/>
      <c r="B115" s="82" t="n"/>
      <c r="C115" s="82" t="n"/>
      <c r="D115" s="82" t="n"/>
      <c r="E115" s="82" t="n"/>
      <c r="F115" s="82" t="n"/>
      <c r="G115" s="82" t="n"/>
      <c r="H115" s="82" t="n"/>
      <c r="I115" s="82" t="n"/>
      <c r="J115" s="82" t="n"/>
    </row>
    <row r="116">
      <c r="A116" s="82" t="n"/>
      <c r="B116" s="82" t="n"/>
      <c r="C116" s="82" t="n"/>
      <c r="D116" s="82" t="n"/>
      <c r="E116" s="82" t="n"/>
      <c r="F116" s="82" t="n"/>
      <c r="G116" s="82" t="n"/>
      <c r="H116" s="82" t="n"/>
      <c r="I116" s="82" t="n"/>
      <c r="J116" s="82" t="n"/>
    </row>
    <row r="117">
      <c r="A117" s="82" t="n"/>
      <c r="B117" s="82" t="n"/>
      <c r="C117" s="82" t="n"/>
      <c r="D117" s="82" t="n"/>
      <c r="E117" s="82" t="n"/>
      <c r="F117" s="82" t="n"/>
      <c r="G117" s="82" t="n"/>
      <c r="H117" s="82" t="n"/>
      <c r="I117" s="82" t="n"/>
      <c r="J117" s="82" t="n"/>
    </row>
    <row r="118">
      <c r="A118" s="82" t="n"/>
      <c r="B118" s="82" t="n"/>
      <c r="C118" s="82" t="n"/>
      <c r="D118" s="82" t="n"/>
      <c r="E118" s="82" t="n"/>
      <c r="F118" s="82" t="n"/>
      <c r="G118" s="82" t="n"/>
      <c r="H118" s="82" t="n"/>
      <c r="I118" s="82" t="n"/>
      <c r="J118" s="82" t="n"/>
    </row>
    <row r="119">
      <c r="A119" s="82" t="n"/>
      <c r="B119" s="82" t="n"/>
      <c r="C119" s="82" t="n"/>
      <c r="D119" s="82" t="n"/>
      <c r="E119" s="82" t="n"/>
      <c r="F119" s="82" t="n"/>
      <c r="G119" s="82" t="n"/>
      <c r="H119" s="82" t="n"/>
      <c r="I119" s="82" t="n"/>
      <c r="J119" s="82" t="n"/>
    </row>
    <row r="120">
      <c r="A120" s="82" t="n"/>
      <c r="B120" s="82" t="n"/>
      <c r="C120" s="82" t="n"/>
      <c r="D120" s="82" t="n"/>
      <c r="E120" s="82" t="n"/>
      <c r="F120" s="82" t="n"/>
      <c r="G120" s="82" t="n"/>
      <c r="H120" s="82" t="n"/>
      <c r="I120" s="82" t="n"/>
      <c r="J120" s="82" t="n"/>
    </row>
    <row r="121">
      <c r="A121" s="82" t="n"/>
      <c r="B121" s="82" t="n"/>
      <c r="C121" s="82" t="n"/>
      <c r="D121" s="82" t="n"/>
      <c r="E121" s="82" t="n"/>
      <c r="F121" s="82" t="n"/>
      <c r="G121" s="82" t="n"/>
      <c r="H121" s="82" t="n"/>
      <c r="I121" s="82" t="n"/>
      <c r="J121" s="82" t="n"/>
    </row>
    <row r="122">
      <c r="A122" s="82" t="n"/>
      <c r="B122" s="82" t="n"/>
      <c r="C122" s="82" t="n"/>
      <c r="D122" s="82" t="n"/>
      <c r="E122" s="82" t="n"/>
      <c r="F122" s="82" t="n"/>
      <c r="G122" s="82" t="n"/>
      <c r="H122" s="82" t="n"/>
      <c r="I122" s="82" t="n"/>
      <c r="J122" s="82" t="n"/>
    </row>
    <row r="123">
      <c r="A123" s="82" t="n"/>
      <c r="B123" s="82" t="n"/>
      <c r="C123" s="82" t="n"/>
      <c r="D123" s="82" t="n"/>
      <c r="E123" s="82" t="n"/>
      <c r="F123" s="82" t="n"/>
      <c r="G123" s="82" t="n"/>
      <c r="H123" s="82" t="n"/>
      <c r="I123" s="82" t="n"/>
      <c r="J123" s="82" t="n"/>
    </row>
    <row r="124">
      <c r="A124" s="82" t="n"/>
      <c r="B124" s="82" t="n"/>
      <c r="C124" s="82" t="n"/>
      <c r="D124" s="82" t="n"/>
      <c r="E124" s="82" t="n"/>
      <c r="F124" s="82" t="n"/>
      <c r="G124" s="82" t="n"/>
      <c r="H124" s="82" t="n"/>
      <c r="I124" s="82" t="n"/>
      <c r="J124" s="82" t="n"/>
    </row>
    <row r="125">
      <c r="A125" s="82" t="n"/>
      <c r="B125" s="82" t="n"/>
      <c r="C125" s="82" t="n"/>
      <c r="D125" s="82" t="n"/>
      <c r="E125" s="82" t="n"/>
      <c r="F125" s="82" t="n"/>
      <c r="G125" s="82" t="n"/>
      <c r="H125" s="82" t="n"/>
      <c r="I125" s="82" t="n"/>
      <c r="J125" s="82" t="n"/>
    </row>
    <row r="126">
      <c r="A126" s="82" t="n"/>
      <c r="B126" s="82" t="n"/>
      <c r="C126" s="82" t="n"/>
      <c r="D126" s="82" t="n"/>
      <c r="E126" s="82" t="n"/>
      <c r="F126" s="82" t="n"/>
      <c r="G126" s="82" t="n"/>
      <c r="H126" s="82" t="n"/>
      <c r="I126" s="82" t="n"/>
      <c r="J126" s="82" t="n"/>
    </row>
    <row r="127">
      <c r="A127" s="82" t="n"/>
      <c r="B127" s="82" t="n"/>
      <c r="C127" s="82" t="n"/>
      <c r="D127" s="82" t="n"/>
      <c r="E127" s="82" t="n"/>
      <c r="F127" s="82" t="n"/>
      <c r="G127" s="82" t="n"/>
      <c r="H127" s="82" t="n"/>
      <c r="I127" s="82" t="n"/>
      <c r="J127" s="82" t="n"/>
    </row>
    <row r="128">
      <c r="A128" s="82" t="n"/>
      <c r="B128" s="82" t="n"/>
      <c r="C128" s="82" t="n"/>
      <c r="D128" s="82" t="n"/>
      <c r="E128" s="82" t="n"/>
      <c r="F128" s="82" t="n"/>
      <c r="G128" s="82" t="n"/>
      <c r="H128" s="82" t="n"/>
      <c r="I128" s="82" t="n"/>
      <c r="J128" s="82" t="n"/>
    </row>
    <row r="129">
      <c r="A129" s="82" t="n"/>
      <c r="B129" s="82" t="n"/>
      <c r="C129" s="82" t="n"/>
      <c r="D129" s="82" t="n"/>
      <c r="E129" s="82" t="n"/>
      <c r="F129" s="82" t="n"/>
      <c r="G129" s="82" t="n"/>
      <c r="H129" s="82" t="n"/>
      <c r="I129" s="82" t="n"/>
      <c r="J129" s="82" t="n"/>
    </row>
    <row r="130">
      <c r="A130" s="82" t="n"/>
      <c r="B130" s="82" t="n"/>
      <c r="C130" s="82" t="n"/>
      <c r="D130" s="82" t="n"/>
      <c r="E130" s="82" t="n"/>
      <c r="F130" s="82" t="n"/>
      <c r="G130" s="82" t="n"/>
      <c r="H130" s="82" t="n"/>
      <c r="I130" s="82" t="n"/>
      <c r="J130" s="82" t="n"/>
    </row>
    <row r="131">
      <c r="A131" s="82" t="n"/>
      <c r="B131" s="82" t="n"/>
      <c r="C131" s="82" t="n"/>
      <c r="D131" s="82" t="n"/>
      <c r="E131" s="82" t="n"/>
      <c r="F131" s="82" t="n"/>
      <c r="G131" s="82" t="n"/>
      <c r="H131" s="82" t="n"/>
      <c r="I131" s="82" t="n"/>
      <c r="J131" s="82" t="n"/>
    </row>
    <row r="132">
      <c r="A132" s="82" t="n"/>
      <c r="B132" s="82" t="n"/>
      <c r="C132" s="82" t="n"/>
      <c r="D132" s="82" t="n"/>
      <c r="E132" s="82" t="n"/>
      <c r="F132" s="82" t="n"/>
      <c r="G132" s="82" t="n"/>
      <c r="H132" s="82" t="n"/>
      <c r="I132" s="82" t="n"/>
      <c r="J132" s="82" t="n"/>
    </row>
    <row r="133">
      <c r="A133" s="82" t="n"/>
      <c r="B133" s="82" t="n"/>
      <c r="C133" s="82" t="n"/>
      <c r="D133" s="82" t="n"/>
      <c r="E133" s="82" t="n"/>
      <c r="F133" s="82" t="n"/>
      <c r="G133" s="82" t="n"/>
      <c r="H133" s="82" t="n"/>
      <c r="I133" s="82" t="n"/>
      <c r="J133" s="82" t="n"/>
    </row>
    <row r="134">
      <c r="A134" s="82" t="n"/>
      <c r="B134" s="82" t="n"/>
      <c r="C134" s="82" t="n"/>
      <c r="D134" s="82" t="n"/>
      <c r="E134" s="82" t="n"/>
      <c r="F134" s="82" t="n"/>
      <c r="G134" s="82" t="n"/>
      <c r="H134" s="82" t="n"/>
      <c r="I134" s="82" t="n"/>
      <c r="J134" s="82" t="n"/>
    </row>
    <row r="135">
      <c r="A135" s="82" t="n"/>
      <c r="B135" s="82" t="n"/>
      <c r="C135" s="82" t="n"/>
      <c r="D135" s="82" t="n"/>
      <c r="E135" s="82" t="n"/>
      <c r="F135" s="82" t="n"/>
      <c r="G135" s="82" t="n"/>
      <c r="H135" s="82" t="n"/>
      <c r="I135" s="82" t="n"/>
      <c r="J135" s="82" t="n"/>
    </row>
    <row r="136">
      <c r="A136" s="82" t="n"/>
      <c r="B136" s="82" t="n"/>
      <c r="C136" s="82" t="n"/>
      <c r="D136" s="82" t="n"/>
      <c r="E136" s="82" t="n"/>
      <c r="F136" s="82" t="n"/>
      <c r="G136" s="82" t="n"/>
      <c r="H136" s="82" t="n"/>
      <c r="I136" s="82" t="n"/>
      <c r="J136" s="82" t="n"/>
    </row>
    <row r="137">
      <c r="A137" s="82" t="n"/>
      <c r="B137" s="82" t="n"/>
      <c r="C137" s="82" t="n"/>
      <c r="D137" s="82" t="n"/>
      <c r="E137" s="82" t="n"/>
      <c r="F137" s="82" t="n"/>
      <c r="G137" s="82" t="n"/>
      <c r="H137" s="82" t="n"/>
      <c r="I137" s="82" t="n"/>
      <c r="J137" s="82" t="n"/>
    </row>
    <row r="138">
      <c r="A138" s="82" t="n"/>
      <c r="B138" s="82" t="n"/>
      <c r="C138" s="82" t="n"/>
      <c r="D138" s="82" t="n"/>
      <c r="E138" s="82" t="n"/>
      <c r="F138" s="82" t="n"/>
      <c r="G138" s="82" t="n"/>
      <c r="H138" s="82" t="n"/>
      <c r="I138" s="82" t="n"/>
      <c r="J138" s="82" t="n"/>
    </row>
    <row r="139">
      <c r="A139" s="82" t="n"/>
      <c r="B139" s="82" t="n"/>
      <c r="C139" s="82" t="n"/>
      <c r="D139" s="82" t="n"/>
      <c r="E139" s="82" t="n"/>
      <c r="F139" s="82" t="n"/>
      <c r="G139" s="82" t="n"/>
      <c r="H139" s="82" t="n"/>
      <c r="I139" s="82" t="n"/>
      <c r="J139" s="82" t="n"/>
    </row>
    <row r="140">
      <c r="A140" s="82" t="n"/>
      <c r="B140" s="82" t="n"/>
      <c r="C140" s="82" t="n"/>
      <c r="D140" s="82" t="n"/>
      <c r="E140" s="82" t="n"/>
      <c r="F140" s="82" t="n"/>
      <c r="G140" s="82" t="n"/>
      <c r="H140" s="82" t="n"/>
      <c r="I140" s="82" t="n"/>
      <c r="J140" s="82" t="n"/>
    </row>
    <row r="141">
      <c r="A141" s="82" t="n"/>
      <c r="B141" s="82" t="n"/>
      <c r="C141" s="82" t="n"/>
      <c r="D141" s="82" t="n"/>
      <c r="E141" s="82" t="n"/>
      <c r="F141" s="82" t="n"/>
      <c r="G141" s="82" t="n"/>
      <c r="H141" s="82" t="n"/>
      <c r="I141" s="82" t="n"/>
      <c r="J141" s="82" t="n"/>
    </row>
    <row r="142">
      <c r="A142" s="82" t="n"/>
      <c r="B142" s="82" t="n"/>
      <c r="C142" s="82" t="n"/>
      <c r="D142" s="82" t="n"/>
      <c r="E142" s="82" t="n"/>
      <c r="F142" s="82" t="n"/>
      <c r="G142" s="82" t="n"/>
      <c r="H142" s="82" t="n"/>
      <c r="I142" s="82" t="n"/>
      <c r="J142" s="82" t="n"/>
    </row>
    <row r="143">
      <c r="A143" s="82" t="n"/>
      <c r="B143" s="82" t="n"/>
      <c r="C143" s="82" t="n"/>
      <c r="D143" s="82" t="n"/>
      <c r="E143" s="82" t="n"/>
      <c r="F143" s="82" t="n"/>
      <c r="G143" s="82" t="n"/>
      <c r="H143" s="82" t="n"/>
      <c r="I143" s="82" t="n"/>
      <c r="J143" s="82" t="n"/>
    </row>
    <row r="144">
      <c r="A144" s="82" t="n"/>
      <c r="B144" s="82" t="n"/>
      <c r="C144" s="82" t="n"/>
      <c r="D144" s="82" t="n"/>
      <c r="E144" s="82" t="n"/>
      <c r="F144" s="82" t="n"/>
      <c r="G144" s="82" t="n"/>
      <c r="H144" s="82" t="n"/>
      <c r="I144" s="82" t="n"/>
      <c r="J144" s="82" t="n"/>
    </row>
    <row r="145">
      <c r="A145" s="82" t="n"/>
      <c r="B145" s="82" t="n"/>
      <c r="C145" s="82" t="n"/>
      <c r="D145" s="82" t="n"/>
      <c r="E145" s="82" t="n"/>
      <c r="F145" s="82" t="n"/>
      <c r="G145" s="82" t="n"/>
      <c r="H145" s="82" t="n"/>
      <c r="I145" s="82" t="n"/>
      <c r="J145" s="82" t="n"/>
    </row>
    <row r="146">
      <c r="A146" s="82" t="n"/>
      <c r="B146" s="82" t="n"/>
      <c r="C146" s="82" t="n"/>
      <c r="D146" s="82" t="n"/>
      <c r="E146" s="82" t="n"/>
      <c r="F146" s="82" t="n"/>
      <c r="G146" s="82" t="n"/>
      <c r="H146" s="82" t="n"/>
      <c r="I146" s="82" t="n"/>
      <c r="J146" s="82" t="n"/>
    </row>
    <row r="147">
      <c r="A147" s="82" t="n"/>
      <c r="B147" s="82" t="n"/>
      <c r="C147" s="82" t="n"/>
      <c r="D147" s="82" t="n"/>
      <c r="E147" s="82" t="n"/>
      <c r="F147" s="82" t="n"/>
      <c r="G147" s="82" t="n"/>
      <c r="H147" s="82" t="n"/>
      <c r="I147" s="82" t="n"/>
      <c r="J147" s="82" t="n"/>
    </row>
    <row r="148">
      <c r="A148" s="82" t="n"/>
      <c r="B148" s="82" t="n"/>
      <c r="C148" s="82" t="n"/>
      <c r="D148" s="82" t="n"/>
      <c r="E148" s="82" t="n"/>
      <c r="F148" s="82" t="n"/>
      <c r="G148" s="82" t="n"/>
      <c r="H148" s="82" t="n"/>
      <c r="I148" s="82" t="n"/>
      <c r="J148" s="82" t="n"/>
    </row>
    <row r="149">
      <c r="A149" s="82" t="n"/>
      <c r="B149" s="82" t="n"/>
      <c r="C149" s="82" t="n"/>
      <c r="D149" s="82" t="n"/>
      <c r="E149" s="82" t="n"/>
      <c r="F149" s="82" t="n"/>
      <c r="G149" s="82" t="n"/>
      <c r="H149" s="82" t="n"/>
      <c r="I149" s="82" t="n"/>
      <c r="J149" s="82" t="n"/>
    </row>
    <row r="150">
      <c r="A150" s="82" t="n"/>
      <c r="B150" s="82" t="n"/>
      <c r="C150" s="82" t="n"/>
      <c r="D150" s="82" t="n"/>
      <c r="E150" s="82" t="n"/>
      <c r="F150" s="82" t="n"/>
      <c r="G150" s="82" t="n"/>
      <c r="H150" s="82" t="n"/>
      <c r="I150" s="82" t="n"/>
      <c r="J150" s="82" t="n"/>
    </row>
    <row r="151">
      <c r="A151" s="82" t="n"/>
      <c r="B151" s="82" t="n"/>
      <c r="C151" s="82" t="n"/>
      <c r="D151" s="82" t="n"/>
      <c r="E151" s="82" t="n"/>
      <c r="F151" s="82" t="n"/>
      <c r="G151" s="82" t="n"/>
      <c r="H151" s="82" t="n"/>
      <c r="I151" s="82" t="n"/>
      <c r="J151" s="82" t="n"/>
    </row>
    <row r="152">
      <c r="A152" s="82" t="n"/>
      <c r="B152" s="82" t="n"/>
      <c r="C152" s="82" t="n"/>
      <c r="D152" s="82" t="n"/>
      <c r="E152" s="82" t="n"/>
      <c r="F152" s="82" t="n"/>
      <c r="G152" s="82" t="n"/>
      <c r="H152" s="82" t="n"/>
      <c r="I152" s="82" t="n"/>
      <c r="J152" s="82" t="n"/>
    </row>
    <row r="153">
      <c r="A153" s="82" t="n"/>
      <c r="B153" s="82" t="n"/>
      <c r="C153" s="82" t="n"/>
      <c r="D153" s="82" t="n"/>
      <c r="E153" s="82" t="n"/>
      <c r="F153" s="82" t="n"/>
      <c r="G153" s="82" t="n"/>
      <c r="H153" s="82" t="n"/>
      <c r="I153" s="82" t="n"/>
      <c r="J153" s="82" t="n"/>
    </row>
    <row r="154">
      <c r="A154" s="82" t="n"/>
      <c r="B154" s="82" t="n"/>
      <c r="C154" s="82" t="n"/>
      <c r="D154" s="82" t="n"/>
      <c r="E154" s="82" t="n"/>
      <c r="F154" s="82" t="n"/>
      <c r="G154" s="82" t="n"/>
      <c r="H154" s="82" t="n"/>
      <c r="I154" s="82" t="n"/>
      <c r="J154" s="82" t="n"/>
    </row>
    <row r="155">
      <c r="A155" s="82" t="n"/>
      <c r="B155" s="82" t="n"/>
      <c r="C155" s="82" t="n"/>
      <c r="D155" s="82" t="n"/>
      <c r="E155" s="82" t="n"/>
      <c r="F155" s="82" t="n"/>
      <c r="G155" s="82" t="n"/>
      <c r="H155" s="82" t="n"/>
      <c r="I155" s="82" t="n"/>
      <c r="J155" s="82" t="n"/>
    </row>
    <row r="156">
      <c r="A156" s="82" t="n"/>
      <c r="B156" s="82" t="n"/>
      <c r="C156" s="82" t="n"/>
      <c r="D156" s="82" t="n"/>
      <c r="E156" s="82" t="n"/>
      <c r="F156" s="82" t="n"/>
      <c r="G156" s="82" t="n"/>
      <c r="H156" s="82" t="n"/>
      <c r="I156" s="82" t="n"/>
      <c r="J156" s="82" t="n"/>
    </row>
    <row r="157">
      <c r="A157" s="82" t="n"/>
      <c r="B157" s="82" t="n"/>
      <c r="C157" s="82" t="n"/>
      <c r="D157" s="82" t="n"/>
      <c r="E157" s="82" t="n"/>
      <c r="F157" s="82" t="n"/>
      <c r="G157" s="82" t="n"/>
      <c r="H157" s="82" t="n"/>
      <c r="I157" s="82" t="n"/>
      <c r="J157" s="82" t="n"/>
    </row>
    <row r="158">
      <c r="A158" s="82" t="n"/>
      <c r="B158" s="82" t="n"/>
      <c r="C158" s="82" t="n"/>
      <c r="D158" s="82" t="n"/>
      <c r="E158" s="82" t="n"/>
      <c r="F158" s="82" t="n"/>
      <c r="G158" s="82" t="n"/>
      <c r="H158" s="82" t="n"/>
      <c r="I158" s="82" t="n"/>
      <c r="J158" s="82" t="n"/>
    </row>
    <row r="159">
      <c r="A159" s="82" t="n"/>
      <c r="B159" s="82" t="n"/>
      <c r="C159" s="82" t="n"/>
      <c r="D159" s="82" t="n"/>
      <c r="E159" s="82" t="n"/>
      <c r="F159" s="82" t="n"/>
      <c r="G159" s="82" t="n"/>
      <c r="H159" s="82" t="n"/>
      <c r="I159" s="82" t="n"/>
      <c r="J159" s="82" t="n"/>
    </row>
    <row r="160">
      <c r="A160" s="82" t="n"/>
      <c r="B160" s="82" t="n"/>
      <c r="C160" s="82" t="n"/>
      <c r="D160" s="82" t="n"/>
      <c r="E160" s="82" t="n"/>
      <c r="F160" s="82" t="n"/>
      <c r="G160" s="82" t="n"/>
      <c r="H160" s="82" t="n"/>
      <c r="I160" s="82" t="n"/>
      <c r="J160" s="82" t="n"/>
    </row>
    <row r="161">
      <c r="A161" s="82" t="n"/>
      <c r="B161" s="82" t="n"/>
      <c r="C161" s="82" t="n"/>
      <c r="D161" s="82" t="n"/>
      <c r="E161" s="82" t="n"/>
      <c r="F161" s="82" t="n"/>
      <c r="G161" s="82" t="n"/>
      <c r="H161" s="82" t="n"/>
      <c r="I161" s="82" t="n"/>
      <c r="J161" s="82" t="n"/>
    </row>
    <row r="162">
      <c r="A162" s="82" t="n"/>
      <c r="B162" s="82" t="n"/>
      <c r="C162" s="82" t="n"/>
      <c r="D162" s="82" t="n"/>
      <c r="E162" s="82" t="n"/>
      <c r="F162" s="82" t="n"/>
      <c r="G162" s="82" t="n"/>
      <c r="H162" s="82" t="n"/>
      <c r="I162" s="82" t="n"/>
      <c r="J162" s="82" t="n"/>
    </row>
    <row r="163">
      <c r="A163" s="82" t="n"/>
      <c r="B163" s="82" t="n"/>
      <c r="C163" s="82" t="n"/>
      <c r="D163" s="82" t="n"/>
      <c r="E163" s="82" t="n"/>
      <c r="F163" s="82" t="n"/>
      <c r="G163" s="82" t="n"/>
      <c r="H163" s="82" t="n"/>
      <c r="I163" s="82" t="n"/>
      <c r="J163" s="82" t="n"/>
    </row>
    <row r="164">
      <c r="A164" s="82" t="n"/>
      <c r="B164" s="82" t="n"/>
      <c r="C164" s="82" t="n"/>
      <c r="D164" s="82" t="n"/>
      <c r="E164" s="82" t="n"/>
      <c r="F164" s="82" t="n"/>
      <c r="G164" s="82" t="n"/>
      <c r="H164" s="82" t="n"/>
      <c r="I164" s="82" t="n"/>
      <c r="J164" s="82" t="n"/>
    </row>
    <row r="165">
      <c r="A165" s="82" t="n"/>
      <c r="B165" s="82" t="n"/>
      <c r="C165" s="82" t="n"/>
      <c r="D165" s="82" t="n"/>
      <c r="E165" s="82" t="n"/>
      <c r="F165" s="82" t="n"/>
      <c r="G165" s="82" t="n"/>
      <c r="H165" s="82" t="n"/>
      <c r="I165" s="82" t="n"/>
      <c r="J165" s="82" t="n"/>
    </row>
    <row r="166">
      <c r="A166" s="82" t="n"/>
      <c r="B166" s="82" t="n"/>
      <c r="C166" s="82" t="n"/>
      <c r="D166" s="82" t="n"/>
      <c r="E166" s="82" t="n"/>
      <c r="F166" s="82" t="n"/>
      <c r="G166" s="82" t="n"/>
      <c r="H166" s="82" t="n"/>
      <c r="I166" s="82" t="n"/>
      <c r="J166" s="82" t="n"/>
    </row>
    <row r="167">
      <c r="A167" s="82" t="n"/>
      <c r="B167" s="82" t="n"/>
      <c r="C167" s="82" t="n"/>
      <c r="D167" s="82" t="n"/>
      <c r="E167" s="82" t="n"/>
      <c r="F167" s="82" t="n"/>
      <c r="G167" s="82" t="n"/>
      <c r="H167" s="82" t="n"/>
      <c r="I167" s="82" t="n"/>
      <c r="J167" s="82" t="n"/>
    </row>
    <row r="168">
      <c r="A168" s="82" t="n"/>
      <c r="B168" s="82" t="n"/>
      <c r="C168" s="82" t="n"/>
      <c r="D168" s="82" t="n"/>
      <c r="E168" s="82" t="n"/>
      <c r="F168" s="82" t="n"/>
      <c r="G168" s="82" t="n"/>
      <c r="H168" s="82" t="n"/>
      <c r="I168" s="82" t="n"/>
      <c r="J168" s="82" t="n"/>
    </row>
    <row r="169">
      <c r="A169" s="82" t="n"/>
      <c r="B169" s="82" t="n"/>
      <c r="C169" s="82" t="n"/>
      <c r="D169" s="82" t="n"/>
      <c r="E169" s="82" t="n"/>
      <c r="F169" s="82" t="n"/>
      <c r="G169" s="82" t="n"/>
      <c r="H169" s="82" t="n"/>
      <c r="I169" s="82" t="n"/>
      <c r="J169" s="82" t="n"/>
    </row>
    <row r="170">
      <c r="A170" s="82" t="n"/>
      <c r="B170" s="82" t="n"/>
      <c r="C170" s="82" t="n"/>
      <c r="D170" s="82" t="n"/>
      <c r="E170" s="82" t="n"/>
      <c r="F170" s="82" t="n"/>
      <c r="G170" s="82" t="n"/>
      <c r="H170" s="82" t="n"/>
      <c r="I170" s="82" t="n"/>
      <c r="J170" s="82" t="n"/>
    </row>
    <row r="171">
      <c r="A171" s="82" t="n"/>
      <c r="B171" s="82" t="n"/>
      <c r="C171" s="82" t="n"/>
      <c r="D171" s="82" t="n"/>
      <c r="E171" s="82" t="n"/>
      <c r="F171" s="82" t="n"/>
      <c r="G171" s="82" t="n"/>
      <c r="H171" s="82" t="n"/>
      <c r="I171" s="82" t="n"/>
      <c r="J171" s="82" t="n"/>
    </row>
    <row r="172">
      <c r="A172" s="82" t="n"/>
      <c r="B172" s="82" t="n"/>
      <c r="C172" s="82" t="n"/>
      <c r="D172" s="82" t="n"/>
      <c r="E172" s="82" t="n"/>
      <c r="F172" s="82" t="n"/>
      <c r="G172" s="82" t="n"/>
      <c r="H172" s="82" t="n"/>
      <c r="I172" s="82" t="n"/>
      <c r="J172" s="82" t="n"/>
    </row>
    <row r="173">
      <c r="A173" s="82" t="n"/>
      <c r="B173" s="82" t="n"/>
      <c r="C173" s="82" t="n"/>
      <c r="D173" s="82" t="n"/>
      <c r="E173" s="82" t="n"/>
      <c r="F173" s="82" t="n"/>
      <c r="G173" s="82" t="n"/>
      <c r="H173" s="82" t="n"/>
      <c r="I173" s="82" t="n"/>
      <c r="J173" s="82" t="n"/>
    </row>
    <row r="174">
      <c r="A174" s="82" t="n"/>
      <c r="B174" s="82" t="n"/>
      <c r="C174" s="82" t="n"/>
      <c r="D174" s="82" t="n"/>
      <c r="E174" s="82" t="n"/>
      <c r="F174" s="82" t="n"/>
      <c r="G174" s="82" t="n"/>
      <c r="H174" s="82" t="n"/>
      <c r="I174" s="82" t="n"/>
      <c r="J174" s="82" t="n"/>
    </row>
    <row r="175">
      <c r="A175" s="82" t="n"/>
      <c r="B175" s="82" t="n"/>
      <c r="C175" s="82" t="n"/>
      <c r="D175" s="82" t="n"/>
      <c r="E175" s="82" t="n"/>
      <c r="F175" s="82" t="n"/>
      <c r="G175" s="82" t="n"/>
      <c r="H175" s="82" t="n"/>
      <c r="I175" s="82" t="n"/>
      <c r="J175" s="82" t="n"/>
    </row>
    <row r="176">
      <c r="A176" s="82" t="n"/>
      <c r="B176" s="82" t="n"/>
      <c r="C176" s="82" t="n"/>
      <c r="D176" s="82" t="n"/>
      <c r="E176" s="82" t="n"/>
      <c r="F176" s="82" t="n"/>
      <c r="G176" s="82" t="n"/>
      <c r="H176" s="82" t="n"/>
      <c r="I176" s="82" t="n"/>
      <c r="J176" s="82" t="n"/>
    </row>
    <row r="177">
      <c r="A177" s="82" t="n"/>
      <c r="B177" s="82" t="n"/>
      <c r="C177" s="82" t="n"/>
      <c r="D177" s="82" t="n"/>
      <c r="E177" s="82" t="n"/>
      <c r="F177" s="82" t="n"/>
      <c r="G177" s="82" t="n"/>
      <c r="H177" s="82" t="n"/>
      <c r="I177" s="82" t="n"/>
      <c r="J177" s="82" t="n"/>
    </row>
    <row r="178">
      <c r="A178" s="82" t="n"/>
      <c r="B178" s="82" t="n"/>
      <c r="C178" s="82" t="n"/>
      <c r="D178" s="82" t="n"/>
      <c r="E178" s="82" t="n"/>
      <c r="F178" s="82" t="n"/>
      <c r="G178" s="82" t="n"/>
      <c r="H178" s="82" t="n"/>
      <c r="I178" s="82" t="n"/>
      <c r="J178" s="82" t="n"/>
    </row>
    <row r="179">
      <c r="A179" s="82" t="n"/>
      <c r="B179" s="82" t="n"/>
      <c r="C179" s="82" t="n"/>
      <c r="D179" s="82" t="n"/>
      <c r="E179" s="82" t="n"/>
      <c r="F179" s="82" t="n"/>
      <c r="G179" s="82" t="n"/>
      <c r="H179" s="82" t="n"/>
      <c r="I179" s="82" t="n"/>
      <c r="J179" s="82" t="n"/>
    </row>
    <row r="180">
      <c r="A180" s="82" t="n"/>
      <c r="B180" s="82" t="n"/>
      <c r="C180" s="82" t="n"/>
      <c r="D180" s="82" t="n"/>
      <c r="E180" s="82" t="n"/>
      <c r="F180" s="82" t="n"/>
      <c r="G180" s="82" t="n"/>
      <c r="H180" s="82" t="n"/>
      <c r="I180" s="82" t="n"/>
      <c r="J180" s="82" t="n"/>
    </row>
    <row r="181">
      <c r="A181" s="82" t="n"/>
      <c r="B181" s="82" t="n"/>
      <c r="C181" s="82" t="n"/>
      <c r="D181" s="82" t="n"/>
      <c r="E181" s="82" t="n"/>
      <c r="F181" s="82" t="n"/>
      <c r="G181" s="82" t="n"/>
      <c r="H181" s="82" t="n"/>
      <c r="I181" s="82" t="n"/>
      <c r="J181" s="82" t="n"/>
    </row>
    <row r="182">
      <c r="A182" s="82" t="n"/>
      <c r="B182" s="82" t="n"/>
      <c r="C182" s="82" t="n"/>
      <c r="D182" s="82" t="n"/>
      <c r="E182" s="82" t="n"/>
      <c r="F182" s="82" t="n"/>
      <c r="G182" s="82" t="n"/>
      <c r="H182" s="82" t="n"/>
      <c r="I182" s="82" t="n"/>
      <c r="J182" s="82" t="n"/>
    </row>
    <row r="183">
      <c r="A183" s="82" t="n"/>
      <c r="B183" s="82" t="n"/>
      <c r="C183" s="82" t="n"/>
      <c r="D183" s="82" t="n"/>
      <c r="E183" s="82" t="n"/>
      <c r="F183" s="82" t="n"/>
      <c r="G183" s="82" t="n"/>
      <c r="H183" s="82" t="n"/>
      <c r="I183" s="82" t="n"/>
      <c r="J183" s="82" t="n"/>
    </row>
    <row r="184">
      <c r="A184" s="82" t="n"/>
      <c r="B184" s="82" t="n"/>
      <c r="C184" s="82" t="n"/>
      <c r="D184" s="82" t="n"/>
      <c r="E184" s="82" t="n"/>
      <c r="F184" s="82" t="n"/>
      <c r="G184" s="82" t="n"/>
      <c r="H184" s="82" t="n"/>
      <c r="I184" s="82" t="n"/>
      <c r="J184" s="82" t="n"/>
    </row>
    <row r="185">
      <c r="A185" s="82" t="n"/>
      <c r="B185" s="82" t="n"/>
      <c r="C185" s="82" t="n"/>
      <c r="D185" s="82" t="n"/>
      <c r="E185" s="82" t="n"/>
      <c r="F185" s="82" t="n"/>
      <c r="G185" s="82" t="n"/>
      <c r="H185" s="82" t="n"/>
      <c r="I185" s="82" t="n"/>
      <c r="J185" s="82" t="n"/>
    </row>
    <row r="186">
      <c r="A186" s="82" t="n"/>
      <c r="B186" s="82" t="n"/>
      <c r="C186" s="82" t="n"/>
      <c r="D186" s="82" t="n"/>
      <c r="E186" s="82" t="n"/>
      <c r="F186" s="82" t="n"/>
      <c r="G186" s="82" t="n"/>
      <c r="H186" s="82" t="n"/>
      <c r="I186" s="82" t="n"/>
      <c r="J186" s="82" t="n"/>
    </row>
    <row r="187">
      <c r="A187" s="82" t="n"/>
      <c r="B187" s="82" t="n"/>
      <c r="C187" s="82" t="n"/>
      <c r="D187" s="82" t="n"/>
      <c r="E187" s="82" t="n"/>
      <c r="F187" s="82" t="n"/>
      <c r="G187" s="82" t="n"/>
      <c r="H187" s="82" t="n"/>
      <c r="I187" s="82" t="n"/>
      <c r="J187" s="82" t="n"/>
    </row>
    <row r="188">
      <c r="A188" s="82" t="n"/>
      <c r="B188" s="82" t="n"/>
      <c r="C188" s="82" t="n"/>
      <c r="D188" s="82" t="n"/>
      <c r="E188" s="82" t="n"/>
      <c r="F188" s="82" t="n"/>
      <c r="G188" s="82" t="n"/>
      <c r="H188" s="82" t="n"/>
      <c r="I188" s="82" t="n"/>
      <c r="J188" s="82" t="n"/>
    </row>
    <row r="189">
      <c r="A189" s="82" t="n"/>
      <c r="B189" s="82" t="n"/>
      <c r="C189" s="82" t="n"/>
      <c r="D189" s="82" t="n"/>
      <c r="E189" s="82" t="n"/>
      <c r="F189" s="82" t="n"/>
      <c r="G189" s="82" t="n"/>
      <c r="H189" s="82" t="n"/>
      <c r="I189" s="82" t="n"/>
      <c r="J189" s="82" t="n"/>
    </row>
    <row r="190">
      <c r="A190" s="82" t="n"/>
      <c r="B190" s="82" t="n"/>
      <c r="C190" s="82" t="n"/>
      <c r="D190" s="82" t="n"/>
      <c r="E190" s="82" t="n"/>
      <c r="F190" s="82" t="n"/>
      <c r="G190" s="82" t="n"/>
      <c r="H190" s="82" t="n"/>
      <c r="I190" s="82" t="n"/>
      <c r="J190" s="82" t="n"/>
    </row>
    <row r="191">
      <c r="A191" s="82" t="n"/>
      <c r="B191" s="82" t="n"/>
      <c r="C191" s="82" t="n"/>
      <c r="D191" s="82" t="n"/>
      <c r="E191" s="82" t="n"/>
      <c r="F191" s="82" t="n"/>
      <c r="G191" s="82" t="n"/>
      <c r="H191" s="82" t="n"/>
      <c r="I191" s="82" t="n"/>
      <c r="J191" s="82" t="n"/>
    </row>
    <row r="192">
      <c r="A192" s="82" t="n"/>
      <c r="B192" s="82" t="n"/>
      <c r="C192" s="82" t="n"/>
      <c r="D192" s="82" t="n"/>
      <c r="E192" s="82" t="n"/>
      <c r="F192" s="82" t="n"/>
      <c r="G192" s="82" t="n"/>
      <c r="H192" s="82" t="n"/>
      <c r="I192" s="82" t="n"/>
      <c r="J192" s="82" t="n"/>
    </row>
    <row r="193">
      <c r="A193" s="82" t="n"/>
      <c r="B193" s="82" t="n"/>
      <c r="C193" s="82" t="n"/>
      <c r="D193" s="82" t="n"/>
      <c r="E193" s="82" t="n"/>
      <c r="F193" s="82" t="n"/>
      <c r="G193" s="82" t="n"/>
      <c r="H193" s="82" t="n"/>
      <c r="I193" s="82" t="n"/>
      <c r="J193" s="82" t="n"/>
    </row>
    <row r="194">
      <c r="A194" s="82" t="n"/>
      <c r="B194" s="82" t="n"/>
      <c r="C194" s="82" t="n"/>
      <c r="D194" s="82" t="n"/>
      <c r="E194" s="82" t="n"/>
      <c r="F194" s="82" t="n"/>
      <c r="G194" s="82" t="n"/>
      <c r="H194" s="82" t="n"/>
      <c r="I194" s="82" t="n"/>
      <c r="J194" s="82" t="n"/>
    </row>
    <row r="195">
      <c r="A195" s="82" t="n"/>
      <c r="B195" s="82" t="n"/>
      <c r="C195" s="82" t="n"/>
      <c r="D195" s="82" t="n"/>
      <c r="E195" s="82" t="n"/>
      <c r="F195" s="82" t="n"/>
      <c r="G195" s="82" t="n"/>
      <c r="H195" s="82" t="n"/>
      <c r="I195" s="82" t="n"/>
      <c r="J195" s="82" t="n"/>
    </row>
    <row r="196">
      <c r="A196" s="82" t="n"/>
      <c r="B196" s="82" t="n"/>
      <c r="C196" s="82" t="n"/>
      <c r="D196" s="82" t="n"/>
      <c r="E196" s="82" t="n"/>
      <c r="F196" s="82" t="n"/>
      <c r="G196" s="82" t="n"/>
      <c r="H196" s="82" t="n"/>
      <c r="I196" s="82" t="n"/>
      <c r="J196" s="82" t="n"/>
    </row>
    <row r="197">
      <c r="A197" s="82" t="n"/>
      <c r="B197" s="82" t="n"/>
      <c r="C197" s="82" t="n"/>
      <c r="D197" s="82" t="n"/>
      <c r="E197" s="82" t="n"/>
      <c r="F197" s="82" t="n"/>
      <c r="G197" s="82" t="n"/>
      <c r="H197" s="82" t="n"/>
      <c r="I197" s="82" t="n"/>
      <c r="J197" s="82" t="n"/>
    </row>
    <row r="198">
      <c r="A198" s="82" t="n"/>
      <c r="B198" s="82" t="n"/>
      <c r="C198" s="82" t="n"/>
      <c r="D198" s="82" t="n"/>
      <c r="E198" s="82" t="n"/>
      <c r="F198" s="82" t="n"/>
      <c r="G198" s="82" t="n"/>
      <c r="H198" s="82" t="n"/>
      <c r="I198" s="82" t="n"/>
      <c r="J198" s="82" t="n"/>
    </row>
    <row r="199">
      <c r="A199" s="82" t="n"/>
      <c r="B199" s="82" t="n"/>
      <c r="C199" s="82" t="n"/>
      <c r="D199" s="82" t="n"/>
      <c r="E199" s="82" t="n"/>
      <c r="F199" s="82" t="n"/>
      <c r="G199" s="82" t="n"/>
      <c r="H199" s="82" t="n"/>
      <c r="I199" s="82" t="n"/>
      <c r="J199" s="82" t="n"/>
    </row>
    <row r="200">
      <c r="A200" s="82" t="n"/>
      <c r="B200" s="82" t="n"/>
      <c r="C200" s="82" t="n"/>
      <c r="D200" s="82" t="n"/>
      <c r="E200" s="82" t="n"/>
      <c r="F200" s="82" t="n"/>
      <c r="G200" s="82" t="n"/>
      <c r="H200" s="82" t="n"/>
      <c r="I200" s="82" t="n"/>
      <c r="J200" s="82" t="n"/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autoFilter ref="A4:J9"/>
  <mergeCells count="2">
    <mergeCell ref="A1:J1"/>
    <mergeCell ref="A2:J2"/>
  </mergeCells>
  <conditionalFormatting sqref="I5:I80">
    <cfRule type="expression" priority="1" dxfId="8">
      <formula>I5="Draft"</formula>
    </cfRule>
    <cfRule type="expression" priority="2" dxfId="2">
      <formula>I5="Submitted"</formula>
    </cfRule>
    <cfRule type="expression" priority="3" dxfId="1">
      <formula>I5="Approved"</formula>
    </cfRule>
    <cfRule type="expression" priority="4" dxfId="4">
      <formula>I5="Rejected"</formula>
    </cfRule>
    <cfRule type="expression" priority="5" dxfId="0">
      <formula>I5="Implemented"</formula>
    </cfRule>
  </conditionalFormatting>
  <dataValidations count="1">
    <dataValidation sqref="I5:I80" showDropDown="0" showInputMessage="0" showErrorMessage="1" allowBlank="1" errorTitle="Invalid value" error="Pick a value from the list." type="list">
      <formula1>=CO_Status</formula1>
    </dataValidation>
  </dataValidations>
  <pageMargins left="0.4" right="0.4" top="0.6" bottom="0.5" header="0.25" footer="0.25"/>
  <pageSetup orientation="landscape" paperSize="3" fitToHeight="0" fitToWidth="1"/>
  <headerFooter>
    <oddHeader>&amp;LNovality Store  ·  Home Renovation System&amp;RChange Orders</oddHeader>
    <oddFooter>&amp;LConfidential  ·  Digital twin of the home&amp;RPage 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tabColor rgb="00D99A3D"/>
    <outlinePr summaryBelow="1" summaryRight="1"/>
    <pageSetUpPr fitToPage="1"/>
  </sheetPr>
  <dimension ref="A1:L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12" customWidth="1" min="5" max="5"/>
    <col width="12" customWidth="1" min="6" max="6"/>
    <col width="16" customWidth="1" min="7" max="7"/>
    <col width="10" customWidth="1" min="8" max="8"/>
    <col width="12" customWidth="1" min="9" max="9"/>
    <col width="12" customWidth="1" min="10" max="10"/>
    <col width="28" customWidth="1" min="11" max="11"/>
    <col width="14" customWidth="1" min="12" max="12"/>
  </cols>
  <sheetData>
    <row r="1" ht="28" customHeight="1">
      <c r="A1" s="1" t="inlineStr">
        <is>
          <t>PERMITS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Authority, fees, expiration reminders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 ht="22" customHeight="1">
      <c r="A4" s="66" t="inlineStr">
        <is>
          <t>Permit ID</t>
        </is>
      </c>
      <c r="B4" s="66" t="inlineStr">
        <is>
          <t>Project ID</t>
        </is>
      </c>
      <c r="C4" s="66" t="inlineStr">
        <is>
          <t>Type</t>
        </is>
      </c>
      <c r="D4" s="66" t="inlineStr">
        <is>
          <t>Authority</t>
        </is>
      </c>
      <c r="E4" s="66" t="inlineStr">
        <is>
          <t>Applied</t>
        </is>
      </c>
      <c r="F4" s="66" t="inlineStr">
        <is>
          <t>Approved</t>
        </is>
      </c>
      <c r="G4" s="66" t="inlineStr">
        <is>
          <t>Number</t>
        </is>
      </c>
      <c r="H4" s="66" t="inlineStr">
        <is>
          <t>Fee</t>
        </is>
      </c>
      <c r="I4" s="66" t="inlineStr">
        <is>
          <t>Expiration</t>
        </is>
      </c>
      <c r="J4" s="66" t="inlineStr">
        <is>
          <t>Status</t>
        </is>
      </c>
      <c r="K4" s="66" t="inlineStr">
        <is>
          <t>Document Link</t>
        </is>
      </c>
      <c r="L4" s="66" t="inlineStr">
        <is>
          <t>Days to Expiry</t>
        </is>
      </c>
    </row>
    <row r="5" ht="18" customHeight="1">
      <c r="A5" s="67" t="inlineStr">
        <is>
          <t>PMT-001</t>
        </is>
      </c>
      <c r="B5" s="67" t="inlineStr">
        <is>
          <t>PRJ-001</t>
        </is>
      </c>
      <c r="C5" s="67" t="inlineStr">
        <is>
          <t>Building — residential remodel</t>
        </is>
      </c>
      <c r="D5" s="67" t="inlineStr">
        <is>
          <t>City of Portland</t>
        </is>
      </c>
      <c r="E5" s="69" t="n">
        <v>46114</v>
      </c>
      <c r="F5" s="69" t="n">
        <v>46124</v>
      </c>
      <c r="G5" s="68" t="inlineStr">
        <is>
          <t>2026-REM-44182</t>
        </is>
      </c>
      <c r="H5" s="71" t="n">
        <v>840</v>
      </c>
      <c r="I5" s="70" t="n">
        <v>46489</v>
      </c>
      <c r="J5" s="67" t="inlineStr">
        <is>
          <t>Approved</t>
        </is>
      </c>
      <c r="K5" s="68" t="inlineStr">
        <is>
          <t>drive/docs/permit-441.pdf</t>
        </is>
      </c>
      <c r="L5" s="91">
        <f>IF(OR($A5="",$I5=""),"",$I5-AsOfDate)</f>
        <v/>
      </c>
    </row>
    <row r="6" ht="18" customHeight="1">
      <c r="A6" s="75" t="inlineStr">
        <is>
          <t>PMT-002</t>
        </is>
      </c>
      <c r="B6" s="75" t="inlineStr">
        <is>
          <t>PRJ-001</t>
        </is>
      </c>
      <c r="C6" s="75" t="inlineStr">
        <is>
          <t>Electrical</t>
        </is>
      </c>
      <c r="D6" s="75" t="inlineStr">
        <is>
          <t>City of Portland</t>
        </is>
      </c>
      <c r="E6" s="77" t="n">
        <v>46130</v>
      </c>
      <c r="F6" s="77" t="n">
        <v>46134</v>
      </c>
      <c r="G6" s="76" t="inlineStr">
        <is>
          <t>2026-EL-11904</t>
        </is>
      </c>
      <c r="H6" s="79" t="n">
        <v>310</v>
      </c>
      <c r="I6" s="78" t="n">
        <v>46499</v>
      </c>
      <c r="J6" s="75" t="inlineStr">
        <is>
          <t>Approved</t>
        </is>
      </c>
      <c r="K6" s="76" t="inlineStr">
        <is>
          <t>drive/docs/permit-el.pdf</t>
        </is>
      </c>
      <c r="L6" s="91">
        <f>IF(OR($A6="",$I6=""),"",$I6-AsOfDate)</f>
        <v/>
      </c>
    </row>
    <row r="7" ht="18" customHeight="1">
      <c r="A7" s="67" t="inlineStr">
        <is>
          <t>PMT-003</t>
        </is>
      </c>
      <c r="B7" s="67" t="inlineStr">
        <is>
          <t>PRJ-001</t>
        </is>
      </c>
      <c r="C7" s="67" t="inlineStr">
        <is>
          <t>Plumbing</t>
        </is>
      </c>
      <c r="D7" s="67" t="inlineStr">
        <is>
          <t>City of Portland</t>
        </is>
      </c>
      <c r="E7" s="69" t="n">
        <v>46130</v>
      </c>
      <c r="F7" s="69" t="n">
        <v>46134</v>
      </c>
      <c r="G7" s="68" t="inlineStr">
        <is>
          <t>2026-PL-7731</t>
        </is>
      </c>
      <c r="H7" s="71" t="n">
        <v>300</v>
      </c>
      <c r="I7" s="70" t="n">
        <v>46499</v>
      </c>
      <c r="J7" s="67" t="inlineStr">
        <is>
          <t>Approved</t>
        </is>
      </c>
      <c r="K7" s="68" t="inlineStr">
        <is>
          <t>drive/docs/permit-pl.pdf</t>
        </is>
      </c>
      <c r="L7" s="91">
        <f>IF(OR($A7="",$I7=""),"",$I7-AsOfDate)</f>
        <v/>
      </c>
    </row>
    <row r="8" ht="18" customHeight="1">
      <c r="A8" s="75" t="inlineStr">
        <is>
          <t>PMT-004</t>
        </is>
      </c>
      <c r="B8" s="75" t="inlineStr">
        <is>
          <t>PRJ-001</t>
        </is>
      </c>
      <c r="C8" s="75" t="inlineStr">
        <is>
          <t>Right-of-way dumpster</t>
        </is>
      </c>
      <c r="D8" s="75" t="inlineStr">
        <is>
          <t>PBOT</t>
        </is>
      </c>
      <c r="E8" s="77" t="n">
        <v>46152</v>
      </c>
      <c r="F8" s="77" t="n">
        <v>46156</v>
      </c>
      <c r="G8" s="76" t="inlineStr">
        <is>
          <t>ROW-5521</t>
        </is>
      </c>
      <c r="H8" s="79" t="n">
        <v>75</v>
      </c>
      <c r="I8" s="78" t="n">
        <v>46187</v>
      </c>
      <c r="J8" s="75" t="inlineStr">
        <is>
          <t>Closed</t>
        </is>
      </c>
      <c r="K8" s="76" t="inlineStr">
        <is>
          <t>drive/docs/row.pdf</t>
        </is>
      </c>
      <c r="L8" s="91">
        <f>IF(OR($A8="",$I8=""),"",$I8-AsOfDate)</f>
        <v/>
      </c>
    </row>
    <row r="9" ht="18" customHeight="1">
      <c r="A9" s="67" t="inlineStr">
        <is>
          <t>PMT-005</t>
        </is>
      </c>
      <c r="B9" s="67" t="inlineStr">
        <is>
          <t>PRJ-002</t>
        </is>
      </c>
      <c r="C9" s="67" t="inlineStr">
        <is>
          <t>Building — bath remodel</t>
        </is>
      </c>
      <c r="D9" s="67" t="inlineStr">
        <is>
          <t>Hood River County</t>
        </is>
      </c>
      <c r="E9" s="69" t="n"/>
      <c r="F9" s="69" t="n"/>
      <c r="G9" s="68" t="inlineStr"/>
      <c r="H9" s="71" t="n">
        <v>0</v>
      </c>
      <c r="I9" s="70" t="n"/>
      <c r="J9" s="67" t="inlineStr">
        <is>
          <t>Not Started</t>
        </is>
      </c>
      <c r="K9" s="68" t="inlineStr"/>
      <c r="L9" s="91">
        <f>IF(OR($A9="",$I9=""),"",$I9-AsOfDate)</f>
        <v/>
      </c>
    </row>
    <row r="10">
      <c r="A10" s="82" t="n"/>
      <c r="B10" s="82" t="n"/>
      <c r="C10" s="82" t="n"/>
      <c r="D10" s="82" t="n"/>
      <c r="E10" s="82" t="n"/>
      <c r="F10" s="82" t="n"/>
      <c r="G10" s="82" t="n"/>
      <c r="H10" s="82" t="n"/>
      <c r="I10" s="82" t="n"/>
      <c r="J10" s="82" t="n"/>
      <c r="K10" s="82" t="n"/>
    </row>
    <row r="11">
      <c r="A11" s="82" t="n"/>
      <c r="B11" s="82" t="n"/>
      <c r="C11" s="82" t="n"/>
      <c r="D11" s="82" t="n"/>
      <c r="E11" s="82" t="n"/>
      <c r="F11" s="82" t="n"/>
      <c r="G11" s="82" t="n"/>
      <c r="H11" s="82" t="n"/>
      <c r="I11" s="82" t="n"/>
      <c r="J11" s="82" t="n"/>
      <c r="K11" s="82" t="n"/>
    </row>
    <row r="12">
      <c r="A12" s="82" t="n"/>
      <c r="B12" s="82" t="n"/>
      <c r="C12" s="82" t="n"/>
      <c r="D12" s="82" t="n"/>
      <c r="E12" s="82" t="n"/>
      <c r="F12" s="82" t="n"/>
      <c r="G12" s="82" t="n"/>
      <c r="H12" s="82" t="n"/>
      <c r="I12" s="82" t="n"/>
      <c r="J12" s="82" t="n"/>
      <c r="K12" s="82" t="n"/>
    </row>
    <row r="13">
      <c r="A13" s="82" t="n"/>
      <c r="B13" s="82" t="n"/>
      <c r="C13" s="82" t="n"/>
      <c r="D13" s="82" t="n"/>
      <c r="E13" s="82" t="n"/>
      <c r="F13" s="82" t="n"/>
      <c r="G13" s="82" t="n"/>
      <c r="H13" s="82" t="n"/>
      <c r="I13" s="82" t="n"/>
      <c r="J13" s="82" t="n"/>
      <c r="K13" s="82" t="n"/>
    </row>
    <row r="14">
      <c r="A14" s="82" t="n"/>
      <c r="B14" s="82" t="n"/>
      <c r="C14" s="82" t="n"/>
      <c r="D14" s="82" t="n"/>
      <c r="E14" s="82" t="n"/>
      <c r="F14" s="82" t="n"/>
      <c r="G14" s="82" t="n"/>
      <c r="H14" s="82" t="n"/>
      <c r="I14" s="82" t="n"/>
      <c r="J14" s="82" t="n"/>
      <c r="K14" s="82" t="n"/>
    </row>
    <row r="15">
      <c r="A15" s="82" t="n"/>
      <c r="B15" s="82" t="n"/>
      <c r="C15" s="82" t="n"/>
      <c r="D15" s="82" t="n"/>
      <c r="E15" s="82" t="n"/>
      <c r="F15" s="82" t="n"/>
      <c r="G15" s="82" t="n"/>
      <c r="H15" s="82" t="n"/>
      <c r="I15" s="82" t="n"/>
      <c r="J15" s="82" t="n"/>
      <c r="K15" s="82" t="n"/>
    </row>
    <row r="16">
      <c r="A16" s="82" t="n"/>
      <c r="B16" s="82" t="n"/>
      <c r="C16" s="82" t="n"/>
      <c r="D16" s="82" t="n"/>
      <c r="E16" s="82" t="n"/>
      <c r="F16" s="82" t="n"/>
      <c r="G16" s="82" t="n"/>
      <c r="H16" s="82" t="n"/>
      <c r="I16" s="82" t="n"/>
      <c r="J16" s="82" t="n"/>
      <c r="K16" s="82" t="n"/>
    </row>
    <row r="17">
      <c r="A17" s="82" t="n"/>
      <c r="B17" s="82" t="n"/>
      <c r="C17" s="82" t="n"/>
      <c r="D17" s="82" t="n"/>
      <c r="E17" s="82" t="n"/>
      <c r="F17" s="82" t="n"/>
      <c r="G17" s="82" t="n"/>
      <c r="H17" s="82" t="n"/>
      <c r="I17" s="82" t="n"/>
      <c r="J17" s="82" t="n"/>
      <c r="K17" s="82" t="n"/>
    </row>
    <row r="18">
      <c r="A18" s="82" t="n"/>
      <c r="B18" s="82" t="n"/>
      <c r="C18" s="82" t="n"/>
      <c r="D18" s="82" t="n"/>
      <c r="E18" s="82" t="n"/>
      <c r="F18" s="82" t="n"/>
      <c r="G18" s="82" t="n"/>
      <c r="H18" s="82" t="n"/>
      <c r="I18" s="82" t="n"/>
      <c r="J18" s="82" t="n"/>
      <c r="K18" s="82" t="n"/>
    </row>
    <row r="19">
      <c r="A19" s="82" t="n"/>
      <c r="B19" s="82" t="n"/>
      <c r="C19" s="82" t="n"/>
      <c r="D19" s="82" t="n"/>
      <c r="E19" s="82" t="n"/>
      <c r="F19" s="82" t="n"/>
      <c r="G19" s="82" t="n"/>
      <c r="H19" s="82" t="n"/>
      <c r="I19" s="82" t="n"/>
      <c r="J19" s="82" t="n"/>
      <c r="K19" s="82" t="n"/>
    </row>
    <row r="20">
      <c r="A20" s="82" t="n"/>
      <c r="B20" s="82" t="n"/>
      <c r="C20" s="82" t="n"/>
      <c r="D20" s="82" t="n"/>
      <c r="E20" s="82" t="n"/>
      <c r="F20" s="82" t="n"/>
      <c r="G20" s="82" t="n"/>
      <c r="H20" s="82" t="n"/>
      <c r="I20" s="82" t="n"/>
      <c r="J20" s="82" t="n"/>
      <c r="K20" s="82" t="n"/>
    </row>
    <row r="21">
      <c r="A21" s="82" t="n"/>
      <c r="B21" s="82" t="n"/>
      <c r="C21" s="82" t="n"/>
      <c r="D21" s="82" t="n"/>
      <c r="E21" s="82" t="n"/>
      <c r="F21" s="82" t="n"/>
      <c r="G21" s="82" t="n"/>
      <c r="H21" s="82" t="n"/>
      <c r="I21" s="82" t="n"/>
      <c r="J21" s="82" t="n"/>
      <c r="K21" s="82" t="n"/>
    </row>
    <row r="22">
      <c r="A22" s="82" t="n"/>
      <c r="B22" s="82" t="n"/>
      <c r="C22" s="82" t="n"/>
      <c r="D22" s="82" t="n"/>
      <c r="E22" s="82" t="n"/>
      <c r="F22" s="82" t="n"/>
      <c r="G22" s="82" t="n"/>
      <c r="H22" s="82" t="n"/>
      <c r="I22" s="82" t="n"/>
      <c r="J22" s="82" t="n"/>
      <c r="K22" s="82" t="n"/>
    </row>
    <row r="23">
      <c r="A23" s="82" t="n"/>
      <c r="B23" s="82" t="n"/>
      <c r="C23" s="82" t="n"/>
      <c r="D23" s="82" t="n"/>
      <c r="E23" s="82" t="n"/>
      <c r="F23" s="82" t="n"/>
      <c r="G23" s="82" t="n"/>
      <c r="H23" s="82" t="n"/>
      <c r="I23" s="82" t="n"/>
      <c r="J23" s="82" t="n"/>
      <c r="K23" s="82" t="n"/>
    </row>
    <row r="24">
      <c r="A24" s="82" t="n"/>
      <c r="B24" s="82" t="n"/>
      <c r="C24" s="82" t="n"/>
      <c r="D24" s="82" t="n"/>
      <c r="E24" s="82" t="n"/>
      <c r="F24" s="82" t="n"/>
      <c r="G24" s="82" t="n"/>
      <c r="H24" s="82" t="n"/>
      <c r="I24" s="82" t="n"/>
      <c r="J24" s="82" t="n"/>
      <c r="K24" s="82" t="n"/>
    </row>
    <row r="25">
      <c r="A25" s="82" t="n"/>
      <c r="B25" s="82" t="n"/>
      <c r="C25" s="82" t="n"/>
      <c r="D25" s="82" t="n"/>
      <c r="E25" s="82" t="n"/>
      <c r="F25" s="82" t="n"/>
      <c r="G25" s="82" t="n"/>
      <c r="H25" s="82" t="n"/>
      <c r="I25" s="82" t="n"/>
      <c r="J25" s="82" t="n"/>
      <c r="K25" s="82" t="n"/>
    </row>
    <row r="26">
      <c r="A26" s="82" t="n"/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</row>
    <row r="27">
      <c r="A27" s="82" t="n"/>
      <c r="B27" s="82" t="n"/>
      <c r="C27" s="82" t="n"/>
      <c r="D27" s="82" t="n"/>
      <c r="E27" s="82" t="n"/>
      <c r="F27" s="82" t="n"/>
      <c r="G27" s="82" t="n"/>
      <c r="H27" s="82" t="n"/>
      <c r="I27" s="82" t="n"/>
      <c r="J27" s="82" t="n"/>
      <c r="K27" s="82" t="n"/>
    </row>
    <row r="28">
      <c r="A28" s="82" t="n"/>
      <c r="B28" s="82" t="n"/>
      <c r="C28" s="82" t="n"/>
      <c r="D28" s="82" t="n"/>
      <c r="E28" s="82" t="n"/>
      <c r="F28" s="82" t="n"/>
      <c r="G28" s="82" t="n"/>
      <c r="H28" s="82" t="n"/>
      <c r="I28" s="82" t="n"/>
      <c r="J28" s="82" t="n"/>
      <c r="K28" s="82" t="n"/>
    </row>
    <row r="29">
      <c r="A29" s="82" t="n"/>
      <c r="B29" s="82" t="n"/>
      <c r="C29" s="82" t="n"/>
      <c r="D29" s="82" t="n"/>
      <c r="E29" s="82" t="n"/>
      <c r="F29" s="82" t="n"/>
      <c r="G29" s="82" t="n"/>
      <c r="H29" s="82" t="n"/>
      <c r="I29" s="82" t="n"/>
      <c r="J29" s="82" t="n"/>
      <c r="K29" s="82" t="n"/>
    </row>
    <row r="30">
      <c r="A30" s="82" t="n"/>
      <c r="B30" s="82" t="n"/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</row>
    <row r="31">
      <c r="A31" s="82" t="n"/>
      <c r="B31" s="82" t="n"/>
      <c r="C31" s="82" t="n"/>
      <c r="D31" s="82" t="n"/>
      <c r="E31" s="82" t="n"/>
      <c r="F31" s="82" t="n"/>
      <c r="G31" s="82" t="n"/>
      <c r="H31" s="82" t="n"/>
      <c r="I31" s="82" t="n"/>
      <c r="J31" s="82" t="n"/>
      <c r="K31" s="82" t="n"/>
    </row>
    <row r="32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</row>
    <row r="33">
      <c r="A33" s="82" t="n"/>
      <c r="B33" s="82" t="n"/>
      <c r="C33" s="82" t="n"/>
      <c r="D33" s="82" t="n"/>
      <c r="E33" s="82" t="n"/>
      <c r="F33" s="82" t="n"/>
      <c r="G33" s="82" t="n"/>
      <c r="H33" s="82" t="n"/>
      <c r="I33" s="82" t="n"/>
      <c r="J33" s="82" t="n"/>
      <c r="K33" s="82" t="n"/>
    </row>
    <row r="34">
      <c r="A34" s="82" t="n"/>
      <c r="B34" s="82" t="n"/>
      <c r="C34" s="82" t="n"/>
      <c r="D34" s="82" t="n"/>
      <c r="E34" s="82" t="n"/>
      <c r="F34" s="82" t="n"/>
      <c r="G34" s="82" t="n"/>
      <c r="H34" s="82" t="n"/>
      <c r="I34" s="82" t="n"/>
      <c r="J34" s="82" t="n"/>
      <c r="K34" s="82" t="n"/>
    </row>
    <row r="35">
      <c r="A35" s="82" t="n"/>
      <c r="B35" s="82" t="n"/>
      <c r="C35" s="82" t="n"/>
      <c r="D35" s="82" t="n"/>
      <c r="E35" s="82" t="n"/>
      <c r="F35" s="82" t="n"/>
      <c r="G35" s="82" t="n"/>
      <c r="H35" s="82" t="n"/>
      <c r="I35" s="82" t="n"/>
      <c r="J35" s="82" t="n"/>
      <c r="K35" s="82" t="n"/>
    </row>
    <row r="36">
      <c r="A36" s="82" t="n"/>
      <c r="B36" s="82" t="n"/>
      <c r="C36" s="82" t="n"/>
      <c r="D36" s="82" t="n"/>
      <c r="E36" s="82" t="n"/>
      <c r="F36" s="82" t="n"/>
      <c r="G36" s="82" t="n"/>
      <c r="H36" s="82" t="n"/>
      <c r="I36" s="82" t="n"/>
      <c r="J36" s="82" t="n"/>
      <c r="K36" s="82" t="n"/>
    </row>
    <row r="37">
      <c r="A37" s="82" t="n"/>
      <c r="B37" s="82" t="n"/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</row>
    <row r="38">
      <c r="A38" s="82" t="n"/>
      <c r="B38" s="82" t="n"/>
      <c r="C38" s="82" t="n"/>
      <c r="D38" s="82" t="n"/>
      <c r="E38" s="82" t="n"/>
      <c r="F38" s="82" t="n"/>
      <c r="G38" s="82" t="n"/>
      <c r="H38" s="82" t="n"/>
      <c r="I38" s="82" t="n"/>
      <c r="J38" s="82" t="n"/>
      <c r="K38" s="82" t="n"/>
    </row>
    <row r="39">
      <c r="A39" s="82" t="n"/>
      <c r="B39" s="82" t="n"/>
      <c r="C39" s="82" t="n"/>
      <c r="D39" s="82" t="n"/>
      <c r="E39" s="82" t="n"/>
      <c r="F39" s="82" t="n"/>
      <c r="G39" s="82" t="n"/>
      <c r="H39" s="82" t="n"/>
      <c r="I39" s="82" t="n"/>
      <c r="J39" s="82" t="n"/>
      <c r="K39" s="82" t="n"/>
    </row>
    <row r="40">
      <c r="A40" s="82" t="n"/>
      <c r="B40" s="82" t="n"/>
      <c r="C40" s="82" t="n"/>
      <c r="D40" s="82" t="n"/>
      <c r="E40" s="82" t="n"/>
      <c r="F40" s="82" t="n"/>
      <c r="G40" s="82" t="n"/>
      <c r="H40" s="82" t="n"/>
      <c r="I40" s="82" t="n"/>
      <c r="J40" s="82" t="n"/>
      <c r="K40" s="82" t="n"/>
    </row>
    <row r="41">
      <c r="A41" s="82" t="n"/>
      <c r="B41" s="82" t="n"/>
      <c r="C41" s="82" t="n"/>
      <c r="D41" s="82" t="n"/>
      <c r="E41" s="82" t="n"/>
      <c r="F41" s="82" t="n"/>
      <c r="G41" s="82" t="n"/>
      <c r="H41" s="82" t="n"/>
      <c r="I41" s="82" t="n"/>
      <c r="J41" s="82" t="n"/>
      <c r="K41" s="82" t="n"/>
    </row>
    <row r="42">
      <c r="A42" s="82" t="n"/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</row>
    <row r="43">
      <c r="A43" s="82" t="n"/>
      <c r="B43" s="82" t="n"/>
      <c r="C43" s="82" t="n"/>
      <c r="D43" s="82" t="n"/>
      <c r="E43" s="82" t="n"/>
      <c r="F43" s="82" t="n"/>
      <c r="G43" s="82" t="n"/>
      <c r="H43" s="82" t="n"/>
      <c r="I43" s="82" t="n"/>
      <c r="J43" s="82" t="n"/>
      <c r="K43" s="82" t="n"/>
    </row>
    <row r="44">
      <c r="A44" s="82" t="n"/>
      <c r="B44" s="82" t="n"/>
      <c r="C44" s="82" t="n"/>
      <c r="D44" s="82" t="n"/>
      <c r="E44" s="82" t="n"/>
      <c r="F44" s="82" t="n"/>
      <c r="G44" s="82" t="n"/>
      <c r="H44" s="82" t="n"/>
      <c r="I44" s="82" t="n"/>
      <c r="J44" s="82" t="n"/>
      <c r="K44" s="82" t="n"/>
    </row>
    <row r="45">
      <c r="A45" s="82" t="n"/>
      <c r="B45" s="82" t="n"/>
      <c r="C45" s="82" t="n"/>
      <c r="D45" s="82" t="n"/>
      <c r="E45" s="82" t="n"/>
      <c r="F45" s="82" t="n"/>
      <c r="G45" s="82" t="n"/>
      <c r="H45" s="82" t="n"/>
      <c r="I45" s="82" t="n"/>
      <c r="J45" s="82" t="n"/>
      <c r="K45" s="82" t="n"/>
    </row>
    <row r="46">
      <c r="A46" s="82" t="n"/>
      <c r="B46" s="82" t="n"/>
      <c r="C46" s="82" t="n"/>
      <c r="D46" s="82" t="n"/>
      <c r="E46" s="82" t="n"/>
      <c r="F46" s="82" t="n"/>
      <c r="G46" s="82" t="n"/>
      <c r="H46" s="82" t="n"/>
      <c r="I46" s="82" t="n"/>
      <c r="J46" s="82" t="n"/>
      <c r="K46" s="82" t="n"/>
    </row>
    <row r="47">
      <c r="A47" s="82" t="n"/>
      <c r="B47" s="82" t="n"/>
      <c r="C47" s="82" t="n"/>
      <c r="D47" s="82" t="n"/>
      <c r="E47" s="82" t="n"/>
      <c r="F47" s="82" t="n"/>
      <c r="G47" s="82" t="n"/>
      <c r="H47" s="82" t="n"/>
      <c r="I47" s="82" t="n"/>
      <c r="J47" s="82" t="n"/>
      <c r="K47" s="82" t="n"/>
    </row>
    <row r="48">
      <c r="A48" s="82" t="n"/>
      <c r="B48" s="82" t="n"/>
      <c r="C48" s="82" t="n"/>
      <c r="D48" s="82" t="n"/>
      <c r="E48" s="82" t="n"/>
      <c r="F48" s="82" t="n"/>
      <c r="G48" s="82" t="n"/>
      <c r="H48" s="82" t="n"/>
      <c r="I48" s="82" t="n"/>
      <c r="J48" s="82" t="n"/>
      <c r="K48" s="82" t="n"/>
    </row>
    <row r="49">
      <c r="A49" s="82" t="n"/>
      <c r="B49" s="82" t="n"/>
      <c r="C49" s="82" t="n"/>
      <c r="D49" s="82" t="n"/>
      <c r="E49" s="82" t="n"/>
      <c r="F49" s="82" t="n"/>
      <c r="G49" s="82" t="n"/>
      <c r="H49" s="82" t="n"/>
      <c r="I49" s="82" t="n"/>
      <c r="J49" s="82" t="n"/>
      <c r="K49" s="82" t="n"/>
    </row>
    <row r="50">
      <c r="A50" s="82" t="n"/>
      <c r="B50" s="82" t="n"/>
      <c r="C50" s="82" t="n"/>
      <c r="D50" s="82" t="n"/>
      <c r="E50" s="82" t="n"/>
      <c r="F50" s="82" t="n"/>
      <c r="G50" s="82" t="n"/>
      <c r="H50" s="82" t="n"/>
      <c r="I50" s="82" t="n"/>
      <c r="J50" s="82" t="n"/>
      <c r="K50" s="82" t="n"/>
    </row>
    <row r="51">
      <c r="A51" s="82" t="n"/>
      <c r="B51" s="82" t="n"/>
      <c r="C51" s="82" t="n"/>
      <c r="D51" s="82" t="n"/>
      <c r="E51" s="82" t="n"/>
      <c r="F51" s="82" t="n"/>
      <c r="G51" s="82" t="n"/>
      <c r="H51" s="82" t="n"/>
      <c r="I51" s="82" t="n"/>
      <c r="J51" s="82" t="n"/>
      <c r="K51" s="82" t="n"/>
    </row>
    <row r="52">
      <c r="A52" s="82" t="n"/>
      <c r="B52" s="82" t="n"/>
      <c r="C52" s="82" t="n"/>
      <c r="D52" s="82" t="n"/>
      <c r="E52" s="82" t="n"/>
      <c r="F52" s="82" t="n"/>
      <c r="G52" s="82" t="n"/>
      <c r="H52" s="82" t="n"/>
      <c r="I52" s="82" t="n"/>
      <c r="J52" s="82" t="n"/>
      <c r="K52" s="82" t="n"/>
    </row>
    <row r="53">
      <c r="A53" s="82" t="n"/>
      <c r="B53" s="82" t="n"/>
      <c r="C53" s="82" t="n"/>
      <c r="D53" s="82" t="n"/>
      <c r="E53" s="82" t="n"/>
      <c r="F53" s="82" t="n"/>
      <c r="G53" s="82" t="n"/>
      <c r="H53" s="82" t="n"/>
      <c r="I53" s="82" t="n"/>
      <c r="J53" s="82" t="n"/>
      <c r="K53" s="82" t="n"/>
    </row>
    <row r="54">
      <c r="A54" s="82" t="n"/>
      <c r="B54" s="82" t="n"/>
      <c r="C54" s="82" t="n"/>
      <c r="D54" s="82" t="n"/>
      <c r="E54" s="82" t="n"/>
      <c r="F54" s="82" t="n"/>
      <c r="G54" s="82" t="n"/>
      <c r="H54" s="82" t="n"/>
      <c r="I54" s="82" t="n"/>
      <c r="J54" s="82" t="n"/>
      <c r="K54" s="82" t="n"/>
    </row>
    <row r="55">
      <c r="A55" s="82" t="n"/>
      <c r="B55" s="82" t="n"/>
      <c r="C55" s="82" t="n"/>
      <c r="D55" s="82" t="n"/>
      <c r="E55" s="82" t="n"/>
      <c r="F55" s="82" t="n"/>
      <c r="G55" s="82" t="n"/>
      <c r="H55" s="82" t="n"/>
      <c r="I55" s="82" t="n"/>
      <c r="J55" s="82" t="n"/>
      <c r="K55" s="82" t="n"/>
    </row>
    <row r="56">
      <c r="A56" s="82" t="n"/>
      <c r="B56" s="82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2" t="n"/>
    </row>
    <row r="57">
      <c r="A57" s="82" t="n"/>
      <c r="B57" s="82" t="n"/>
      <c r="C57" s="82" t="n"/>
      <c r="D57" s="82" t="n"/>
      <c r="E57" s="82" t="n"/>
      <c r="F57" s="82" t="n"/>
      <c r="G57" s="82" t="n"/>
      <c r="H57" s="82" t="n"/>
      <c r="I57" s="82" t="n"/>
      <c r="J57" s="82" t="n"/>
      <c r="K57" s="82" t="n"/>
    </row>
    <row r="58">
      <c r="A58" s="82" t="n"/>
      <c r="B58" s="82" t="n"/>
      <c r="C58" s="82" t="n"/>
      <c r="D58" s="82" t="n"/>
      <c r="E58" s="82" t="n"/>
      <c r="F58" s="82" t="n"/>
      <c r="G58" s="82" t="n"/>
      <c r="H58" s="82" t="n"/>
      <c r="I58" s="82" t="n"/>
      <c r="J58" s="82" t="n"/>
      <c r="K58" s="82" t="n"/>
    </row>
    <row r="59">
      <c r="A59" s="82" t="n"/>
      <c r="B59" s="82" t="n"/>
      <c r="C59" s="82" t="n"/>
      <c r="D59" s="82" t="n"/>
      <c r="E59" s="82" t="n"/>
      <c r="F59" s="82" t="n"/>
      <c r="G59" s="82" t="n"/>
      <c r="H59" s="82" t="n"/>
      <c r="I59" s="82" t="n"/>
      <c r="J59" s="82" t="n"/>
      <c r="K59" s="82" t="n"/>
    </row>
    <row r="60">
      <c r="A60" s="82" t="n"/>
      <c r="B60" s="82" t="n"/>
      <c r="C60" s="82" t="n"/>
      <c r="D60" s="82" t="n"/>
      <c r="E60" s="82" t="n"/>
      <c r="F60" s="82" t="n"/>
      <c r="G60" s="82" t="n"/>
      <c r="H60" s="82" t="n"/>
      <c r="I60" s="82" t="n"/>
      <c r="J60" s="82" t="n"/>
      <c r="K60" s="82" t="n"/>
    </row>
    <row r="61">
      <c r="A61" s="82" t="n"/>
      <c r="B61" s="82" t="n"/>
      <c r="C61" s="82" t="n"/>
      <c r="D61" s="82" t="n"/>
      <c r="E61" s="82" t="n"/>
      <c r="F61" s="82" t="n"/>
      <c r="G61" s="82" t="n"/>
      <c r="H61" s="82" t="n"/>
      <c r="I61" s="82" t="n"/>
      <c r="J61" s="82" t="n"/>
      <c r="K61" s="82" t="n"/>
    </row>
    <row r="62">
      <c r="A62" s="82" t="n"/>
      <c r="B62" s="82" t="n"/>
      <c r="C62" s="82" t="n"/>
      <c r="D62" s="82" t="n"/>
      <c r="E62" s="82" t="n"/>
      <c r="F62" s="82" t="n"/>
      <c r="G62" s="82" t="n"/>
      <c r="H62" s="82" t="n"/>
      <c r="I62" s="82" t="n"/>
      <c r="J62" s="82" t="n"/>
      <c r="K62" s="82" t="n"/>
    </row>
    <row r="63">
      <c r="A63" s="82" t="n"/>
      <c r="B63" s="82" t="n"/>
      <c r="C63" s="82" t="n"/>
      <c r="D63" s="82" t="n"/>
      <c r="E63" s="82" t="n"/>
      <c r="F63" s="82" t="n"/>
      <c r="G63" s="82" t="n"/>
      <c r="H63" s="82" t="n"/>
      <c r="I63" s="82" t="n"/>
      <c r="J63" s="82" t="n"/>
      <c r="K63" s="82" t="n"/>
    </row>
    <row r="64">
      <c r="A64" s="82" t="n"/>
      <c r="B64" s="82" t="n"/>
      <c r="C64" s="82" t="n"/>
      <c r="D64" s="82" t="n"/>
      <c r="E64" s="82" t="n"/>
      <c r="F64" s="82" t="n"/>
      <c r="G64" s="82" t="n"/>
      <c r="H64" s="82" t="n"/>
      <c r="I64" s="82" t="n"/>
      <c r="J64" s="82" t="n"/>
      <c r="K64" s="82" t="n"/>
    </row>
    <row r="65">
      <c r="A65" s="82" t="n"/>
      <c r="B65" s="82" t="n"/>
      <c r="C65" s="82" t="n"/>
      <c r="D65" s="82" t="n"/>
      <c r="E65" s="82" t="n"/>
      <c r="F65" s="82" t="n"/>
      <c r="G65" s="82" t="n"/>
      <c r="H65" s="82" t="n"/>
      <c r="I65" s="82" t="n"/>
      <c r="J65" s="82" t="n"/>
      <c r="K65" s="82" t="n"/>
    </row>
    <row r="66">
      <c r="A66" s="82" t="n"/>
      <c r="B66" s="82" t="n"/>
      <c r="C66" s="82" t="n"/>
      <c r="D66" s="82" t="n"/>
      <c r="E66" s="82" t="n"/>
      <c r="F66" s="82" t="n"/>
      <c r="G66" s="82" t="n"/>
      <c r="H66" s="82" t="n"/>
      <c r="I66" s="82" t="n"/>
      <c r="J66" s="82" t="n"/>
      <c r="K66" s="82" t="n"/>
    </row>
    <row r="67">
      <c r="A67" s="82" t="n"/>
      <c r="B67" s="82" t="n"/>
      <c r="C67" s="82" t="n"/>
      <c r="D67" s="82" t="n"/>
      <c r="E67" s="82" t="n"/>
      <c r="F67" s="82" t="n"/>
      <c r="G67" s="82" t="n"/>
      <c r="H67" s="82" t="n"/>
      <c r="I67" s="82" t="n"/>
      <c r="J67" s="82" t="n"/>
      <c r="K67" s="82" t="n"/>
    </row>
    <row r="68">
      <c r="A68" s="82" t="n"/>
      <c r="B68" s="82" t="n"/>
      <c r="C68" s="82" t="n"/>
      <c r="D68" s="82" t="n"/>
      <c r="E68" s="82" t="n"/>
      <c r="F68" s="82" t="n"/>
      <c r="G68" s="82" t="n"/>
      <c r="H68" s="82" t="n"/>
      <c r="I68" s="82" t="n"/>
      <c r="J68" s="82" t="n"/>
      <c r="K68" s="82" t="n"/>
    </row>
    <row r="69">
      <c r="A69" s="82" t="n"/>
      <c r="B69" s="82" t="n"/>
      <c r="C69" s="82" t="n"/>
      <c r="D69" s="82" t="n"/>
      <c r="E69" s="82" t="n"/>
      <c r="F69" s="82" t="n"/>
      <c r="G69" s="82" t="n"/>
      <c r="H69" s="82" t="n"/>
      <c r="I69" s="82" t="n"/>
      <c r="J69" s="82" t="n"/>
      <c r="K69" s="82" t="n"/>
    </row>
    <row r="70">
      <c r="A70" s="82" t="n"/>
      <c r="B70" s="82" t="n"/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</row>
    <row r="71">
      <c r="A71" s="82" t="n"/>
      <c r="B71" s="82" t="n"/>
      <c r="C71" s="82" t="n"/>
      <c r="D71" s="82" t="n"/>
      <c r="E71" s="82" t="n"/>
      <c r="F71" s="82" t="n"/>
      <c r="G71" s="82" t="n"/>
      <c r="H71" s="82" t="n"/>
      <c r="I71" s="82" t="n"/>
      <c r="J71" s="82" t="n"/>
      <c r="K71" s="82" t="n"/>
    </row>
    <row r="72">
      <c r="A72" s="82" t="n"/>
      <c r="B72" s="82" t="n"/>
      <c r="C72" s="82" t="n"/>
      <c r="D72" s="82" t="n"/>
      <c r="E72" s="82" t="n"/>
      <c r="F72" s="82" t="n"/>
      <c r="G72" s="82" t="n"/>
      <c r="H72" s="82" t="n"/>
      <c r="I72" s="82" t="n"/>
      <c r="J72" s="82" t="n"/>
      <c r="K72" s="82" t="n"/>
    </row>
    <row r="73">
      <c r="A73" s="82" t="n"/>
      <c r="B73" s="82" t="n"/>
      <c r="C73" s="82" t="n"/>
      <c r="D73" s="82" t="n"/>
      <c r="E73" s="82" t="n"/>
      <c r="F73" s="82" t="n"/>
      <c r="G73" s="82" t="n"/>
      <c r="H73" s="82" t="n"/>
      <c r="I73" s="82" t="n"/>
      <c r="J73" s="82" t="n"/>
      <c r="K73" s="82" t="n"/>
    </row>
    <row r="74">
      <c r="A74" s="82" t="n"/>
      <c r="B74" s="82" t="n"/>
      <c r="C74" s="82" t="n"/>
      <c r="D74" s="82" t="n"/>
      <c r="E74" s="82" t="n"/>
      <c r="F74" s="82" t="n"/>
      <c r="G74" s="82" t="n"/>
      <c r="H74" s="82" t="n"/>
      <c r="I74" s="82" t="n"/>
      <c r="J74" s="82" t="n"/>
      <c r="K74" s="82" t="n"/>
    </row>
    <row r="75">
      <c r="A75" s="82" t="n"/>
      <c r="B75" s="82" t="n"/>
      <c r="C75" s="82" t="n"/>
      <c r="D75" s="82" t="n"/>
      <c r="E75" s="82" t="n"/>
      <c r="F75" s="82" t="n"/>
      <c r="G75" s="82" t="n"/>
      <c r="H75" s="82" t="n"/>
      <c r="I75" s="82" t="n"/>
      <c r="J75" s="82" t="n"/>
      <c r="K75" s="82" t="n"/>
    </row>
    <row r="76">
      <c r="A76" s="82" t="n"/>
      <c r="B76" s="82" t="n"/>
      <c r="C76" s="82" t="n"/>
      <c r="D76" s="82" t="n"/>
      <c r="E76" s="82" t="n"/>
      <c r="F76" s="82" t="n"/>
      <c r="G76" s="82" t="n"/>
      <c r="H76" s="82" t="n"/>
      <c r="I76" s="82" t="n"/>
      <c r="J76" s="82" t="n"/>
      <c r="K76" s="82" t="n"/>
    </row>
    <row r="77">
      <c r="A77" s="82" t="n"/>
      <c r="B77" s="82" t="n"/>
      <c r="C77" s="82" t="n"/>
      <c r="D77" s="82" t="n"/>
      <c r="E77" s="82" t="n"/>
      <c r="F77" s="82" t="n"/>
      <c r="G77" s="82" t="n"/>
      <c r="H77" s="82" t="n"/>
      <c r="I77" s="82" t="n"/>
      <c r="J77" s="82" t="n"/>
      <c r="K77" s="82" t="n"/>
    </row>
    <row r="78">
      <c r="A78" s="82" t="n"/>
      <c r="B78" s="82" t="n"/>
      <c r="C78" s="82" t="n"/>
      <c r="D78" s="82" t="n"/>
      <c r="E78" s="82" t="n"/>
      <c r="F78" s="82" t="n"/>
      <c r="G78" s="82" t="n"/>
      <c r="H78" s="82" t="n"/>
      <c r="I78" s="82" t="n"/>
      <c r="J78" s="82" t="n"/>
      <c r="K78" s="82" t="n"/>
    </row>
    <row r="79">
      <c r="A79" s="82" t="n"/>
      <c r="B79" s="82" t="n"/>
      <c r="C79" s="82" t="n"/>
      <c r="D79" s="82" t="n"/>
      <c r="E79" s="82" t="n"/>
      <c r="F79" s="82" t="n"/>
      <c r="G79" s="82" t="n"/>
      <c r="H79" s="82" t="n"/>
      <c r="I79" s="82" t="n"/>
      <c r="J79" s="82" t="n"/>
      <c r="K79" s="82" t="n"/>
    </row>
    <row r="80">
      <c r="A80" s="82" t="n"/>
      <c r="B80" s="82" t="n"/>
      <c r="C80" s="82" t="n"/>
      <c r="D80" s="82" t="n"/>
      <c r="E80" s="82" t="n"/>
      <c r="F80" s="82" t="n"/>
      <c r="G80" s="82" t="n"/>
      <c r="H80" s="82" t="n"/>
      <c r="I80" s="82" t="n"/>
      <c r="J80" s="82" t="n"/>
      <c r="K80" s="82" t="n"/>
    </row>
    <row r="81">
      <c r="A81" s="82" t="n"/>
      <c r="B81" s="82" t="n"/>
      <c r="C81" s="82" t="n"/>
      <c r="D81" s="82" t="n"/>
      <c r="E81" s="82" t="n"/>
      <c r="F81" s="82" t="n"/>
      <c r="G81" s="82" t="n"/>
      <c r="H81" s="82" t="n"/>
      <c r="I81" s="82" t="n"/>
      <c r="J81" s="82" t="n"/>
      <c r="K81" s="82" t="n"/>
    </row>
    <row r="82">
      <c r="A82" s="82" t="n"/>
      <c r="B82" s="82" t="n"/>
      <c r="C82" s="82" t="n"/>
      <c r="D82" s="82" t="n"/>
      <c r="E82" s="82" t="n"/>
      <c r="F82" s="82" t="n"/>
      <c r="G82" s="82" t="n"/>
      <c r="H82" s="82" t="n"/>
      <c r="I82" s="82" t="n"/>
      <c r="J82" s="82" t="n"/>
      <c r="K82" s="82" t="n"/>
    </row>
    <row r="83">
      <c r="A83" s="82" t="n"/>
      <c r="B83" s="82" t="n"/>
      <c r="C83" s="82" t="n"/>
      <c r="D83" s="82" t="n"/>
      <c r="E83" s="82" t="n"/>
      <c r="F83" s="82" t="n"/>
      <c r="G83" s="82" t="n"/>
      <c r="H83" s="82" t="n"/>
      <c r="I83" s="82" t="n"/>
      <c r="J83" s="82" t="n"/>
      <c r="K83" s="82" t="n"/>
    </row>
    <row r="84">
      <c r="A84" s="82" t="n"/>
      <c r="B84" s="82" t="n"/>
      <c r="C84" s="82" t="n"/>
      <c r="D84" s="82" t="n"/>
      <c r="E84" s="82" t="n"/>
      <c r="F84" s="82" t="n"/>
      <c r="G84" s="82" t="n"/>
      <c r="H84" s="82" t="n"/>
      <c r="I84" s="82" t="n"/>
      <c r="J84" s="82" t="n"/>
      <c r="K84" s="82" t="n"/>
    </row>
    <row r="85">
      <c r="A85" s="82" t="n"/>
      <c r="B85" s="82" t="n"/>
      <c r="C85" s="82" t="n"/>
      <c r="D85" s="82" t="n"/>
      <c r="E85" s="82" t="n"/>
      <c r="F85" s="82" t="n"/>
      <c r="G85" s="82" t="n"/>
      <c r="H85" s="82" t="n"/>
      <c r="I85" s="82" t="n"/>
      <c r="J85" s="82" t="n"/>
      <c r="K85" s="82" t="n"/>
    </row>
    <row r="86">
      <c r="A86" s="82" t="n"/>
      <c r="B86" s="82" t="n"/>
      <c r="C86" s="82" t="n"/>
      <c r="D86" s="82" t="n"/>
      <c r="E86" s="82" t="n"/>
      <c r="F86" s="82" t="n"/>
      <c r="G86" s="82" t="n"/>
      <c r="H86" s="82" t="n"/>
      <c r="I86" s="82" t="n"/>
      <c r="J86" s="82" t="n"/>
      <c r="K86" s="82" t="n"/>
    </row>
    <row r="87">
      <c r="A87" s="82" t="n"/>
      <c r="B87" s="82" t="n"/>
      <c r="C87" s="82" t="n"/>
      <c r="D87" s="82" t="n"/>
      <c r="E87" s="82" t="n"/>
      <c r="F87" s="82" t="n"/>
      <c r="G87" s="82" t="n"/>
      <c r="H87" s="82" t="n"/>
      <c r="I87" s="82" t="n"/>
      <c r="J87" s="82" t="n"/>
      <c r="K87" s="82" t="n"/>
    </row>
    <row r="88">
      <c r="A88" s="82" t="n"/>
      <c r="B88" s="82" t="n"/>
      <c r="C88" s="82" t="n"/>
      <c r="D88" s="82" t="n"/>
      <c r="E88" s="82" t="n"/>
      <c r="F88" s="82" t="n"/>
      <c r="G88" s="82" t="n"/>
      <c r="H88" s="82" t="n"/>
      <c r="I88" s="82" t="n"/>
      <c r="J88" s="82" t="n"/>
      <c r="K88" s="82" t="n"/>
    </row>
    <row r="89">
      <c r="A89" s="82" t="n"/>
      <c r="B89" s="82" t="n"/>
      <c r="C89" s="82" t="n"/>
      <c r="D89" s="82" t="n"/>
      <c r="E89" s="82" t="n"/>
      <c r="F89" s="82" t="n"/>
      <c r="G89" s="82" t="n"/>
      <c r="H89" s="82" t="n"/>
      <c r="I89" s="82" t="n"/>
      <c r="J89" s="82" t="n"/>
      <c r="K89" s="82" t="n"/>
    </row>
    <row r="90">
      <c r="A90" s="82" t="n"/>
      <c r="B90" s="82" t="n"/>
      <c r="C90" s="82" t="n"/>
      <c r="D90" s="82" t="n"/>
      <c r="E90" s="82" t="n"/>
      <c r="F90" s="82" t="n"/>
      <c r="G90" s="82" t="n"/>
      <c r="H90" s="82" t="n"/>
      <c r="I90" s="82" t="n"/>
      <c r="J90" s="82" t="n"/>
      <c r="K90" s="82" t="n"/>
    </row>
    <row r="91">
      <c r="A91" s="82" t="n"/>
      <c r="B91" s="82" t="n"/>
      <c r="C91" s="82" t="n"/>
      <c r="D91" s="82" t="n"/>
      <c r="E91" s="82" t="n"/>
      <c r="F91" s="82" t="n"/>
      <c r="G91" s="82" t="n"/>
      <c r="H91" s="82" t="n"/>
      <c r="I91" s="82" t="n"/>
      <c r="J91" s="82" t="n"/>
      <c r="K91" s="82" t="n"/>
    </row>
    <row r="92">
      <c r="A92" s="82" t="n"/>
      <c r="B92" s="82" t="n"/>
      <c r="C92" s="82" t="n"/>
      <c r="D92" s="82" t="n"/>
      <c r="E92" s="82" t="n"/>
      <c r="F92" s="82" t="n"/>
      <c r="G92" s="82" t="n"/>
      <c r="H92" s="82" t="n"/>
      <c r="I92" s="82" t="n"/>
      <c r="J92" s="82" t="n"/>
      <c r="K92" s="82" t="n"/>
    </row>
    <row r="93">
      <c r="A93" s="82" t="n"/>
      <c r="B93" s="82" t="n"/>
      <c r="C93" s="82" t="n"/>
      <c r="D93" s="82" t="n"/>
      <c r="E93" s="82" t="n"/>
      <c r="F93" s="82" t="n"/>
      <c r="G93" s="82" t="n"/>
      <c r="H93" s="82" t="n"/>
      <c r="I93" s="82" t="n"/>
      <c r="J93" s="82" t="n"/>
      <c r="K93" s="82" t="n"/>
    </row>
    <row r="94">
      <c r="A94" s="82" t="n"/>
      <c r="B94" s="82" t="n"/>
      <c r="C94" s="82" t="n"/>
      <c r="D94" s="82" t="n"/>
      <c r="E94" s="82" t="n"/>
      <c r="F94" s="82" t="n"/>
      <c r="G94" s="82" t="n"/>
      <c r="H94" s="82" t="n"/>
      <c r="I94" s="82" t="n"/>
      <c r="J94" s="82" t="n"/>
      <c r="K94" s="82" t="n"/>
    </row>
    <row r="95">
      <c r="A95" s="82" t="n"/>
      <c r="B95" s="82" t="n"/>
      <c r="C95" s="82" t="n"/>
      <c r="D95" s="82" t="n"/>
      <c r="E95" s="82" t="n"/>
      <c r="F95" s="82" t="n"/>
      <c r="G95" s="82" t="n"/>
      <c r="H95" s="82" t="n"/>
      <c r="I95" s="82" t="n"/>
      <c r="J95" s="82" t="n"/>
      <c r="K95" s="82" t="n"/>
    </row>
    <row r="96">
      <c r="A96" s="82" t="n"/>
      <c r="B96" s="82" t="n"/>
      <c r="C96" s="82" t="n"/>
      <c r="D96" s="82" t="n"/>
      <c r="E96" s="82" t="n"/>
      <c r="F96" s="82" t="n"/>
      <c r="G96" s="82" t="n"/>
      <c r="H96" s="82" t="n"/>
      <c r="I96" s="82" t="n"/>
      <c r="J96" s="82" t="n"/>
      <c r="K96" s="82" t="n"/>
    </row>
    <row r="97">
      <c r="A97" s="82" t="n"/>
      <c r="B97" s="82" t="n"/>
      <c r="C97" s="82" t="n"/>
      <c r="D97" s="82" t="n"/>
      <c r="E97" s="82" t="n"/>
      <c r="F97" s="82" t="n"/>
      <c r="G97" s="82" t="n"/>
      <c r="H97" s="82" t="n"/>
      <c r="I97" s="82" t="n"/>
      <c r="J97" s="82" t="n"/>
      <c r="K97" s="82" t="n"/>
    </row>
    <row r="98">
      <c r="A98" s="82" t="n"/>
      <c r="B98" s="82" t="n"/>
      <c r="C98" s="82" t="n"/>
      <c r="D98" s="82" t="n"/>
      <c r="E98" s="82" t="n"/>
      <c r="F98" s="82" t="n"/>
      <c r="G98" s="82" t="n"/>
      <c r="H98" s="82" t="n"/>
      <c r="I98" s="82" t="n"/>
      <c r="J98" s="82" t="n"/>
      <c r="K98" s="82" t="n"/>
    </row>
    <row r="99">
      <c r="A99" s="82" t="n"/>
      <c r="B99" s="82" t="n"/>
      <c r="C99" s="82" t="n"/>
      <c r="D99" s="82" t="n"/>
      <c r="E99" s="82" t="n"/>
      <c r="F99" s="82" t="n"/>
      <c r="G99" s="82" t="n"/>
      <c r="H99" s="82" t="n"/>
      <c r="I99" s="82" t="n"/>
      <c r="J99" s="82" t="n"/>
      <c r="K99" s="82" t="n"/>
    </row>
    <row r="100">
      <c r="A100" s="82" t="n"/>
      <c r="B100" s="82" t="n"/>
      <c r="C100" s="82" t="n"/>
      <c r="D100" s="82" t="n"/>
      <c r="E100" s="82" t="n"/>
      <c r="F100" s="82" t="n"/>
      <c r="G100" s="82" t="n"/>
      <c r="H100" s="82" t="n"/>
      <c r="I100" s="82" t="n"/>
      <c r="J100" s="82" t="n"/>
      <c r="K100" s="82" t="n"/>
    </row>
    <row r="101">
      <c r="A101" s="82" t="n"/>
      <c r="B101" s="82" t="n"/>
      <c r="C101" s="82" t="n"/>
      <c r="D101" s="82" t="n"/>
      <c r="E101" s="82" t="n"/>
      <c r="F101" s="82" t="n"/>
      <c r="G101" s="82" t="n"/>
      <c r="H101" s="82" t="n"/>
      <c r="I101" s="82" t="n"/>
      <c r="J101" s="82" t="n"/>
      <c r="K101" s="82" t="n"/>
    </row>
    <row r="102">
      <c r="A102" s="82" t="n"/>
      <c r="B102" s="82" t="n"/>
      <c r="C102" s="82" t="n"/>
      <c r="D102" s="82" t="n"/>
      <c r="E102" s="82" t="n"/>
      <c r="F102" s="82" t="n"/>
      <c r="G102" s="82" t="n"/>
      <c r="H102" s="82" t="n"/>
      <c r="I102" s="82" t="n"/>
      <c r="J102" s="82" t="n"/>
      <c r="K102" s="82" t="n"/>
    </row>
    <row r="103">
      <c r="A103" s="82" t="n"/>
      <c r="B103" s="82" t="n"/>
      <c r="C103" s="82" t="n"/>
      <c r="D103" s="82" t="n"/>
      <c r="E103" s="82" t="n"/>
      <c r="F103" s="82" t="n"/>
      <c r="G103" s="82" t="n"/>
      <c r="H103" s="82" t="n"/>
      <c r="I103" s="82" t="n"/>
      <c r="J103" s="82" t="n"/>
      <c r="K103" s="82" t="n"/>
    </row>
    <row r="104">
      <c r="A104" s="82" t="n"/>
      <c r="B104" s="82" t="n"/>
      <c r="C104" s="82" t="n"/>
      <c r="D104" s="82" t="n"/>
      <c r="E104" s="82" t="n"/>
      <c r="F104" s="82" t="n"/>
      <c r="G104" s="82" t="n"/>
      <c r="H104" s="82" t="n"/>
      <c r="I104" s="82" t="n"/>
      <c r="J104" s="82" t="n"/>
      <c r="K104" s="82" t="n"/>
    </row>
    <row r="105">
      <c r="A105" s="82" t="n"/>
      <c r="B105" s="82" t="n"/>
      <c r="C105" s="82" t="n"/>
      <c r="D105" s="82" t="n"/>
      <c r="E105" s="82" t="n"/>
      <c r="F105" s="82" t="n"/>
      <c r="G105" s="82" t="n"/>
      <c r="H105" s="82" t="n"/>
      <c r="I105" s="82" t="n"/>
      <c r="J105" s="82" t="n"/>
      <c r="K105" s="82" t="n"/>
    </row>
    <row r="106">
      <c r="A106" s="82" t="n"/>
      <c r="B106" s="82" t="n"/>
      <c r="C106" s="82" t="n"/>
      <c r="D106" s="82" t="n"/>
      <c r="E106" s="82" t="n"/>
      <c r="F106" s="82" t="n"/>
      <c r="G106" s="82" t="n"/>
      <c r="H106" s="82" t="n"/>
      <c r="I106" s="82" t="n"/>
      <c r="J106" s="82" t="n"/>
      <c r="K106" s="82" t="n"/>
    </row>
    <row r="107">
      <c r="A107" s="82" t="n"/>
      <c r="B107" s="82" t="n"/>
      <c r="C107" s="82" t="n"/>
      <c r="D107" s="82" t="n"/>
      <c r="E107" s="82" t="n"/>
      <c r="F107" s="82" t="n"/>
      <c r="G107" s="82" t="n"/>
      <c r="H107" s="82" t="n"/>
      <c r="I107" s="82" t="n"/>
      <c r="J107" s="82" t="n"/>
      <c r="K107" s="82" t="n"/>
    </row>
    <row r="108">
      <c r="A108" s="82" t="n"/>
      <c r="B108" s="82" t="n"/>
      <c r="C108" s="82" t="n"/>
      <c r="D108" s="82" t="n"/>
      <c r="E108" s="82" t="n"/>
      <c r="F108" s="82" t="n"/>
      <c r="G108" s="82" t="n"/>
      <c r="H108" s="82" t="n"/>
      <c r="I108" s="82" t="n"/>
      <c r="J108" s="82" t="n"/>
      <c r="K108" s="82" t="n"/>
    </row>
    <row r="109">
      <c r="A109" s="82" t="n"/>
      <c r="B109" s="82" t="n"/>
      <c r="C109" s="82" t="n"/>
      <c r="D109" s="82" t="n"/>
      <c r="E109" s="82" t="n"/>
      <c r="F109" s="82" t="n"/>
      <c r="G109" s="82" t="n"/>
      <c r="H109" s="82" t="n"/>
      <c r="I109" s="82" t="n"/>
      <c r="J109" s="82" t="n"/>
      <c r="K109" s="82" t="n"/>
    </row>
    <row r="110">
      <c r="A110" s="82" t="n"/>
      <c r="B110" s="82" t="n"/>
      <c r="C110" s="82" t="n"/>
      <c r="D110" s="82" t="n"/>
      <c r="E110" s="82" t="n"/>
      <c r="F110" s="82" t="n"/>
      <c r="G110" s="82" t="n"/>
      <c r="H110" s="82" t="n"/>
      <c r="I110" s="82" t="n"/>
      <c r="J110" s="82" t="n"/>
      <c r="K110" s="82" t="n"/>
    </row>
    <row r="111">
      <c r="A111" s="82" t="n"/>
      <c r="B111" s="82" t="n"/>
      <c r="C111" s="82" t="n"/>
      <c r="D111" s="82" t="n"/>
      <c r="E111" s="82" t="n"/>
      <c r="F111" s="82" t="n"/>
      <c r="G111" s="82" t="n"/>
      <c r="H111" s="82" t="n"/>
      <c r="I111" s="82" t="n"/>
      <c r="J111" s="82" t="n"/>
      <c r="K111" s="82" t="n"/>
    </row>
    <row r="112">
      <c r="A112" s="82" t="n"/>
      <c r="B112" s="82" t="n"/>
      <c r="C112" s="82" t="n"/>
      <c r="D112" s="82" t="n"/>
      <c r="E112" s="82" t="n"/>
      <c r="F112" s="82" t="n"/>
      <c r="G112" s="82" t="n"/>
      <c r="H112" s="82" t="n"/>
      <c r="I112" s="82" t="n"/>
      <c r="J112" s="82" t="n"/>
      <c r="K112" s="82" t="n"/>
    </row>
    <row r="113">
      <c r="A113" s="82" t="n"/>
      <c r="B113" s="82" t="n"/>
      <c r="C113" s="82" t="n"/>
      <c r="D113" s="82" t="n"/>
      <c r="E113" s="82" t="n"/>
      <c r="F113" s="82" t="n"/>
      <c r="G113" s="82" t="n"/>
      <c r="H113" s="82" t="n"/>
      <c r="I113" s="82" t="n"/>
      <c r="J113" s="82" t="n"/>
      <c r="K113" s="82" t="n"/>
    </row>
    <row r="114">
      <c r="A114" s="82" t="n"/>
      <c r="B114" s="82" t="n"/>
      <c r="C114" s="82" t="n"/>
      <c r="D114" s="82" t="n"/>
      <c r="E114" s="82" t="n"/>
      <c r="F114" s="82" t="n"/>
      <c r="G114" s="82" t="n"/>
      <c r="H114" s="82" t="n"/>
      <c r="I114" s="82" t="n"/>
      <c r="J114" s="82" t="n"/>
      <c r="K114" s="82" t="n"/>
    </row>
    <row r="115">
      <c r="A115" s="82" t="n"/>
      <c r="B115" s="82" t="n"/>
      <c r="C115" s="82" t="n"/>
      <c r="D115" s="82" t="n"/>
      <c r="E115" s="82" t="n"/>
      <c r="F115" s="82" t="n"/>
      <c r="G115" s="82" t="n"/>
      <c r="H115" s="82" t="n"/>
      <c r="I115" s="82" t="n"/>
      <c r="J115" s="82" t="n"/>
      <c r="K115" s="82" t="n"/>
    </row>
    <row r="116">
      <c r="A116" s="82" t="n"/>
      <c r="B116" s="82" t="n"/>
      <c r="C116" s="82" t="n"/>
      <c r="D116" s="82" t="n"/>
      <c r="E116" s="82" t="n"/>
      <c r="F116" s="82" t="n"/>
      <c r="G116" s="82" t="n"/>
      <c r="H116" s="82" t="n"/>
      <c r="I116" s="82" t="n"/>
      <c r="J116" s="82" t="n"/>
      <c r="K116" s="82" t="n"/>
    </row>
    <row r="117">
      <c r="A117" s="82" t="n"/>
      <c r="B117" s="82" t="n"/>
      <c r="C117" s="82" t="n"/>
      <c r="D117" s="82" t="n"/>
      <c r="E117" s="82" t="n"/>
      <c r="F117" s="82" t="n"/>
      <c r="G117" s="82" t="n"/>
      <c r="H117" s="82" t="n"/>
      <c r="I117" s="82" t="n"/>
      <c r="J117" s="82" t="n"/>
      <c r="K117" s="82" t="n"/>
    </row>
    <row r="118">
      <c r="A118" s="82" t="n"/>
      <c r="B118" s="82" t="n"/>
      <c r="C118" s="82" t="n"/>
      <c r="D118" s="82" t="n"/>
      <c r="E118" s="82" t="n"/>
      <c r="F118" s="82" t="n"/>
      <c r="G118" s="82" t="n"/>
      <c r="H118" s="82" t="n"/>
      <c r="I118" s="82" t="n"/>
      <c r="J118" s="82" t="n"/>
      <c r="K118" s="82" t="n"/>
    </row>
    <row r="119">
      <c r="A119" s="82" t="n"/>
      <c r="B119" s="82" t="n"/>
      <c r="C119" s="82" t="n"/>
      <c r="D119" s="82" t="n"/>
      <c r="E119" s="82" t="n"/>
      <c r="F119" s="82" t="n"/>
      <c r="G119" s="82" t="n"/>
      <c r="H119" s="82" t="n"/>
      <c r="I119" s="82" t="n"/>
      <c r="J119" s="82" t="n"/>
      <c r="K119" s="82" t="n"/>
    </row>
    <row r="120">
      <c r="A120" s="82" t="n"/>
      <c r="B120" s="82" t="n"/>
      <c r="C120" s="82" t="n"/>
      <c r="D120" s="82" t="n"/>
      <c r="E120" s="82" t="n"/>
      <c r="F120" s="82" t="n"/>
      <c r="G120" s="82" t="n"/>
      <c r="H120" s="82" t="n"/>
      <c r="I120" s="82" t="n"/>
      <c r="J120" s="82" t="n"/>
      <c r="K120" s="82" t="n"/>
    </row>
    <row r="121">
      <c r="A121" s="82" t="n"/>
      <c r="B121" s="82" t="n"/>
      <c r="C121" s="82" t="n"/>
      <c r="D121" s="82" t="n"/>
      <c r="E121" s="82" t="n"/>
      <c r="F121" s="82" t="n"/>
      <c r="G121" s="82" t="n"/>
      <c r="H121" s="82" t="n"/>
      <c r="I121" s="82" t="n"/>
      <c r="J121" s="82" t="n"/>
      <c r="K121" s="82" t="n"/>
    </row>
    <row r="122">
      <c r="A122" s="82" t="n"/>
      <c r="B122" s="82" t="n"/>
      <c r="C122" s="82" t="n"/>
      <c r="D122" s="82" t="n"/>
      <c r="E122" s="82" t="n"/>
      <c r="F122" s="82" t="n"/>
      <c r="G122" s="82" t="n"/>
      <c r="H122" s="82" t="n"/>
      <c r="I122" s="82" t="n"/>
      <c r="J122" s="82" t="n"/>
      <c r="K122" s="82" t="n"/>
    </row>
    <row r="123">
      <c r="A123" s="82" t="n"/>
      <c r="B123" s="82" t="n"/>
      <c r="C123" s="82" t="n"/>
      <c r="D123" s="82" t="n"/>
      <c r="E123" s="82" t="n"/>
      <c r="F123" s="82" t="n"/>
      <c r="G123" s="82" t="n"/>
      <c r="H123" s="82" t="n"/>
      <c r="I123" s="82" t="n"/>
      <c r="J123" s="82" t="n"/>
      <c r="K123" s="82" t="n"/>
    </row>
    <row r="124">
      <c r="A124" s="82" t="n"/>
      <c r="B124" s="82" t="n"/>
      <c r="C124" s="82" t="n"/>
      <c r="D124" s="82" t="n"/>
      <c r="E124" s="82" t="n"/>
      <c r="F124" s="82" t="n"/>
      <c r="G124" s="82" t="n"/>
      <c r="H124" s="82" t="n"/>
      <c r="I124" s="82" t="n"/>
      <c r="J124" s="82" t="n"/>
      <c r="K124" s="82" t="n"/>
    </row>
    <row r="125">
      <c r="A125" s="82" t="n"/>
      <c r="B125" s="82" t="n"/>
      <c r="C125" s="82" t="n"/>
      <c r="D125" s="82" t="n"/>
      <c r="E125" s="82" t="n"/>
      <c r="F125" s="82" t="n"/>
      <c r="G125" s="82" t="n"/>
      <c r="H125" s="82" t="n"/>
      <c r="I125" s="82" t="n"/>
      <c r="J125" s="82" t="n"/>
      <c r="K125" s="82" t="n"/>
    </row>
    <row r="126">
      <c r="A126" s="82" t="n"/>
      <c r="B126" s="82" t="n"/>
      <c r="C126" s="82" t="n"/>
      <c r="D126" s="82" t="n"/>
      <c r="E126" s="82" t="n"/>
      <c r="F126" s="82" t="n"/>
      <c r="G126" s="82" t="n"/>
      <c r="H126" s="82" t="n"/>
      <c r="I126" s="82" t="n"/>
      <c r="J126" s="82" t="n"/>
      <c r="K126" s="82" t="n"/>
    </row>
    <row r="127">
      <c r="A127" s="82" t="n"/>
      <c r="B127" s="82" t="n"/>
      <c r="C127" s="82" t="n"/>
      <c r="D127" s="82" t="n"/>
      <c r="E127" s="82" t="n"/>
      <c r="F127" s="82" t="n"/>
      <c r="G127" s="82" t="n"/>
      <c r="H127" s="82" t="n"/>
      <c r="I127" s="82" t="n"/>
      <c r="J127" s="82" t="n"/>
      <c r="K127" s="82" t="n"/>
    </row>
    <row r="128">
      <c r="A128" s="82" t="n"/>
      <c r="B128" s="82" t="n"/>
      <c r="C128" s="82" t="n"/>
      <c r="D128" s="82" t="n"/>
      <c r="E128" s="82" t="n"/>
      <c r="F128" s="82" t="n"/>
      <c r="G128" s="82" t="n"/>
      <c r="H128" s="82" t="n"/>
      <c r="I128" s="82" t="n"/>
      <c r="J128" s="82" t="n"/>
      <c r="K128" s="82" t="n"/>
    </row>
    <row r="129">
      <c r="A129" s="82" t="n"/>
      <c r="B129" s="82" t="n"/>
      <c r="C129" s="82" t="n"/>
      <c r="D129" s="82" t="n"/>
      <c r="E129" s="82" t="n"/>
      <c r="F129" s="82" t="n"/>
      <c r="G129" s="82" t="n"/>
      <c r="H129" s="82" t="n"/>
      <c r="I129" s="82" t="n"/>
      <c r="J129" s="82" t="n"/>
      <c r="K129" s="82" t="n"/>
    </row>
    <row r="130">
      <c r="A130" s="82" t="n"/>
      <c r="B130" s="82" t="n"/>
      <c r="C130" s="82" t="n"/>
      <c r="D130" s="82" t="n"/>
      <c r="E130" s="82" t="n"/>
      <c r="F130" s="82" t="n"/>
      <c r="G130" s="82" t="n"/>
      <c r="H130" s="82" t="n"/>
      <c r="I130" s="82" t="n"/>
      <c r="J130" s="82" t="n"/>
      <c r="K130" s="82" t="n"/>
    </row>
    <row r="131">
      <c r="A131" s="82" t="n"/>
      <c r="B131" s="82" t="n"/>
      <c r="C131" s="82" t="n"/>
      <c r="D131" s="82" t="n"/>
      <c r="E131" s="82" t="n"/>
      <c r="F131" s="82" t="n"/>
      <c r="G131" s="82" t="n"/>
      <c r="H131" s="82" t="n"/>
      <c r="I131" s="82" t="n"/>
      <c r="J131" s="82" t="n"/>
      <c r="K131" s="82" t="n"/>
    </row>
    <row r="132">
      <c r="A132" s="82" t="n"/>
      <c r="B132" s="82" t="n"/>
      <c r="C132" s="82" t="n"/>
      <c r="D132" s="82" t="n"/>
      <c r="E132" s="82" t="n"/>
      <c r="F132" s="82" t="n"/>
      <c r="G132" s="82" t="n"/>
      <c r="H132" s="82" t="n"/>
      <c r="I132" s="82" t="n"/>
      <c r="J132" s="82" t="n"/>
      <c r="K132" s="82" t="n"/>
    </row>
    <row r="133">
      <c r="A133" s="82" t="n"/>
      <c r="B133" s="82" t="n"/>
      <c r="C133" s="82" t="n"/>
      <c r="D133" s="82" t="n"/>
      <c r="E133" s="82" t="n"/>
      <c r="F133" s="82" t="n"/>
      <c r="G133" s="82" t="n"/>
      <c r="H133" s="82" t="n"/>
      <c r="I133" s="82" t="n"/>
      <c r="J133" s="82" t="n"/>
      <c r="K133" s="82" t="n"/>
    </row>
    <row r="134">
      <c r="A134" s="82" t="n"/>
      <c r="B134" s="82" t="n"/>
      <c r="C134" s="82" t="n"/>
      <c r="D134" s="82" t="n"/>
      <c r="E134" s="82" t="n"/>
      <c r="F134" s="82" t="n"/>
      <c r="G134" s="82" t="n"/>
      <c r="H134" s="82" t="n"/>
      <c r="I134" s="82" t="n"/>
      <c r="J134" s="82" t="n"/>
      <c r="K134" s="82" t="n"/>
    </row>
    <row r="135">
      <c r="A135" s="82" t="n"/>
      <c r="B135" s="82" t="n"/>
      <c r="C135" s="82" t="n"/>
      <c r="D135" s="82" t="n"/>
      <c r="E135" s="82" t="n"/>
      <c r="F135" s="82" t="n"/>
      <c r="G135" s="82" t="n"/>
      <c r="H135" s="82" t="n"/>
      <c r="I135" s="82" t="n"/>
      <c r="J135" s="82" t="n"/>
      <c r="K135" s="82" t="n"/>
    </row>
    <row r="136">
      <c r="A136" s="82" t="n"/>
      <c r="B136" s="82" t="n"/>
      <c r="C136" s="82" t="n"/>
      <c r="D136" s="82" t="n"/>
      <c r="E136" s="82" t="n"/>
      <c r="F136" s="82" t="n"/>
      <c r="G136" s="82" t="n"/>
      <c r="H136" s="82" t="n"/>
      <c r="I136" s="82" t="n"/>
      <c r="J136" s="82" t="n"/>
      <c r="K136" s="82" t="n"/>
    </row>
    <row r="137">
      <c r="A137" s="82" t="n"/>
      <c r="B137" s="82" t="n"/>
      <c r="C137" s="82" t="n"/>
      <c r="D137" s="82" t="n"/>
      <c r="E137" s="82" t="n"/>
      <c r="F137" s="82" t="n"/>
      <c r="G137" s="82" t="n"/>
      <c r="H137" s="82" t="n"/>
      <c r="I137" s="82" t="n"/>
      <c r="J137" s="82" t="n"/>
      <c r="K137" s="82" t="n"/>
    </row>
    <row r="138">
      <c r="A138" s="82" t="n"/>
      <c r="B138" s="82" t="n"/>
      <c r="C138" s="82" t="n"/>
      <c r="D138" s="82" t="n"/>
      <c r="E138" s="82" t="n"/>
      <c r="F138" s="82" t="n"/>
      <c r="G138" s="82" t="n"/>
      <c r="H138" s="82" t="n"/>
      <c r="I138" s="82" t="n"/>
      <c r="J138" s="82" t="n"/>
      <c r="K138" s="82" t="n"/>
    </row>
    <row r="139">
      <c r="A139" s="82" t="n"/>
      <c r="B139" s="82" t="n"/>
      <c r="C139" s="82" t="n"/>
      <c r="D139" s="82" t="n"/>
      <c r="E139" s="82" t="n"/>
      <c r="F139" s="82" t="n"/>
      <c r="G139" s="82" t="n"/>
      <c r="H139" s="82" t="n"/>
      <c r="I139" s="82" t="n"/>
      <c r="J139" s="82" t="n"/>
      <c r="K139" s="82" t="n"/>
    </row>
    <row r="140">
      <c r="A140" s="82" t="n"/>
      <c r="B140" s="82" t="n"/>
      <c r="C140" s="82" t="n"/>
      <c r="D140" s="82" t="n"/>
      <c r="E140" s="82" t="n"/>
      <c r="F140" s="82" t="n"/>
      <c r="G140" s="82" t="n"/>
      <c r="H140" s="82" t="n"/>
      <c r="I140" s="82" t="n"/>
      <c r="J140" s="82" t="n"/>
      <c r="K140" s="82" t="n"/>
    </row>
    <row r="141">
      <c r="A141" s="82" t="n"/>
      <c r="B141" s="82" t="n"/>
      <c r="C141" s="82" t="n"/>
      <c r="D141" s="82" t="n"/>
      <c r="E141" s="82" t="n"/>
      <c r="F141" s="82" t="n"/>
      <c r="G141" s="82" t="n"/>
      <c r="H141" s="82" t="n"/>
      <c r="I141" s="82" t="n"/>
      <c r="J141" s="82" t="n"/>
      <c r="K141" s="82" t="n"/>
    </row>
    <row r="142">
      <c r="A142" s="82" t="n"/>
      <c r="B142" s="82" t="n"/>
      <c r="C142" s="82" t="n"/>
      <c r="D142" s="82" t="n"/>
      <c r="E142" s="82" t="n"/>
      <c r="F142" s="82" t="n"/>
      <c r="G142" s="82" t="n"/>
      <c r="H142" s="82" t="n"/>
      <c r="I142" s="82" t="n"/>
      <c r="J142" s="82" t="n"/>
      <c r="K142" s="82" t="n"/>
    </row>
    <row r="143">
      <c r="A143" s="82" t="n"/>
      <c r="B143" s="82" t="n"/>
      <c r="C143" s="82" t="n"/>
      <c r="D143" s="82" t="n"/>
      <c r="E143" s="82" t="n"/>
      <c r="F143" s="82" t="n"/>
      <c r="G143" s="82" t="n"/>
      <c r="H143" s="82" t="n"/>
      <c r="I143" s="82" t="n"/>
      <c r="J143" s="82" t="n"/>
      <c r="K143" s="82" t="n"/>
    </row>
    <row r="144">
      <c r="A144" s="82" t="n"/>
      <c r="B144" s="82" t="n"/>
      <c r="C144" s="82" t="n"/>
      <c r="D144" s="82" t="n"/>
      <c r="E144" s="82" t="n"/>
      <c r="F144" s="82" t="n"/>
      <c r="G144" s="82" t="n"/>
      <c r="H144" s="82" t="n"/>
      <c r="I144" s="82" t="n"/>
      <c r="J144" s="82" t="n"/>
      <c r="K144" s="82" t="n"/>
    </row>
    <row r="145">
      <c r="A145" s="82" t="n"/>
      <c r="B145" s="82" t="n"/>
      <c r="C145" s="82" t="n"/>
      <c r="D145" s="82" t="n"/>
      <c r="E145" s="82" t="n"/>
      <c r="F145" s="82" t="n"/>
      <c r="G145" s="82" t="n"/>
      <c r="H145" s="82" t="n"/>
      <c r="I145" s="82" t="n"/>
      <c r="J145" s="82" t="n"/>
      <c r="K145" s="82" t="n"/>
    </row>
    <row r="146">
      <c r="A146" s="82" t="n"/>
      <c r="B146" s="82" t="n"/>
      <c r="C146" s="82" t="n"/>
      <c r="D146" s="82" t="n"/>
      <c r="E146" s="82" t="n"/>
      <c r="F146" s="82" t="n"/>
      <c r="G146" s="82" t="n"/>
      <c r="H146" s="82" t="n"/>
      <c r="I146" s="82" t="n"/>
      <c r="J146" s="82" t="n"/>
      <c r="K146" s="82" t="n"/>
    </row>
    <row r="147">
      <c r="A147" s="82" t="n"/>
      <c r="B147" s="82" t="n"/>
      <c r="C147" s="82" t="n"/>
      <c r="D147" s="82" t="n"/>
      <c r="E147" s="82" t="n"/>
      <c r="F147" s="82" t="n"/>
      <c r="G147" s="82" t="n"/>
      <c r="H147" s="82" t="n"/>
      <c r="I147" s="82" t="n"/>
      <c r="J147" s="82" t="n"/>
      <c r="K147" s="82" t="n"/>
    </row>
    <row r="148">
      <c r="A148" s="82" t="n"/>
      <c r="B148" s="82" t="n"/>
      <c r="C148" s="82" t="n"/>
      <c r="D148" s="82" t="n"/>
      <c r="E148" s="82" t="n"/>
      <c r="F148" s="82" t="n"/>
      <c r="G148" s="82" t="n"/>
      <c r="H148" s="82" t="n"/>
      <c r="I148" s="82" t="n"/>
      <c r="J148" s="82" t="n"/>
      <c r="K148" s="82" t="n"/>
    </row>
    <row r="149">
      <c r="A149" s="82" t="n"/>
      <c r="B149" s="82" t="n"/>
      <c r="C149" s="82" t="n"/>
      <c r="D149" s="82" t="n"/>
      <c r="E149" s="82" t="n"/>
      <c r="F149" s="82" t="n"/>
      <c r="G149" s="82" t="n"/>
      <c r="H149" s="82" t="n"/>
      <c r="I149" s="82" t="n"/>
      <c r="J149" s="82" t="n"/>
      <c r="K149" s="82" t="n"/>
    </row>
    <row r="150">
      <c r="A150" s="82" t="n"/>
      <c r="B150" s="82" t="n"/>
      <c r="C150" s="82" t="n"/>
      <c r="D150" s="82" t="n"/>
      <c r="E150" s="82" t="n"/>
      <c r="F150" s="82" t="n"/>
      <c r="G150" s="82" t="n"/>
      <c r="H150" s="82" t="n"/>
      <c r="I150" s="82" t="n"/>
      <c r="J150" s="82" t="n"/>
      <c r="K150" s="82" t="n"/>
    </row>
    <row r="151">
      <c r="A151" s="82" t="n"/>
      <c r="B151" s="82" t="n"/>
      <c r="C151" s="82" t="n"/>
      <c r="D151" s="82" t="n"/>
      <c r="E151" s="82" t="n"/>
      <c r="F151" s="82" t="n"/>
      <c r="G151" s="82" t="n"/>
      <c r="H151" s="82" t="n"/>
      <c r="I151" s="82" t="n"/>
      <c r="J151" s="82" t="n"/>
      <c r="K151" s="82" t="n"/>
    </row>
    <row r="152">
      <c r="A152" s="82" t="n"/>
      <c r="B152" s="82" t="n"/>
      <c r="C152" s="82" t="n"/>
      <c r="D152" s="82" t="n"/>
      <c r="E152" s="82" t="n"/>
      <c r="F152" s="82" t="n"/>
      <c r="G152" s="82" t="n"/>
      <c r="H152" s="82" t="n"/>
      <c r="I152" s="82" t="n"/>
      <c r="J152" s="82" t="n"/>
      <c r="K152" s="82" t="n"/>
    </row>
    <row r="153">
      <c r="A153" s="82" t="n"/>
      <c r="B153" s="82" t="n"/>
      <c r="C153" s="82" t="n"/>
      <c r="D153" s="82" t="n"/>
      <c r="E153" s="82" t="n"/>
      <c r="F153" s="82" t="n"/>
      <c r="G153" s="82" t="n"/>
      <c r="H153" s="82" t="n"/>
      <c r="I153" s="82" t="n"/>
      <c r="J153" s="82" t="n"/>
      <c r="K153" s="82" t="n"/>
    </row>
    <row r="154">
      <c r="A154" s="82" t="n"/>
      <c r="B154" s="82" t="n"/>
      <c r="C154" s="82" t="n"/>
      <c r="D154" s="82" t="n"/>
      <c r="E154" s="82" t="n"/>
      <c r="F154" s="82" t="n"/>
      <c r="G154" s="82" t="n"/>
      <c r="H154" s="82" t="n"/>
      <c r="I154" s="82" t="n"/>
      <c r="J154" s="82" t="n"/>
      <c r="K154" s="82" t="n"/>
    </row>
    <row r="155">
      <c r="A155" s="82" t="n"/>
      <c r="B155" s="82" t="n"/>
      <c r="C155" s="82" t="n"/>
      <c r="D155" s="82" t="n"/>
      <c r="E155" s="82" t="n"/>
      <c r="F155" s="82" t="n"/>
      <c r="G155" s="82" t="n"/>
      <c r="H155" s="82" t="n"/>
      <c r="I155" s="82" t="n"/>
      <c r="J155" s="82" t="n"/>
      <c r="K155" s="82" t="n"/>
    </row>
    <row r="156">
      <c r="A156" s="82" t="n"/>
      <c r="B156" s="82" t="n"/>
      <c r="C156" s="82" t="n"/>
      <c r="D156" s="82" t="n"/>
      <c r="E156" s="82" t="n"/>
      <c r="F156" s="82" t="n"/>
      <c r="G156" s="82" t="n"/>
      <c r="H156" s="82" t="n"/>
      <c r="I156" s="82" t="n"/>
      <c r="J156" s="82" t="n"/>
      <c r="K156" s="82" t="n"/>
    </row>
    <row r="157">
      <c r="A157" s="82" t="n"/>
      <c r="B157" s="82" t="n"/>
      <c r="C157" s="82" t="n"/>
      <c r="D157" s="82" t="n"/>
      <c r="E157" s="82" t="n"/>
      <c r="F157" s="82" t="n"/>
      <c r="G157" s="82" t="n"/>
      <c r="H157" s="82" t="n"/>
      <c r="I157" s="82" t="n"/>
      <c r="J157" s="82" t="n"/>
      <c r="K157" s="82" t="n"/>
    </row>
    <row r="158">
      <c r="A158" s="82" t="n"/>
      <c r="B158" s="82" t="n"/>
      <c r="C158" s="82" t="n"/>
      <c r="D158" s="82" t="n"/>
      <c r="E158" s="82" t="n"/>
      <c r="F158" s="82" t="n"/>
      <c r="G158" s="82" t="n"/>
      <c r="H158" s="82" t="n"/>
      <c r="I158" s="82" t="n"/>
      <c r="J158" s="82" t="n"/>
      <c r="K158" s="82" t="n"/>
    </row>
    <row r="159">
      <c r="A159" s="82" t="n"/>
      <c r="B159" s="82" t="n"/>
      <c r="C159" s="82" t="n"/>
      <c r="D159" s="82" t="n"/>
      <c r="E159" s="82" t="n"/>
      <c r="F159" s="82" t="n"/>
      <c r="G159" s="82" t="n"/>
      <c r="H159" s="82" t="n"/>
      <c r="I159" s="82" t="n"/>
      <c r="J159" s="82" t="n"/>
      <c r="K159" s="82" t="n"/>
    </row>
    <row r="160">
      <c r="A160" s="82" t="n"/>
      <c r="B160" s="82" t="n"/>
      <c r="C160" s="82" t="n"/>
      <c r="D160" s="82" t="n"/>
      <c r="E160" s="82" t="n"/>
      <c r="F160" s="82" t="n"/>
      <c r="G160" s="82" t="n"/>
      <c r="H160" s="82" t="n"/>
      <c r="I160" s="82" t="n"/>
      <c r="J160" s="82" t="n"/>
      <c r="K160" s="82" t="n"/>
    </row>
    <row r="161">
      <c r="A161" s="82" t="n"/>
      <c r="B161" s="82" t="n"/>
      <c r="C161" s="82" t="n"/>
      <c r="D161" s="82" t="n"/>
      <c r="E161" s="82" t="n"/>
      <c r="F161" s="82" t="n"/>
      <c r="G161" s="82" t="n"/>
      <c r="H161" s="82" t="n"/>
      <c r="I161" s="82" t="n"/>
      <c r="J161" s="82" t="n"/>
      <c r="K161" s="82" t="n"/>
    </row>
    <row r="162">
      <c r="A162" s="82" t="n"/>
      <c r="B162" s="82" t="n"/>
      <c r="C162" s="82" t="n"/>
      <c r="D162" s="82" t="n"/>
      <c r="E162" s="82" t="n"/>
      <c r="F162" s="82" t="n"/>
      <c r="G162" s="82" t="n"/>
      <c r="H162" s="82" t="n"/>
      <c r="I162" s="82" t="n"/>
      <c r="J162" s="82" t="n"/>
      <c r="K162" s="82" t="n"/>
    </row>
    <row r="163">
      <c r="A163" s="82" t="n"/>
      <c r="B163" s="82" t="n"/>
      <c r="C163" s="82" t="n"/>
      <c r="D163" s="82" t="n"/>
      <c r="E163" s="82" t="n"/>
      <c r="F163" s="82" t="n"/>
      <c r="G163" s="82" t="n"/>
      <c r="H163" s="82" t="n"/>
      <c r="I163" s="82" t="n"/>
      <c r="J163" s="82" t="n"/>
      <c r="K163" s="82" t="n"/>
    </row>
    <row r="164">
      <c r="A164" s="82" t="n"/>
      <c r="B164" s="82" t="n"/>
      <c r="C164" s="82" t="n"/>
      <c r="D164" s="82" t="n"/>
      <c r="E164" s="82" t="n"/>
      <c r="F164" s="82" t="n"/>
      <c r="G164" s="82" t="n"/>
      <c r="H164" s="82" t="n"/>
      <c r="I164" s="82" t="n"/>
      <c r="J164" s="82" t="n"/>
      <c r="K164" s="82" t="n"/>
    </row>
    <row r="165">
      <c r="A165" s="82" t="n"/>
      <c r="B165" s="82" t="n"/>
      <c r="C165" s="82" t="n"/>
      <c r="D165" s="82" t="n"/>
      <c r="E165" s="82" t="n"/>
      <c r="F165" s="82" t="n"/>
      <c r="G165" s="82" t="n"/>
      <c r="H165" s="82" t="n"/>
      <c r="I165" s="82" t="n"/>
      <c r="J165" s="82" t="n"/>
      <c r="K165" s="82" t="n"/>
    </row>
    <row r="166">
      <c r="A166" s="82" t="n"/>
      <c r="B166" s="82" t="n"/>
      <c r="C166" s="82" t="n"/>
      <c r="D166" s="82" t="n"/>
      <c r="E166" s="82" t="n"/>
      <c r="F166" s="82" t="n"/>
      <c r="G166" s="82" t="n"/>
      <c r="H166" s="82" t="n"/>
      <c r="I166" s="82" t="n"/>
      <c r="J166" s="82" t="n"/>
      <c r="K166" s="82" t="n"/>
    </row>
    <row r="167">
      <c r="A167" s="82" t="n"/>
      <c r="B167" s="82" t="n"/>
      <c r="C167" s="82" t="n"/>
      <c r="D167" s="82" t="n"/>
      <c r="E167" s="82" t="n"/>
      <c r="F167" s="82" t="n"/>
      <c r="G167" s="82" t="n"/>
      <c r="H167" s="82" t="n"/>
      <c r="I167" s="82" t="n"/>
      <c r="J167" s="82" t="n"/>
      <c r="K167" s="82" t="n"/>
    </row>
    <row r="168">
      <c r="A168" s="82" t="n"/>
      <c r="B168" s="82" t="n"/>
      <c r="C168" s="82" t="n"/>
      <c r="D168" s="82" t="n"/>
      <c r="E168" s="82" t="n"/>
      <c r="F168" s="82" t="n"/>
      <c r="G168" s="82" t="n"/>
      <c r="H168" s="82" t="n"/>
      <c r="I168" s="82" t="n"/>
      <c r="J168" s="82" t="n"/>
      <c r="K168" s="82" t="n"/>
    </row>
    <row r="169">
      <c r="A169" s="82" t="n"/>
      <c r="B169" s="82" t="n"/>
      <c r="C169" s="82" t="n"/>
      <c r="D169" s="82" t="n"/>
      <c r="E169" s="82" t="n"/>
      <c r="F169" s="82" t="n"/>
      <c r="G169" s="82" t="n"/>
      <c r="H169" s="82" t="n"/>
      <c r="I169" s="82" t="n"/>
      <c r="J169" s="82" t="n"/>
      <c r="K169" s="82" t="n"/>
    </row>
    <row r="170">
      <c r="A170" s="82" t="n"/>
      <c r="B170" s="82" t="n"/>
      <c r="C170" s="82" t="n"/>
      <c r="D170" s="82" t="n"/>
      <c r="E170" s="82" t="n"/>
      <c r="F170" s="82" t="n"/>
      <c r="G170" s="82" t="n"/>
      <c r="H170" s="82" t="n"/>
      <c r="I170" s="82" t="n"/>
      <c r="J170" s="82" t="n"/>
      <c r="K170" s="82" t="n"/>
    </row>
    <row r="171">
      <c r="A171" s="82" t="n"/>
      <c r="B171" s="82" t="n"/>
      <c r="C171" s="82" t="n"/>
      <c r="D171" s="82" t="n"/>
      <c r="E171" s="82" t="n"/>
      <c r="F171" s="82" t="n"/>
      <c r="G171" s="82" t="n"/>
      <c r="H171" s="82" t="n"/>
      <c r="I171" s="82" t="n"/>
      <c r="J171" s="82" t="n"/>
      <c r="K171" s="82" t="n"/>
    </row>
    <row r="172">
      <c r="A172" s="82" t="n"/>
      <c r="B172" s="82" t="n"/>
      <c r="C172" s="82" t="n"/>
      <c r="D172" s="82" t="n"/>
      <c r="E172" s="82" t="n"/>
      <c r="F172" s="82" t="n"/>
      <c r="G172" s="82" t="n"/>
      <c r="H172" s="82" t="n"/>
      <c r="I172" s="82" t="n"/>
      <c r="J172" s="82" t="n"/>
      <c r="K172" s="82" t="n"/>
    </row>
    <row r="173">
      <c r="A173" s="82" t="n"/>
      <c r="B173" s="82" t="n"/>
      <c r="C173" s="82" t="n"/>
      <c r="D173" s="82" t="n"/>
      <c r="E173" s="82" t="n"/>
      <c r="F173" s="82" t="n"/>
      <c r="G173" s="82" t="n"/>
      <c r="H173" s="82" t="n"/>
      <c r="I173" s="82" t="n"/>
      <c r="J173" s="82" t="n"/>
      <c r="K173" s="82" t="n"/>
    </row>
    <row r="174">
      <c r="A174" s="82" t="n"/>
      <c r="B174" s="82" t="n"/>
      <c r="C174" s="82" t="n"/>
      <c r="D174" s="82" t="n"/>
      <c r="E174" s="82" t="n"/>
      <c r="F174" s="82" t="n"/>
      <c r="G174" s="82" t="n"/>
      <c r="H174" s="82" t="n"/>
      <c r="I174" s="82" t="n"/>
      <c r="J174" s="82" t="n"/>
      <c r="K174" s="82" t="n"/>
    </row>
    <row r="175">
      <c r="A175" s="82" t="n"/>
      <c r="B175" s="82" t="n"/>
      <c r="C175" s="82" t="n"/>
      <c r="D175" s="82" t="n"/>
      <c r="E175" s="82" t="n"/>
      <c r="F175" s="82" t="n"/>
      <c r="G175" s="82" t="n"/>
      <c r="H175" s="82" t="n"/>
      <c r="I175" s="82" t="n"/>
      <c r="J175" s="82" t="n"/>
      <c r="K175" s="82" t="n"/>
    </row>
    <row r="176">
      <c r="A176" s="82" t="n"/>
      <c r="B176" s="82" t="n"/>
      <c r="C176" s="82" t="n"/>
      <c r="D176" s="82" t="n"/>
      <c r="E176" s="82" t="n"/>
      <c r="F176" s="82" t="n"/>
      <c r="G176" s="82" t="n"/>
      <c r="H176" s="82" t="n"/>
      <c r="I176" s="82" t="n"/>
      <c r="J176" s="82" t="n"/>
      <c r="K176" s="82" t="n"/>
    </row>
    <row r="177">
      <c r="A177" s="82" t="n"/>
      <c r="B177" s="82" t="n"/>
      <c r="C177" s="82" t="n"/>
      <c r="D177" s="82" t="n"/>
      <c r="E177" s="82" t="n"/>
      <c r="F177" s="82" t="n"/>
      <c r="G177" s="82" t="n"/>
      <c r="H177" s="82" t="n"/>
      <c r="I177" s="82" t="n"/>
      <c r="J177" s="82" t="n"/>
      <c r="K177" s="82" t="n"/>
    </row>
    <row r="178">
      <c r="A178" s="82" t="n"/>
      <c r="B178" s="82" t="n"/>
      <c r="C178" s="82" t="n"/>
      <c r="D178" s="82" t="n"/>
      <c r="E178" s="82" t="n"/>
      <c r="F178" s="82" t="n"/>
      <c r="G178" s="82" t="n"/>
      <c r="H178" s="82" t="n"/>
      <c r="I178" s="82" t="n"/>
      <c r="J178" s="82" t="n"/>
      <c r="K178" s="82" t="n"/>
    </row>
    <row r="179">
      <c r="A179" s="82" t="n"/>
      <c r="B179" s="82" t="n"/>
      <c r="C179" s="82" t="n"/>
      <c r="D179" s="82" t="n"/>
      <c r="E179" s="82" t="n"/>
      <c r="F179" s="82" t="n"/>
      <c r="G179" s="82" t="n"/>
      <c r="H179" s="82" t="n"/>
      <c r="I179" s="82" t="n"/>
      <c r="J179" s="82" t="n"/>
      <c r="K179" s="82" t="n"/>
    </row>
    <row r="180">
      <c r="A180" s="82" t="n"/>
      <c r="B180" s="82" t="n"/>
      <c r="C180" s="82" t="n"/>
      <c r="D180" s="82" t="n"/>
      <c r="E180" s="82" t="n"/>
      <c r="F180" s="82" t="n"/>
      <c r="G180" s="82" t="n"/>
      <c r="H180" s="82" t="n"/>
      <c r="I180" s="82" t="n"/>
      <c r="J180" s="82" t="n"/>
      <c r="K180" s="82" t="n"/>
    </row>
    <row r="181">
      <c r="A181" s="82" t="n"/>
      <c r="B181" s="82" t="n"/>
      <c r="C181" s="82" t="n"/>
      <c r="D181" s="82" t="n"/>
      <c r="E181" s="82" t="n"/>
      <c r="F181" s="82" t="n"/>
      <c r="G181" s="82" t="n"/>
      <c r="H181" s="82" t="n"/>
      <c r="I181" s="82" t="n"/>
      <c r="J181" s="82" t="n"/>
      <c r="K181" s="82" t="n"/>
    </row>
    <row r="182">
      <c r="A182" s="82" t="n"/>
      <c r="B182" s="82" t="n"/>
      <c r="C182" s="82" t="n"/>
      <c r="D182" s="82" t="n"/>
      <c r="E182" s="82" t="n"/>
      <c r="F182" s="82" t="n"/>
      <c r="G182" s="82" t="n"/>
      <c r="H182" s="82" t="n"/>
      <c r="I182" s="82" t="n"/>
      <c r="J182" s="82" t="n"/>
      <c r="K182" s="82" t="n"/>
    </row>
    <row r="183">
      <c r="A183" s="82" t="n"/>
      <c r="B183" s="82" t="n"/>
      <c r="C183" s="82" t="n"/>
      <c r="D183" s="82" t="n"/>
      <c r="E183" s="82" t="n"/>
      <c r="F183" s="82" t="n"/>
      <c r="G183" s="82" t="n"/>
      <c r="H183" s="82" t="n"/>
      <c r="I183" s="82" t="n"/>
      <c r="J183" s="82" t="n"/>
      <c r="K183" s="82" t="n"/>
    </row>
    <row r="184">
      <c r="A184" s="82" t="n"/>
      <c r="B184" s="82" t="n"/>
      <c r="C184" s="82" t="n"/>
      <c r="D184" s="82" t="n"/>
      <c r="E184" s="82" t="n"/>
      <c r="F184" s="82" t="n"/>
      <c r="G184" s="82" t="n"/>
      <c r="H184" s="82" t="n"/>
      <c r="I184" s="82" t="n"/>
      <c r="J184" s="82" t="n"/>
      <c r="K184" s="82" t="n"/>
    </row>
    <row r="185">
      <c r="A185" s="82" t="n"/>
      <c r="B185" s="82" t="n"/>
      <c r="C185" s="82" t="n"/>
      <c r="D185" s="82" t="n"/>
      <c r="E185" s="82" t="n"/>
      <c r="F185" s="82" t="n"/>
      <c r="G185" s="82" t="n"/>
      <c r="H185" s="82" t="n"/>
      <c r="I185" s="82" t="n"/>
      <c r="J185" s="82" t="n"/>
      <c r="K185" s="82" t="n"/>
    </row>
    <row r="186">
      <c r="A186" s="82" t="n"/>
      <c r="B186" s="82" t="n"/>
      <c r="C186" s="82" t="n"/>
      <c r="D186" s="82" t="n"/>
      <c r="E186" s="82" t="n"/>
      <c r="F186" s="82" t="n"/>
      <c r="G186" s="82" t="n"/>
      <c r="H186" s="82" t="n"/>
      <c r="I186" s="82" t="n"/>
      <c r="J186" s="82" t="n"/>
      <c r="K186" s="82" t="n"/>
    </row>
    <row r="187">
      <c r="A187" s="82" t="n"/>
      <c r="B187" s="82" t="n"/>
      <c r="C187" s="82" t="n"/>
      <c r="D187" s="82" t="n"/>
      <c r="E187" s="82" t="n"/>
      <c r="F187" s="82" t="n"/>
      <c r="G187" s="82" t="n"/>
      <c r="H187" s="82" t="n"/>
      <c r="I187" s="82" t="n"/>
      <c r="J187" s="82" t="n"/>
      <c r="K187" s="82" t="n"/>
    </row>
    <row r="188">
      <c r="A188" s="82" t="n"/>
      <c r="B188" s="82" t="n"/>
      <c r="C188" s="82" t="n"/>
      <c r="D188" s="82" t="n"/>
      <c r="E188" s="82" t="n"/>
      <c r="F188" s="82" t="n"/>
      <c r="G188" s="82" t="n"/>
      <c r="H188" s="82" t="n"/>
      <c r="I188" s="82" t="n"/>
      <c r="J188" s="82" t="n"/>
      <c r="K188" s="82" t="n"/>
    </row>
    <row r="189">
      <c r="A189" s="82" t="n"/>
      <c r="B189" s="82" t="n"/>
      <c r="C189" s="82" t="n"/>
      <c r="D189" s="82" t="n"/>
      <c r="E189" s="82" t="n"/>
      <c r="F189" s="82" t="n"/>
      <c r="G189" s="82" t="n"/>
      <c r="H189" s="82" t="n"/>
      <c r="I189" s="82" t="n"/>
      <c r="J189" s="82" t="n"/>
      <c r="K189" s="82" t="n"/>
    </row>
    <row r="190">
      <c r="A190" s="82" t="n"/>
      <c r="B190" s="82" t="n"/>
      <c r="C190" s="82" t="n"/>
      <c r="D190" s="82" t="n"/>
      <c r="E190" s="82" t="n"/>
      <c r="F190" s="82" t="n"/>
      <c r="G190" s="82" t="n"/>
      <c r="H190" s="82" t="n"/>
      <c r="I190" s="82" t="n"/>
      <c r="J190" s="82" t="n"/>
      <c r="K190" s="82" t="n"/>
    </row>
    <row r="191">
      <c r="A191" s="82" t="n"/>
      <c r="B191" s="82" t="n"/>
      <c r="C191" s="82" t="n"/>
      <c r="D191" s="82" t="n"/>
      <c r="E191" s="82" t="n"/>
      <c r="F191" s="82" t="n"/>
      <c r="G191" s="82" t="n"/>
      <c r="H191" s="82" t="n"/>
      <c r="I191" s="82" t="n"/>
      <c r="J191" s="82" t="n"/>
      <c r="K191" s="82" t="n"/>
    </row>
    <row r="192">
      <c r="A192" s="82" t="n"/>
      <c r="B192" s="82" t="n"/>
      <c r="C192" s="82" t="n"/>
      <c r="D192" s="82" t="n"/>
      <c r="E192" s="82" t="n"/>
      <c r="F192" s="82" t="n"/>
      <c r="G192" s="82" t="n"/>
      <c r="H192" s="82" t="n"/>
      <c r="I192" s="82" t="n"/>
      <c r="J192" s="82" t="n"/>
      <c r="K192" s="82" t="n"/>
    </row>
    <row r="193">
      <c r="A193" s="82" t="n"/>
      <c r="B193" s="82" t="n"/>
      <c r="C193" s="82" t="n"/>
      <c r="D193" s="82" t="n"/>
      <c r="E193" s="82" t="n"/>
      <c r="F193" s="82" t="n"/>
      <c r="G193" s="82" t="n"/>
      <c r="H193" s="82" t="n"/>
      <c r="I193" s="82" t="n"/>
      <c r="J193" s="82" t="n"/>
      <c r="K193" s="82" t="n"/>
    </row>
    <row r="194">
      <c r="A194" s="82" t="n"/>
      <c r="B194" s="82" t="n"/>
      <c r="C194" s="82" t="n"/>
      <c r="D194" s="82" t="n"/>
      <c r="E194" s="82" t="n"/>
      <c r="F194" s="82" t="n"/>
      <c r="G194" s="82" t="n"/>
      <c r="H194" s="82" t="n"/>
      <c r="I194" s="82" t="n"/>
      <c r="J194" s="82" t="n"/>
      <c r="K194" s="82" t="n"/>
    </row>
    <row r="195">
      <c r="A195" s="82" t="n"/>
      <c r="B195" s="82" t="n"/>
      <c r="C195" s="82" t="n"/>
      <c r="D195" s="82" t="n"/>
      <c r="E195" s="82" t="n"/>
      <c r="F195" s="82" t="n"/>
      <c r="G195" s="82" t="n"/>
      <c r="H195" s="82" t="n"/>
      <c r="I195" s="82" t="n"/>
      <c r="J195" s="82" t="n"/>
      <c r="K195" s="82" t="n"/>
    </row>
    <row r="196">
      <c r="A196" s="82" t="n"/>
      <c r="B196" s="82" t="n"/>
      <c r="C196" s="82" t="n"/>
      <c r="D196" s="82" t="n"/>
      <c r="E196" s="82" t="n"/>
      <c r="F196" s="82" t="n"/>
      <c r="G196" s="82" t="n"/>
      <c r="H196" s="82" t="n"/>
      <c r="I196" s="82" t="n"/>
      <c r="J196" s="82" t="n"/>
      <c r="K196" s="82" t="n"/>
    </row>
    <row r="197">
      <c r="A197" s="82" t="n"/>
      <c r="B197" s="82" t="n"/>
      <c r="C197" s="82" t="n"/>
      <c r="D197" s="82" t="n"/>
      <c r="E197" s="82" t="n"/>
      <c r="F197" s="82" t="n"/>
      <c r="G197" s="82" t="n"/>
      <c r="H197" s="82" t="n"/>
      <c r="I197" s="82" t="n"/>
      <c r="J197" s="82" t="n"/>
      <c r="K197" s="82" t="n"/>
    </row>
    <row r="198">
      <c r="A198" s="82" t="n"/>
      <c r="B198" s="82" t="n"/>
      <c r="C198" s="82" t="n"/>
      <c r="D198" s="82" t="n"/>
      <c r="E198" s="82" t="n"/>
      <c r="F198" s="82" t="n"/>
      <c r="G198" s="82" t="n"/>
      <c r="H198" s="82" t="n"/>
      <c r="I198" s="82" t="n"/>
      <c r="J198" s="82" t="n"/>
      <c r="K198" s="82" t="n"/>
    </row>
    <row r="199">
      <c r="A199" s="82" t="n"/>
      <c r="B199" s="82" t="n"/>
      <c r="C199" s="82" t="n"/>
      <c r="D199" s="82" t="n"/>
      <c r="E199" s="82" t="n"/>
      <c r="F199" s="82" t="n"/>
      <c r="G199" s="82" t="n"/>
      <c r="H199" s="82" t="n"/>
      <c r="I199" s="82" t="n"/>
      <c r="J199" s="82" t="n"/>
      <c r="K199" s="82" t="n"/>
    </row>
    <row r="200">
      <c r="A200" s="82" t="n"/>
      <c r="B200" s="82" t="n"/>
      <c r="C200" s="82" t="n"/>
      <c r="D200" s="82" t="n"/>
      <c r="E200" s="82" t="n"/>
      <c r="F200" s="82" t="n"/>
      <c r="G200" s="82" t="n"/>
      <c r="H200" s="82" t="n"/>
      <c r="I200" s="82" t="n"/>
      <c r="J200" s="82" t="n"/>
      <c r="K200" s="82" t="n"/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autoFilter ref="A4:L9"/>
  <mergeCells count="2">
    <mergeCell ref="A2:L2"/>
    <mergeCell ref="A1:L1"/>
  </mergeCells>
  <conditionalFormatting sqref="J5:J80">
    <cfRule type="expression" priority="1" dxfId="8">
      <formula>J5="Not Started"</formula>
    </cfRule>
    <cfRule type="expression" priority="2" dxfId="1">
      <formula>J5="Applied"</formula>
    </cfRule>
    <cfRule type="expression" priority="3" dxfId="2">
      <formula>J5="In Review"</formula>
    </cfRule>
    <cfRule type="expression" priority="4" dxfId="0">
      <formula>J5="Approved"</formula>
    </cfRule>
    <cfRule type="expression" priority="5" dxfId="4">
      <formula>J5="Expired"</formula>
    </cfRule>
    <cfRule type="expression" priority="6" dxfId="3">
      <formula>J5="Closed"</formula>
    </cfRule>
  </conditionalFormatting>
  <dataValidations count="1">
    <dataValidation sqref="J5:J80" showDropDown="0" showInputMessage="0" showErrorMessage="1" allowBlank="1" errorTitle="Invalid value" error="Pick a value from the list." type="list">
      <formula1>=Permit_Status</formula1>
    </dataValidation>
  </dataValidations>
  <pageMargins left="0.4" right="0.4" top="0.6" bottom="0.5" header="0.25" footer="0.25"/>
  <pageSetup orientation="landscape" paperSize="3" fitToHeight="0" fitToWidth="1"/>
  <headerFooter>
    <oddHeader>&amp;LNovality Store  ·  Home Renovation System&amp;RPermits</oddHeader>
    <oddFooter>&amp;LConfidential  ·  Digital twin of the home&amp;RPage &amp;P of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tabColor rgb="00719B7A"/>
    <outlinePr summaryBelow="1" summaryRight="1"/>
    <pageSetUpPr fitToPage="1"/>
  </sheetPr>
  <dimension ref="A1:K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22" customWidth="1" min="4" max="4"/>
    <col width="12" customWidth="1" min="5" max="5"/>
    <col width="12" customWidth="1" min="6" max="6"/>
    <col width="14" customWidth="1" min="7" max="7"/>
    <col width="24" customWidth="1" min="8" max="8"/>
    <col width="28" customWidth="1" min="9" max="9"/>
    <col width="24" customWidth="1" min="10" max="10"/>
    <col width="14" customWidth="1" min="11" max="11"/>
  </cols>
  <sheetData>
    <row r="1" ht="28" customHeight="1">
      <c r="A1" s="1" t="inlineStr">
        <is>
          <t>WARRANTIES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8" customHeight="1">
      <c r="A2" s="3" t="inlineStr">
        <is>
          <t>Labor and product coverage after handover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 ht="22" customHeight="1">
      <c r="A4" s="66" t="inlineStr">
        <is>
          <t>Warranty ID</t>
        </is>
      </c>
      <c r="B4" s="66" t="inlineStr">
        <is>
          <t>Project ID</t>
        </is>
      </c>
      <c r="C4" s="66" t="inlineStr">
        <is>
          <t>Item / Work</t>
        </is>
      </c>
      <c r="D4" s="66" t="inlineStr">
        <is>
          <t>Provider</t>
        </is>
      </c>
      <c r="E4" s="66" t="inlineStr">
        <is>
          <t>Start</t>
        </is>
      </c>
      <c r="F4" s="66" t="inlineStr">
        <is>
          <t>End</t>
        </is>
      </c>
      <c r="G4" s="66" t="inlineStr">
        <is>
          <t>Term (months)</t>
        </is>
      </c>
      <c r="H4" s="66" t="inlineStr">
        <is>
          <t>Coverage</t>
        </is>
      </c>
      <c r="I4" s="66" t="inlineStr">
        <is>
          <t>Claim Process</t>
        </is>
      </c>
      <c r="J4" s="66" t="inlineStr">
        <is>
          <t>Doc Link</t>
        </is>
      </c>
      <c r="K4" s="66" t="inlineStr">
        <is>
          <t>Days Remaining</t>
        </is>
      </c>
    </row>
    <row r="5" ht="18" customHeight="1">
      <c r="A5" s="67" t="inlineStr">
        <is>
          <t>WAR-001</t>
        </is>
      </c>
      <c r="B5" s="67" t="inlineStr">
        <is>
          <t>PRJ-001</t>
        </is>
      </c>
      <c r="C5" s="67" t="inlineStr">
        <is>
          <t>Heritage tile labor + material</t>
        </is>
      </c>
      <c r="D5" s="67" t="inlineStr">
        <is>
          <t>Heritage Tile &amp; Stone</t>
        </is>
      </c>
      <c r="E5" s="69" t="n">
        <v>46246</v>
      </c>
      <c r="F5" s="69" t="n">
        <v>46977</v>
      </c>
      <c r="G5" s="68" t="n">
        <v>24</v>
      </c>
      <c r="H5" s="67" t="inlineStr">
        <is>
          <t>Labor + setting materials</t>
        </is>
      </c>
      <c r="I5" s="67" t="inlineStr">
        <is>
          <t>Photo + email Priya</t>
        </is>
      </c>
      <c r="J5" s="67" t="inlineStr">
        <is>
          <t>drive/warr/heritage.pdf</t>
        </is>
      </c>
      <c r="K5" s="91">
        <f>IF(OR($A5="",$F5=""),"",$F5-AsOfDate)</f>
        <v/>
      </c>
    </row>
    <row r="6" ht="18" customHeight="1">
      <c r="A6" s="75" t="inlineStr">
        <is>
          <t>WAR-002</t>
        </is>
      </c>
      <c r="B6" s="75" t="inlineStr">
        <is>
          <t>PRJ-001</t>
        </is>
      </c>
      <c r="C6" s="75" t="inlineStr">
        <is>
          <t>WarmFloor system</t>
        </is>
      </c>
      <c r="D6" s="75" t="inlineStr">
        <is>
          <t>WarmFloor Co.</t>
        </is>
      </c>
      <c r="E6" s="77" t="n">
        <v>46209</v>
      </c>
      <c r="F6" s="77" t="n">
        <v>47305</v>
      </c>
      <c r="G6" s="76" t="n">
        <v>36</v>
      </c>
      <c r="H6" s="75" t="inlineStr">
        <is>
          <t>Mat + thermostat</t>
        </is>
      </c>
      <c r="I6" s="75" t="inlineStr">
        <is>
          <t>Serial + install photos</t>
        </is>
      </c>
      <c r="J6" s="75" t="inlineStr">
        <is>
          <t>drive/warr/wf.pdf</t>
        </is>
      </c>
      <c r="K6" s="91">
        <f>IF(OR($A6="",$F6=""),"",$F6-AsOfDate)</f>
        <v/>
      </c>
    </row>
    <row r="7" ht="18" customHeight="1">
      <c r="A7" s="67" t="inlineStr">
        <is>
          <t>WAR-003</t>
        </is>
      </c>
      <c r="B7" s="67" t="inlineStr">
        <is>
          <t>PRJ-001</t>
        </is>
      </c>
      <c r="C7" s="67" t="inlineStr">
        <is>
          <t>White oak flooring finish</t>
        </is>
      </c>
      <c r="D7" s="67" t="inlineStr">
        <is>
          <t>Timberline Floors</t>
        </is>
      </c>
      <c r="E7" s="69" t="n">
        <v>46262</v>
      </c>
      <c r="F7" s="69" t="n">
        <v>46627</v>
      </c>
      <c r="G7" s="68" t="n">
        <v>12</v>
      </c>
      <c r="H7" s="67" t="inlineStr">
        <is>
          <t>Site finish wear</t>
        </is>
      </c>
      <c r="I7" s="67" t="inlineStr">
        <is>
          <t>No steam mops year 1</t>
        </is>
      </c>
      <c r="J7" s="67" t="inlineStr"/>
      <c r="K7" s="91">
        <f>IF(OR($A7="",$F7=""),"",$F7-AsOfDate)</f>
        <v/>
      </c>
    </row>
    <row r="8" ht="18" customHeight="1">
      <c r="A8" s="75" t="inlineStr">
        <is>
          <t>WAR-004</t>
        </is>
      </c>
      <c r="B8" s="75" t="inlineStr">
        <is>
          <t>PRJ-001</t>
        </is>
      </c>
      <c r="C8" s="75" t="inlineStr">
        <is>
          <t>Cascade cabinetry</t>
        </is>
      </c>
      <c r="D8" s="75" t="inlineStr">
        <is>
          <t>Cascade Cabinets</t>
        </is>
      </c>
      <c r="E8" s="77" t="n">
        <v>46280</v>
      </c>
      <c r="F8" s="77" t="n">
        <v>47011</v>
      </c>
      <c r="G8" s="76" t="n">
        <v>24</v>
      </c>
      <c r="H8" s="75" t="inlineStr">
        <is>
          <t>Boxes, doors, finish</t>
        </is>
      </c>
      <c r="I8" s="75" t="inlineStr">
        <is>
          <t>Maya Chen</t>
        </is>
      </c>
      <c r="J8" s="75" t="inlineStr"/>
      <c r="K8" s="91">
        <f>IF(OR($A8="",$F8=""),"",$F8-AsOfDate)</f>
        <v/>
      </c>
    </row>
    <row r="9" ht="18" customHeight="1">
      <c r="A9" s="67" t="inlineStr">
        <is>
          <t>WAR-005</t>
        </is>
      </c>
      <c r="B9" s="67" t="inlineStr">
        <is>
          <t>PRJ-001</t>
        </is>
      </c>
      <c r="C9" s="67" t="inlineStr">
        <is>
          <t>Wolf range (pending delivery)</t>
        </is>
      </c>
      <c r="D9" s="67" t="inlineStr">
        <is>
          <t>Sub-Zero Group</t>
        </is>
      </c>
      <c r="E9" s="69" t="n">
        <v>46277</v>
      </c>
      <c r="F9" s="69" t="n">
        <v>47008</v>
      </c>
      <c r="G9" s="68" t="n">
        <v>24</v>
      </c>
      <c r="H9" s="67" t="inlineStr">
        <is>
          <t>Parts + labor</t>
        </is>
      </c>
      <c r="I9" s="67" t="inlineStr">
        <is>
          <t>Register online 30 days</t>
        </is>
      </c>
      <c r="J9" s="67" t="inlineStr"/>
      <c r="K9" s="91">
        <f>IF(OR($A9="",$F9=""),"",$F9-AsOfDate)</f>
        <v/>
      </c>
    </row>
    <row r="10" ht="18" customHeight="1">
      <c r="A10" s="75" t="inlineStr">
        <is>
          <t>WAR-006</t>
        </is>
      </c>
      <c r="B10" s="75" t="inlineStr">
        <is>
          <t>PRJ-001</t>
        </is>
      </c>
      <c r="C10" s="75" t="inlineStr">
        <is>
          <t>Sub-Zero fridge (pending)</t>
        </is>
      </c>
      <c r="D10" s="75" t="inlineStr">
        <is>
          <t>Sub-Zero Group</t>
        </is>
      </c>
      <c r="E10" s="77" t="n">
        <v>46277</v>
      </c>
      <c r="F10" s="77" t="n">
        <v>47008</v>
      </c>
      <c r="G10" s="76" t="n">
        <v>24</v>
      </c>
      <c r="H10" s="75" t="inlineStr">
        <is>
          <t>Sealed system 5yr</t>
        </is>
      </c>
      <c r="I10" s="75" t="inlineStr">
        <is>
          <t>Register online 30 days</t>
        </is>
      </c>
      <c r="J10" s="75" t="inlineStr"/>
      <c r="K10" s="91">
        <f>IF(OR($A10="",$F10=""),"",$F10-AsOfDate)</f>
        <v/>
      </c>
    </row>
    <row r="11" ht="18" customHeight="1">
      <c r="A11" s="67" t="inlineStr">
        <is>
          <t>WAR-007</t>
        </is>
      </c>
      <c r="B11" s="67" t="inlineStr">
        <is>
          <t>PRJ-001</t>
        </is>
      </c>
      <c r="C11" s="67" t="inlineStr">
        <is>
          <t>Brizo fixtures</t>
        </is>
      </c>
      <c r="D11" s="67" t="inlineStr">
        <is>
          <t>Brizo / Ferguson</t>
        </is>
      </c>
      <c r="E11" s="69" t="n">
        <v>46248</v>
      </c>
      <c r="F11" s="69" t="n">
        <v>48074</v>
      </c>
      <c r="G11" s="68" t="n">
        <v>60</v>
      </c>
      <c r="H11" s="67" t="inlineStr">
        <is>
          <t>Finish + function</t>
        </is>
      </c>
      <c r="I11" s="67" t="inlineStr">
        <is>
          <t>Proof of purchase</t>
        </is>
      </c>
      <c r="J11" s="67" t="inlineStr">
        <is>
          <t>FERG-9921</t>
        </is>
      </c>
      <c r="K11" s="91">
        <f>IF(OR($A11="",$F11=""),"",$F11-AsOfDate)</f>
        <v/>
      </c>
    </row>
    <row r="12">
      <c r="A12" s="82" t="n"/>
      <c r="B12" s="82" t="n"/>
      <c r="C12" s="82" t="n"/>
      <c r="D12" s="82" t="n"/>
      <c r="E12" s="82" t="n"/>
      <c r="F12" s="82" t="n"/>
      <c r="G12" s="82" t="n"/>
      <c r="H12" s="82" t="n"/>
      <c r="I12" s="82" t="n"/>
      <c r="J12" s="82" t="n"/>
    </row>
    <row r="13">
      <c r="A13" s="82" t="n"/>
      <c r="B13" s="82" t="n"/>
      <c r="C13" s="82" t="n"/>
      <c r="D13" s="82" t="n"/>
      <c r="E13" s="82" t="n"/>
      <c r="F13" s="82" t="n"/>
      <c r="G13" s="82" t="n"/>
      <c r="H13" s="82" t="n"/>
      <c r="I13" s="82" t="n"/>
      <c r="J13" s="82" t="n"/>
    </row>
    <row r="14">
      <c r="A14" s="82" t="n"/>
      <c r="B14" s="82" t="n"/>
      <c r="C14" s="82" t="n"/>
      <c r="D14" s="82" t="n"/>
      <c r="E14" s="82" t="n"/>
      <c r="F14" s="82" t="n"/>
      <c r="G14" s="82" t="n"/>
      <c r="H14" s="82" t="n"/>
      <c r="I14" s="82" t="n"/>
      <c r="J14" s="82" t="n"/>
    </row>
    <row r="15">
      <c r="A15" s="82" t="n"/>
      <c r="B15" s="82" t="n"/>
      <c r="C15" s="82" t="n"/>
      <c r="D15" s="82" t="n"/>
      <c r="E15" s="82" t="n"/>
      <c r="F15" s="82" t="n"/>
      <c r="G15" s="82" t="n"/>
      <c r="H15" s="82" t="n"/>
      <c r="I15" s="82" t="n"/>
      <c r="J15" s="82" t="n"/>
    </row>
    <row r="16">
      <c r="A16" s="82" t="n"/>
      <c r="B16" s="82" t="n"/>
      <c r="C16" s="82" t="n"/>
      <c r="D16" s="82" t="n"/>
      <c r="E16" s="82" t="n"/>
      <c r="F16" s="82" t="n"/>
      <c r="G16" s="82" t="n"/>
      <c r="H16" s="82" t="n"/>
      <c r="I16" s="82" t="n"/>
      <c r="J16" s="82" t="n"/>
    </row>
    <row r="17">
      <c r="A17" s="82" t="n"/>
      <c r="B17" s="82" t="n"/>
      <c r="C17" s="82" t="n"/>
      <c r="D17" s="82" t="n"/>
      <c r="E17" s="82" t="n"/>
      <c r="F17" s="82" t="n"/>
      <c r="G17" s="82" t="n"/>
      <c r="H17" s="82" t="n"/>
      <c r="I17" s="82" t="n"/>
      <c r="J17" s="82" t="n"/>
    </row>
    <row r="18">
      <c r="A18" s="82" t="n"/>
      <c r="B18" s="82" t="n"/>
      <c r="C18" s="82" t="n"/>
      <c r="D18" s="82" t="n"/>
      <c r="E18" s="82" t="n"/>
      <c r="F18" s="82" t="n"/>
      <c r="G18" s="82" t="n"/>
      <c r="H18" s="82" t="n"/>
      <c r="I18" s="82" t="n"/>
      <c r="J18" s="82" t="n"/>
    </row>
    <row r="19">
      <c r="A19" s="82" t="n"/>
      <c r="B19" s="82" t="n"/>
      <c r="C19" s="82" t="n"/>
      <c r="D19" s="82" t="n"/>
      <c r="E19" s="82" t="n"/>
      <c r="F19" s="82" t="n"/>
      <c r="G19" s="82" t="n"/>
      <c r="H19" s="82" t="n"/>
      <c r="I19" s="82" t="n"/>
      <c r="J19" s="82" t="n"/>
    </row>
    <row r="20">
      <c r="A20" s="82" t="n"/>
      <c r="B20" s="82" t="n"/>
      <c r="C20" s="82" t="n"/>
      <c r="D20" s="82" t="n"/>
      <c r="E20" s="82" t="n"/>
      <c r="F20" s="82" t="n"/>
      <c r="G20" s="82" t="n"/>
      <c r="H20" s="82" t="n"/>
      <c r="I20" s="82" t="n"/>
      <c r="J20" s="82" t="n"/>
    </row>
    <row r="21">
      <c r="A21" s="82" t="n"/>
      <c r="B21" s="82" t="n"/>
      <c r="C21" s="82" t="n"/>
      <c r="D21" s="82" t="n"/>
      <c r="E21" s="82" t="n"/>
      <c r="F21" s="82" t="n"/>
      <c r="G21" s="82" t="n"/>
      <c r="H21" s="82" t="n"/>
      <c r="I21" s="82" t="n"/>
      <c r="J21" s="82" t="n"/>
    </row>
    <row r="22">
      <c r="A22" s="82" t="n"/>
      <c r="B22" s="82" t="n"/>
      <c r="C22" s="82" t="n"/>
      <c r="D22" s="82" t="n"/>
      <c r="E22" s="82" t="n"/>
      <c r="F22" s="82" t="n"/>
      <c r="G22" s="82" t="n"/>
      <c r="H22" s="82" t="n"/>
      <c r="I22" s="82" t="n"/>
      <c r="J22" s="82" t="n"/>
    </row>
    <row r="23">
      <c r="A23" s="82" t="n"/>
      <c r="B23" s="82" t="n"/>
      <c r="C23" s="82" t="n"/>
      <c r="D23" s="82" t="n"/>
      <c r="E23" s="82" t="n"/>
      <c r="F23" s="82" t="n"/>
      <c r="G23" s="82" t="n"/>
      <c r="H23" s="82" t="n"/>
      <c r="I23" s="82" t="n"/>
      <c r="J23" s="82" t="n"/>
    </row>
    <row r="24">
      <c r="A24" s="82" t="n"/>
      <c r="B24" s="82" t="n"/>
      <c r="C24" s="82" t="n"/>
      <c r="D24" s="82" t="n"/>
      <c r="E24" s="82" t="n"/>
      <c r="F24" s="82" t="n"/>
      <c r="G24" s="82" t="n"/>
      <c r="H24" s="82" t="n"/>
      <c r="I24" s="82" t="n"/>
      <c r="J24" s="82" t="n"/>
    </row>
    <row r="25">
      <c r="A25" s="82" t="n"/>
      <c r="B25" s="82" t="n"/>
      <c r="C25" s="82" t="n"/>
      <c r="D25" s="82" t="n"/>
      <c r="E25" s="82" t="n"/>
      <c r="F25" s="82" t="n"/>
      <c r="G25" s="82" t="n"/>
      <c r="H25" s="82" t="n"/>
      <c r="I25" s="82" t="n"/>
      <c r="J25" s="82" t="n"/>
    </row>
    <row r="26">
      <c r="A26" s="82" t="n"/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</row>
    <row r="27">
      <c r="A27" s="82" t="n"/>
      <c r="B27" s="82" t="n"/>
      <c r="C27" s="82" t="n"/>
      <c r="D27" s="82" t="n"/>
      <c r="E27" s="82" t="n"/>
      <c r="F27" s="82" t="n"/>
      <c r="G27" s="82" t="n"/>
      <c r="H27" s="82" t="n"/>
      <c r="I27" s="82" t="n"/>
      <c r="J27" s="82" t="n"/>
    </row>
    <row r="28">
      <c r="A28" s="82" t="n"/>
      <c r="B28" s="82" t="n"/>
      <c r="C28" s="82" t="n"/>
      <c r="D28" s="82" t="n"/>
      <c r="E28" s="82" t="n"/>
      <c r="F28" s="82" t="n"/>
      <c r="G28" s="82" t="n"/>
      <c r="H28" s="82" t="n"/>
      <c r="I28" s="82" t="n"/>
      <c r="J28" s="82" t="n"/>
    </row>
    <row r="29">
      <c r="A29" s="82" t="n"/>
      <c r="B29" s="82" t="n"/>
      <c r="C29" s="82" t="n"/>
      <c r="D29" s="82" t="n"/>
      <c r="E29" s="82" t="n"/>
      <c r="F29" s="82" t="n"/>
      <c r="G29" s="82" t="n"/>
      <c r="H29" s="82" t="n"/>
      <c r="I29" s="82" t="n"/>
      <c r="J29" s="82" t="n"/>
    </row>
    <row r="30">
      <c r="A30" s="82" t="n"/>
      <c r="B30" s="82" t="n"/>
      <c r="C30" s="82" t="n"/>
      <c r="D30" s="82" t="n"/>
      <c r="E30" s="82" t="n"/>
      <c r="F30" s="82" t="n"/>
      <c r="G30" s="82" t="n"/>
      <c r="H30" s="82" t="n"/>
      <c r="I30" s="82" t="n"/>
      <c r="J30" s="82" t="n"/>
    </row>
    <row r="31">
      <c r="A31" s="82" t="n"/>
      <c r="B31" s="82" t="n"/>
      <c r="C31" s="82" t="n"/>
      <c r="D31" s="82" t="n"/>
      <c r="E31" s="82" t="n"/>
      <c r="F31" s="82" t="n"/>
      <c r="G31" s="82" t="n"/>
      <c r="H31" s="82" t="n"/>
      <c r="I31" s="82" t="n"/>
      <c r="J31" s="82" t="n"/>
    </row>
    <row r="32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</row>
    <row r="33">
      <c r="A33" s="82" t="n"/>
      <c r="B33" s="82" t="n"/>
      <c r="C33" s="82" t="n"/>
      <c r="D33" s="82" t="n"/>
      <c r="E33" s="82" t="n"/>
      <c r="F33" s="82" t="n"/>
      <c r="G33" s="82" t="n"/>
      <c r="H33" s="82" t="n"/>
      <c r="I33" s="82" t="n"/>
      <c r="J33" s="82" t="n"/>
    </row>
    <row r="34">
      <c r="A34" s="82" t="n"/>
      <c r="B34" s="82" t="n"/>
      <c r="C34" s="82" t="n"/>
      <c r="D34" s="82" t="n"/>
      <c r="E34" s="82" t="n"/>
      <c r="F34" s="82" t="n"/>
      <c r="G34" s="82" t="n"/>
      <c r="H34" s="82" t="n"/>
      <c r="I34" s="82" t="n"/>
      <c r="J34" s="82" t="n"/>
    </row>
    <row r="35">
      <c r="A35" s="82" t="n"/>
      <c r="B35" s="82" t="n"/>
      <c r="C35" s="82" t="n"/>
      <c r="D35" s="82" t="n"/>
      <c r="E35" s="82" t="n"/>
      <c r="F35" s="82" t="n"/>
      <c r="G35" s="82" t="n"/>
      <c r="H35" s="82" t="n"/>
      <c r="I35" s="82" t="n"/>
      <c r="J35" s="82" t="n"/>
    </row>
    <row r="36">
      <c r="A36" s="82" t="n"/>
      <c r="B36" s="82" t="n"/>
      <c r="C36" s="82" t="n"/>
      <c r="D36" s="82" t="n"/>
      <c r="E36" s="82" t="n"/>
      <c r="F36" s="82" t="n"/>
      <c r="G36" s="82" t="n"/>
      <c r="H36" s="82" t="n"/>
      <c r="I36" s="82" t="n"/>
      <c r="J36" s="82" t="n"/>
    </row>
    <row r="37">
      <c r="A37" s="82" t="n"/>
      <c r="B37" s="82" t="n"/>
      <c r="C37" s="82" t="n"/>
      <c r="D37" s="82" t="n"/>
      <c r="E37" s="82" t="n"/>
      <c r="F37" s="82" t="n"/>
      <c r="G37" s="82" t="n"/>
      <c r="H37" s="82" t="n"/>
      <c r="I37" s="82" t="n"/>
      <c r="J37" s="82" t="n"/>
    </row>
    <row r="38">
      <c r="A38" s="82" t="n"/>
      <c r="B38" s="82" t="n"/>
      <c r="C38" s="82" t="n"/>
      <c r="D38" s="82" t="n"/>
      <c r="E38" s="82" t="n"/>
      <c r="F38" s="82" t="n"/>
      <c r="G38" s="82" t="n"/>
      <c r="H38" s="82" t="n"/>
      <c r="I38" s="82" t="n"/>
      <c r="J38" s="82" t="n"/>
    </row>
    <row r="39">
      <c r="A39" s="82" t="n"/>
      <c r="B39" s="82" t="n"/>
      <c r="C39" s="82" t="n"/>
      <c r="D39" s="82" t="n"/>
      <c r="E39" s="82" t="n"/>
      <c r="F39" s="82" t="n"/>
      <c r="G39" s="82" t="n"/>
      <c r="H39" s="82" t="n"/>
      <c r="I39" s="82" t="n"/>
      <c r="J39" s="82" t="n"/>
    </row>
    <row r="40">
      <c r="A40" s="82" t="n"/>
      <c r="B40" s="82" t="n"/>
      <c r="C40" s="82" t="n"/>
      <c r="D40" s="82" t="n"/>
      <c r="E40" s="82" t="n"/>
      <c r="F40" s="82" t="n"/>
      <c r="G40" s="82" t="n"/>
      <c r="H40" s="82" t="n"/>
      <c r="I40" s="82" t="n"/>
      <c r="J40" s="82" t="n"/>
    </row>
    <row r="41">
      <c r="A41" s="82" t="n"/>
      <c r="B41" s="82" t="n"/>
      <c r="C41" s="82" t="n"/>
      <c r="D41" s="82" t="n"/>
      <c r="E41" s="82" t="n"/>
      <c r="F41" s="82" t="n"/>
      <c r="G41" s="82" t="n"/>
      <c r="H41" s="82" t="n"/>
      <c r="I41" s="82" t="n"/>
      <c r="J41" s="82" t="n"/>
    </row>
    <row r="42">
      <c r="A42" s="82" t="n"/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</row>
    <row r="43">
      <c r="A43" s="82" t="n"/>
      <c r="B43" s="82" t="n"/>
      <c r="C43" s="82" t="n"/>
      <c r="D43" s="82" t="n"/>
      <c r="E43" s="82" t="n"/>
      <c r="F43" s="82" t="n"/>
      <c r="G43" s="82" t="n"/>
      <c r="H43" s="82" t="n"/>
      <c r="I43" s="82" t="n"/>
      <c r="J43" s="82" t="n"/>
    </row>
    <row r="44">
      <c r="A44" s="82" t="n"/>
      <c r="B44" s="82" t="n"/>
      <c r="C44" s="82" t="n"/>
      <c r="D44" s="82" t="n"/>
      <c r="E44" s="82" t="n"/>
      <c r="F44" s="82" t="n"/>
      <c r="G44" s="82" t="n"/>
      <c r="H44" s="82" t="n"/>
      <c r="I44" s="82" t="n"/>
      <c r="J44" s="82" t="n"/>
    </row>
    <row r="45">
      <c r="A45" s="82" t="n"/>
      <c r="B45" s="82" t="n"/>
      <c r="C45" s="82" t="n"/>
      <c r="D45" s="82" t="n"/>
      <c r="E45" s="82" t="n"/>
      <c r="F45" s="82" t="n"/>
      <c r="G45" s="82" t="n"/>
      <c r="H45" s="82" t="n"/>
      <c r="I45" s="82" t="n"/>
      <c r="J45" s="82" t="n"/>
    </row>
    <row r="46">
      <c r="A46" s="82" t="n"/>
      <c r="B46" s="82" t="n"/>
      <c r="C46" s="82" t="n"/>
      <c r="D46" s="82" t="n"/>
      <c r="E46" s="82" t="n"/>
      <c r="F46" s="82" t="n"/>
      <c r="G46" s="82" t="n"/>
      <c r="H46" s="82" t="n"/>
      <c r="I46" s="82" t="n"/>
      <c r="J46" s="82" t="n"/>
    </row>
    <row r="47">
      <c r="A47" s="82" t="n"/>
      <c r="B47" s="82" t="n"/>
      <c r="C47" s="82" t="n"/>
      <c r="D47" s="82" t="n"/>
      <c r="E47" s="82" t="n"/>
      <c r="F47" s="82" t="n"/>
      <c r="G47" s="82" t="n"/>
      <c r="H47" s="82" t="n"/>
      <c r="I47" s="82" t="n"/>
      <c r="J47" s="82" t="n"/>
    </row>
    <row r="48">
      <c r="A48" s="82" t="n"/>
      <c r="B48" s="82" t="n"/>
      <c r="C48" s="82" t="n"/>
      <c r="D48" s="82" t="n"/>
      <c r="E48" s="82" t="n"/>
      <c r="F48" s="82" t="n"/>
      <c r="G48" s="82" t="n"/>
      <c r="H48" s="82" t="n"/>
      <c r="I48" s="82" t="n"/>
      <c r="J48" s="82" t="n"/>
    </row>
    <row r="49">
      <c r="A49" s="82" t="n"/>
      <c r="B49" s="82" t="n"/>
      <c r="C49" s="82" t="n"/>
      <c r="D49" s="82" t="n"/>
      <c r="E49" s="82" t="n"/>
      <c r="F49" s="82" t="n"/>
      <c r="G49" s="82" t="n"/>
      <c r="H49" s="82" t="n"/>
      <c r="I49" s="82" t="n"/>
      <c r="J49" s="82" t="n"/>
    </row>
    <row r="50">
      <c r="A50" s="82" t="n"/>
      <c r="B50" s="82" t="n"/>
      <c r="C50" s="82" t="n"/>
      <c r="D50" s="82" t="n"/>
      <c r="E50" s="82" t="n"/>
      <c r="F50" s="82" t="n"/>
      <c r="G50" s="82" t="n"/>
      <c r="H50" s="82" t="n"/>
      <c r="I50" s="82" t="n"/>
      <c r="J50" s="82" t="n"/>
    </row>
    <row r="51">
      <c r="A51" s="82" t="n"/>
      <c r="B51" s="82" t="n"/>
      <c r="C51" s="82" t="n"/>
      <c r="D51" s="82" t="n"/>
      <c r="E51" s="82" t="n"/>
      <c r="F51" s="82" t="n"/>
      <c r="G51" s="82" t="n"/>
      <c r="H51" s="82" t="n"/>
      <c r="I51" s="82" t="n"/>
      <c r="J51" s="82" t="n"/>
    </row>
    <row r="52">
      <c r="A52" s="82" t="n"/>
      <c r="B52" s="82" t="n"/>
      <c r="C52" s="82" t="n"/>
      <c r="D52" s="82" t="n"/>
      <c r="E52" s="82" t="n"/>
      <c r="F52" s="82" t="n"/>
      <c r="G52" s="82" t="n"/>
      <c r="H52" s="82" t="n"/>
      <c r="I52" s="82" t="n"/>
      <c r="J52" s="82" t="n"/>
    </row>
    <row r="53">
      <c r="A53" s="82" t="n"/>
      <c r="B53" s="82" t="n"/>
      <c r="C53" s="82" t="n"/>
      <c r="D53" s="82" t="n"/>
      <c r="E53" s="82" t="n"/>
      <c r="F53" s="82" t="n"/>
      <c r="G53" s="82" t="n"/>
      <c r="H53" s="82" t="n"/>
      <c r="I53" s="82" t="n"/>
      <c r="J53" s="82" t="n"/>
    </row>
    <row r="54">
      <c r="A54" s="82" t="n"/>
      <c r="B54" s="82" t="n"/>
      <c r="C54" s="82" t="n"/>
      <c r="D54" s="82" t="n"/>
      <c r="E54" s="82" t="n"/>
      <c r="F54" s="82" t="n"/>
      <c r="G54" s="82" t="n"/>
      <c r="H54" s="82" t="n"/>
      <c r="I54" s="82" t="n"/>
      <c r="J54" s="82" t="n"/>
    </row>
    <row r="55">
      <c r="A55" s="82" t="n"/>
      <c r="B55" s="82" t="n"/>
      <c r="C55" s="82" t="n"/>
      <c r="D55" s="82" t="n"/>
      <c r="E55" s="82" t="n"/>
      <c r="F55" s="82" t="n"/>
      <c r="G55" s="82" t="n"/>
      <c r="H55" s="82" t="n"/>
      <c r="I55" s="82" t="n"/>
      <c r="J55" s="82" t="n"/>
    </row>
    <row r="56">
      <c r="A56" s="82" t="n"/>
      <c r="B56" s="82" t="n"/>
      <c r="C56" s="82" t="n"/>
      <c r="D56" s="82" t="n"/>
      <c r="E56" s="82" t="n"/>
      <c r="F56" s="82" t="n"/>
      <c r="G56" s="82" t="n"/>
      <c r="H56" s="82" t="n"/>
      <c r="I56" s="82" t="n"/>
      <c r="J56" s="82" t="n"/>
    </row>
    <row r="57">
      <c r="A57" s="82" t="n"/>
      <c r="B57" s="82" t="n"/>
      <c r="C57" s="82" t="n"/>
      <c r="D57" s="82" t="n"/>
      <c r="E57" s="82" t="n"/>
      <c r="F57" s="82" t="n"/>
      <c r="G57" s="82" t="n"/>
      <c r="H57" s="82" t="n"/>
      <c r="I57" s="82" t="n"/>
      <c r="J57" s="82" t="n"/>
    </row>
    <row r="58">
      <c r="A58" s="82" t="n"/>
      <c r="B58" s="82" t="n"/>
      <c r="C58" s="82" t="n"/>
      <c r="D58" s="82" t="n"/>
      <c r="E58" s="82" t="n"/>
      <c r="F58" s="82" t="n"/>
      <c r="G58" s="82" t="n"/>
      <c r="H58" s="82" t="n"/>
      <c r="I58" s="82" t="n"/>
      <c r="J58" s="82" t="n"/>
    </row>
    <row r="59">
      <c r="A59" s="82" t="n"/>
      <c r="B59" s="82" t="n"/>
      <c r="C59" s="82" t="n"/>
      <c r="D59" s="82" t="n"/>
      <c r="E59" s="82" t="n"/>
      <c r="F59" s="82" t="n"/>
      <c r="G59" s="82" t="n"/>
      <c r="H59" s="82" t="n"/>
      <c r="I59" s="82" t="n"/>
      <c r="J59" s="82" t="n"/>
    </row>
    <row r="60">
      <c r="A60" s="82" t="n"/>
      <c r="B60" s="82" t="n"/>
      <c r="C60" s="82" t="n"/>
      <c r="D60" s="82" t="n"/>
      <c r="E60" s="82" t="n"/>
      <c r="F60" s="82" t="n"/>
      <c r="G60" s="82" t="n"/>
      <c r="H60" s="82" t="n"/>
      <c r="I60" s="82" t="n"/>
      <c r="J60" s="82" t="n"/>
    </row>
    <row r="61">
      <c r="A61" s="82" t="n"/>
      <c r="B61" s="82" t="n"/>
      <c r="C61" s="82" t="n"/>
      <c r="D61" s="82" t="n"/>
      <c r="E61" s="82" t="n"/>
      <c r="F61" s="82" t="n"/>
      <c r="G61" s="82" t="n"/>
      <c r="H61" s="82" t="n"/>
      <c r="I61" s="82" t="n"/>
      <c r="J61" s="82" t="n"/>
    </row>
    <row r="62">
      <c r="A62" s="82" t="n"/>
      <c r="B62" s="82" t="n"/>
      <c r="C62" s="82" t="n"/>
      <c r="D62" s="82" t="n"/>
      <c r="E62" s="82" t="n"/>
      <c r="F62" s="82" t="n"/>
      <c r="G62" s="82" t="n"/>
      <c r="H62" s="82" t="n"/>
      <c r="I62" s="82" t="n"/>
      <c r="J62" s="82" t="n"/>
    </row>
    <row r="63">
      <c r="A63" s="82" t="n"/>
      <c r="B63" s="82" t="n"/>
      <c r="C63" s="82" t="n"/>
      <c r="D63" s="82" t="n"/>
      <c r="E63" s="82" t="n"/>
      <c r="F63" s="82" t="n"/>
      <c r="G63" s="82" t="n"/>
      <c r="H63" s="82" t="n"/>
      <c r="I63" s="82" t="n"/>
      <c r="J63" s="82" t="n"/>
    </row>
    <row r="64">
      <c r="A64" s="82" t="n"/>
      <c r="B64" s="82" t="n"/>
      <c r="C64" s="82" t="n"/>
      <c r="D64" s="82" t="n"/>
      <c r="E64" s="82" t="n"/>
      <c r="F64" s="82" t="n"/>
      <c r="G64" s="82" t="n"/>
      <c r="H64" s="82" t="n"/>
      <c r="I64" s="82" t="n"/>
      <c r="J64" s="82" t="n"/>
    </row>
    <row r="65">
      <c r="A65" s="82" t="n"/>
      <c r="B65" s="82" t="n"/>
      <c r="C65" s="82" t="n"/>
      <c r="D65" s="82" t="n"/>
      <c r="E65" s="82" t="n"/>
      <c r="F65" s="82" t="n"/>
      <c r="G65" s="82" t="n"/>
      <c r="H65" s="82" t="n"/>
      <c r="I65" s="82" t="n"/>
      <c r="J65" s="82" t="n"/>
    </row>
    <row r="66">
      <c r="A66" s="82" t="n"/>
      <c r="B66" s="82" t="n"/>
      <c r="C66" s="82" t="n"/>
      <c r="D66" s="82" t="n"/>
      <c r="E66" s="82" t="n"/>
      <c r="F66" s="82" t="n"/>
      <c r="G66" s="82" t="n"/>
      <c r="H66" s="82" t="n"/>
      <c r="I66" s="82" t="n"/>
      <c r="J66" s="82" t="n"/>
    </row>
    <row r="67">
      <c r="A67" s="82" t="n"/>
      <c r="B67" s="82" t="n"/>
      <c r="C67" s="82" t="n"/>
      <c r="D67" s="82" t="n"/>
      <c r="E67" s="82" t="n"/>
      <c r="F67" s="82" t="n"/>
      <c r="G67" s="82" t="n"/>
      <c r="H67" s="82" t="n"/>
      <c r="I67" s="82" t="n"/>
      <c r="J67" s="82" t="n"/>
    </row>
    <row r="68">
      <c r="A68" s="82" t="n"/>
      <c r="B68" s="82" t="n"/>
      <c r="C68" s="82" t="n"/>
      <c r="D68" s="82" t="n"/>
      <c r="E68" s="82" t="n"/>
      <c r="F68" s="82" t="n"/>
      <c r="G68" s="82" t="n"/>
      <c r="H68" s="82" t="n"/>
      <c r="I68" s="82" t="n"/>
      <c r="J68" s="82" t="n"/>
    </row>
    <row r="69">
      <c r="A69" s="82" t="n"/>
      <c r="B69" s="82" t="n"/>
      <c r="C69" s="82" t="n"/>
      <c r="D69" s="82" t="n"/>
      <c r="E69" s="82" t="n"/>
      <c r="F69" s="82" t="n"/>
      <c r="G69" s="82" t="n"/>
      <c r="H69" s="82" t="n"/>
      <c r="I69" s="82" t="n"/>
      <c r="J69" s="82" t="n"/>
    </row>
    <row r="70">
      <c r="A70" s="82" t="n"/>
      <c r="B70" s="82" t="n"/>
      <c r="C70" s="82" t="n"/>
      <c r="D70" s="82" t="n"/>
      <c r="E70" s="82" t="n"/>
      <c r="F70" s="82" t="n"/>
      <c r="G70" s="82" t="n"/>
      <c r="H70" s="82" t="n"/>
      <c r="I70" s="82" t="n"/>
      <c r="J70" s="82" t="n"/>
    </row>
    <row r="71">
      <c r="A71" s="82" t="n"/>
      <c r="B71" s="82" t="n"/>
      <c r="C71" s="82" t="n"/>
      <c r="D71" s="82" t="n"/>
      <c r="E71" s="82" t="n"/>
      <c r="F71" s="82" t="n"/>
      <c r="G71" s="82" t="n"/>
      <c r="H71" s="82" t="n"/>
      <c r="I71" s="82" t="n"/>
      <c r="J71" s="82" t="n"/>
    </row>
    <row r="72">
      <c r="A72" s="82" t="n"/>
      <c r="B72" s="82" t="n"/>
      <c r="C72" s="82" t="n"/>
      <c r="D72" s="82" t="n"/>
      <c r="E72" s="82" t="n"/>
      <c r="F72" s="82" t="n"/>
      <c r="G72" s="82" t="n"/>
      <c r="H72" s="82" t="n"/>
      <c r="I72" s="82" t="n"/>
      <c r="J72" s="82" t="n"/>
    </row>
    <row r="73">
      <c r="A73" s="82" t="n"/>
      <c r="B73" s="82" t="n"/>
      <c r="C73" s="82" t="n"/>
      <c r="D73" s="82" t="n"/>
      <c r="E73" s="82" t="n"/>
      <c r="F73" s="82" t="n"/>
      <c r="G73" s="82" t="n"/>
      <c r="H73" s="82" t="n"/>
      <c r="I73" s="82" t="n"/>
      <c r="J73" s="82" t="n"/>
    </row>
    <row r="74">
      <c r="A74" s="82" t="n"/>
      <c r="B74" s="82" t="n"/>
      <c r="C74" s="82" t="n"/>
      <c r="D74" s="82" t="n"/>
      <c r="E74" s="82" t="n"/>
      <c r="F74" s="82" t="n"/>
      <c r="G74" s="82" t="n"/>
      <c r="H74" s="82" t="n"/>
      <c r="I74" s="82" t="n"/>
      <c r="J74" s="82" t="n"/>
    </row>
    <row r="75">
      <c r="A75" s="82" t="n"/>
      <c r="B75" s="82" t="n"/>
      <c r="C75" s="82" t="n"/>
      <c r="D75" s="82" t="n"/>
      <c r="E75" s="82" t="n"/>
      <c r="F75" s="82" t="n"/>
      <c r="G75" s="82" t="n"/>
      <c r="H75" s="82" t="n"/>
      <c r="I75" s="82" t="n"/>
      <c r="J75" s="82" t="n"/>
    </row>
    <row r="76">
      <c r="A76" s="82" t="n"/>
      <c r="B76" s="82" t="n"/>
      <c r="C76" s="82" t="n"/>
      <c r="D76" s="82" t="n"/>
      <c r="E76" s="82" t="n"/>
      <c r="F76" s="82" t="n"/>
      <c r="G76" s="82" t="n"/>
      <c r="H76" s="82" t="n"/>
      <c r="I76" s="82" t="n"/>
      <c r="J76" s="82" t="n"/>
    </row>
    <row r="77">
      <c r="A77" s="82" t="n"/>
      <c r="B77" s="82" t="n"/>
      <c r="C77" s="82" t="n"/>
      <c r="D77" s="82" t="n"/>
      <c r="E77" s="82" t="n"/>
      <c r="F77" s="82" t="n"/>
      <c r="G77" s="82" t="n"/>
      <c r="H77" s="82" t="n"/>
      <c r="I77" s="82" t="n"/>
      <c r="J77" s="82" t="n"/>
    </row>
    <row r="78">
      <c r="A78" s="82" t="n"/>
      <c r="B78" s="82" t="n"/>
      <c r="C78" s="82" t="n"/>
      <c r="D78" s="82" t="n"/>
      <c r="E78" s="82" t="n"/>
      <c r="F78" s="82" t="n"/>
      <c r="G78" s="82" t="n"/>
      <c r="H78" s="82" t="n"/>
      <c r="I78" s="82" t="n"/>
      <c r="J78" s="82" t="n"/>
    </row>
    <row r="79">
      <c r="A79" s="82" t="n"/>
      <c r="B79" s="82" t="n"/>
      <c r="C79" s="82" t="n"/>
      <c r="D79" s="82" t="n"/>
      <c r="E79" s="82" t="n"/>
      <c r="F79" s="82" t="n"/>
      <c r="G79" s="82" t="n"/>
      <c r="H79" s="82" t="n"/>
      <c r="I79" s="82" t="n"/>
      <c r="J79" s="82" t="n"/>
    </row>
    <row r="80">
      <c r="A80" s="82" t="n"/>
      <c r="B80" s="82" t="n"/>
      <c r="C80" s="82" t="n"/>
      <c r="D80" s="82" t="n"/>
      <c r="E80" s="82" t="n"/>
      <c r="F80" s="82" t="n"/>
      <c r="G80" s="82" t="n"/>
      <c r="H80" s="82" t="n"/>
      <c r="I80" s="82" t="n"/>
      <c r="J80" s="82" t="n"/>
    </row>
    <row r="81">
      <c r="A81" s="82" t="n"/>
      <c r="B81" s="82" t="n"/>
      <c r="C81" s="82" t="n"/>
      <c r="D81" s="82" t="n"/>
      <c r="E81" s="82" t="n"/>
      <c r="F81" s="82" t="n"/>
      <c r="G81" s="82" t="n"/>
      <c r="H81" s="82" t="n"/>
      <c r="I81" s="82" t="n"/>
      <c r="J81" s="82" t="n"/>
    </row>
    <row r="82">
      <c r="A82" s="82" t="n"/>
      <c r="B82" s="82" t="n"/>
      <c r="C82" s="82" t="n"/>
      <c r="D82" s="82" t="n"/>
      <c r="E82" s="82" t="n"/>
      <c r="F82" s="82" t="n"/>
      <c r="G82" s="82" t="n"/>
      <c r="H82" s="82" t="n"/>
      <c r="I82" s="82" t="n"/>
      <c r="J82" s="82" t="n"/>
    </row>
    <row r="83">
      <c r="A83" s="82" t="n"/>
      <c r="B83" s="82" t="n"/>
      <c r="C83" s="82" t="n"/>
      <c r="D83" s="82" t="n"/>
      <c r="E83" s="82" t="n"/>
      <c r="F83" s="82" t="n"/>
      <c r="G83" s="82" t="n"/>
      <c r="H83" s="82" t="n"/>
      <c r="I83" s="82" t="n"/>
      <c r="J83" s="82" t="n"/>
    </row>
    <row r="84">
      <c r="A84" s="82" t="n"/>
      <c r="B84" s="82" t="n"/>
      <c r="C84" s="82" t="n"/>
      <c r="D84" s="82" t="n"/>
      <c r="E84" s="82" t="n"/>
      <c r="F84" s="82" t="n"/>
      <c r="G84" s="82" t="n"/>
      <c r="H84" s="82" t="n"/>
      <c r="I84" s="82" t="n"/>
      <c r="J84" s="82" t="n"/>
    </row>
    <row r="85">
      <c r="A85" s="82" t="n"/>
      <c r="B85" s="82" t="n"/>
      <c r="C85" s="82" t="n"/>
      <c r="D85" s="82" t="n"/>
      <c r="E85" s="82" t="n"/>
      <c r="F85" s="82" t="n"/>
      <c r="G85" s="82" t="n"/>
      <c r="H85" s="82" t="n"/>
      <c r="I85" s="82" t="n"/>
      <c r="J85" s="82" t="n"/>
    </row>
    <row r="86">
      <c r="A86" s="82" t="n"/>
      <c r="B86" s="82" t="n"/>
      <c r="C86" s="82" t="n"/>
      <c r="D86" s="82" t="n"/>
      <c r="E86" s="82" t="n"/>
      <c r="F86" s="82" t="n"/>
      <c r="G86" s="82" t="n"/>
      <c r="H86" s="82" t="n"/>
      <c r="I86" s="82" t="n"/>
      <c r="J86" s="82" t="n"/>
    </row>
    <row r="87">
      <c r="A87" s="82" t="n"/>
      <c r="B87" s="82" t="n"/>
      <c r="C87" s="82" t="n"/>
      <c r="D87" s="82" t="n"/>
      <c r="E87" s="82" t="n"/>
      <c r="F87" s="82" t="n"/>
      <c r="G87" s="82" t="n"/>
      <c r="H87" s="82" t="n"/>
      <c r="I87" s="82" t="n"/>
      <c r="J87" s="82" t="n"/>
    </row>
    <row r="88">
      <c r="A88" s="82" t="n"/>
      <c r="B88" s="82" t="n"/>
      <c r="C88" s="82" t="n"/>
      <c r="D88" s="82" t="n"/>
      <c r="E88" s="82" t="n"/>
      <c r="F88" s="82" t="n"/>
      <c r="G88" s="82" t="n"/>
      <c r="H88" s="82" t="n"/>
      <c r="I88" s="82" t="n"/>
      <c r="J88" s="82" t="n"/>
    </row>
    <row r="89">
      <c r="A89" s="82" t="n"/>
      <c r="B89" s="82" t="n"/>
      <c r="C89" s="82" t="n"/>
      <c r="D89" s="82" t="n"/>
      <c r="E89" s="82" t="n"/>
      <c r="F89" s="82" t="n"/>
      <c r="G89" s="82" t="n"/>
      <c r="H89" s="82" t="n"/>
      <c r="I89" s="82" t="n"/>
      <c r="J89" s="82" t="n"/>
    </row>
    <row r="90">
      <c r="A90" s="82" t="n"/>
      <c r="B90" s="82" t="n"/>
      <c r="C90" s="82" t="n"/>
      <c r="D90" s="82" t="n"/>
      <c r="E90" s="82" t="n"/>
      <c r="F90" s="82" t="n"/>
      <c r="G90" s="82" t="n"/>
      <c r="H90" s="82" t="n"/>
      <c r="I90" s="82" t="n"/>
      <c r="J90" s="82" t="n"/>
    </row>
    <row r="91">
      <c r="A91" s="82" t="n"/>
      <c r="B91" s="82" t="n"/>
      <c r="C91" s="82" t="n"/>
      <c r="D91" s="82" t="n"/>
      <c r="E91" s="82" t="n"/>
      <c r="F91" s="82" t="n"/>
      <c r="G91" s="82" t="n"/>
      <c r="H91" s="82" t="n"/>
      <c r="I91" s="82" t="n"/>
      <c r="J91" s="82" t="n"/>
    </row>
    <row r="92">
      <c r="A92" s="82" t="n"/>
      <c r="B92" s="82" t="n"/>
      <c r="C92" s="82" t="n"/>
      <c r="D92" s="82" t="n"/>
      <c r="E92" s="82" t="n"/>
      <c r="F92" s="82" t="n"/>
      <c r="G92" s="82" t="n"/>
      <c r="H92" s="82" t="n"/>
      <c r="I92" s="82" t="n"/>
      <c r="J92" s="82" t="n"/>
    </row>
    <row r="93">
      <c r="A93" s="82" t="n"/>
      <c r="B93" s="82" t="n"/>
      <c r="C93" s="82" t="n"/>
      <c r="D93" s="82" t="n"/>
      <c r="E93" s="82" t="n"/>
      <c r="F93" s="82" t="n"/>
      <c r="G93" s="82" t="n"/>
      <c r="H93" s="82" t="n"/>
      <c r="I93" s="82" t="n"/>
      <c r="J93" s="82" t="n"/>
    </row>
    <row r="94">
      <c r="A94" s="82" t="n"/>
      <c r="B94" s="82" t="n"/>
      <c r="C94" s="82" t="n"/>
      <c r="D94" s="82" t="n"/>
      <c r="E94" s="82" t="n"/>
      <c r="F94" s="82" t="n"/>
      <c r="G94" s="82" t="n"/>
      <c r="H94" s="82" t="n"/>
      <c r="I94" s="82" t="n"/>
      <c r="J94" s="82" t="n"/>
    </row>
    <row r="95">
      <c r="A95" s="82" t="n"/>
      <c r="B95" s="82" t="n"/>
      <c r="C95" s="82" t="n"/>
      <c r="D95" s="82" t="n"/>
      <c r="E95" s="82" t="n"/>
      <c r="F95" s="82" t="n"/>
      <c r="G95" s="82" t="n"/>
      <c r="H95" s="82" t="n"/>
      <c r="I95" s="82" t="n"/>
      <c r="J95" s="82" t="n"/>
    </row>
    <row r="96">
      <c r="A96" s="82" t="n"/>
      <c r="B96" s="82" t="n"/>
      <c r="C96" s="82" t="n"/>
      <c r="D96" s="82" t="n"/>
      <c r="E96" s="82" t="n"/>
      <c r="F96" s="82" t="n"/>
      <c r="G96" s="82" t="n"/>
      <c r="H96" s="82" t="n"/>
      <c r="I96" s="82" t="n"/>
      <c r="J96" s="82" t="n"/>
    </row>
    <row r="97">
      <c r="A97" s="82" t="n"/>
      <c r="B97" s="82" t="n"/>
      <c r="C97" s="82" t="n"/>
      <c r="D97" s="82" t="n"/>
      <c r="E97" s="82" t="n"/>
      <c r="F97" s="82" t="n"/>
      <c r="G97" s="82" t="n"/>
      <c r="H97" s="82" t="n"/>
      <c r="I97" s="82" t="n"/>
      <c r="J97" s="82" t="n"/>
    </row>
    <row r="98">
      <c r="A98" s="82" t="n"/>
      <c r="B98" s="82" t="n"/>
      <c r="C98" s="82" t="n"/>
      <c r="D98" s="82" t="n"/>
      <c r="E98" s="82" t="n"/>
      <c r="F98" s="82" t="n"/>
      <c r="G98" s="82" t="n"/>
      <c r="H98" s="82" t="n"/>
      <c r="I98" s="82" t="n"/>
      <c r="J98" s="82" t="n"/>
    </row>
    <row r="99">
      <c r="A99" s="82" t="n"/>
      <c r="B99" s="82" t="n"/>
      <c r="C99" s="82" t="n"/>
      <c r="D99" s="82" t="n"/>
      <c r="E99" s="82" t="n"/>
      <c r="F99" s="82" t="n"/>
      <c r="G99" s="82" t="n"/>
      <c r="H99" s="82" t="n"/>
      <c r="I99" s="82" t="n"/>
      <c r="J99" s="82" t="n"/>
    </row>
    <row r="100">
      <c r="A100" s="82" t="n"/>
      <c r="B100" s="82" t="n"/>
      <c r="C100" s="82" t="n"/>
      <c r="D100" s="82" t="n"/>
      <c r="E100" s="82" t="n"/>
      <c r="F100" s="82" t="n"/>
      <c r="G100" s="82" t="n"/>
      <c r="H100" s="82" t="n"/>
      <c r="I100" s="82" t="n"/>
      <c r="J100" s="82" t="n"/>
    </row>
    <row r="101">
      <c r="A101" s="82" t="n"/>
      <c r="B101" s="82" t="n"/>
      <c r="C101" s="82" t="n"/>
      <c r="D101" s="82" t="n"/>
      <c r="E101" s="82" t="n"/>
      <c r="F101" s="82" t="n"/>
      <c r="G101" s="82" t="n"/>
      <c r="H101" s="82" t="n"/>
      <c r="I101" s="82" t="n"/>
      <c r="J101" s="82" t="n"/>
    </row>
    <row r="102">
      <c r="A102" s="82" t="n"/>
      <c r="B102" s="82" t="n"/>
      <c r="C102" s="82" t="n"/>
      <c r="D102" s="82" t="n"/>
      <c r="E102" s="82" t="n"/>
      <c r="F102" s="82" t="n"/>
      <c r="G102" s="82" t="n"/>
      <c r="H102" s="82" t="n"/>
      <c r="I102" s="82" t="n"/>
      <c r="J102" s="82" t="n"/>
    </row>
    <row r="103">
      <c r="A103" s="82" t="n"/>
      <c r="B103" s="82" t="n"/>
      <c r="C103" s="82" t="n"/>
      <c r="D103" s="82" t="n"/>
      <c r="E103" s="82" t="n"/>
      <c r="F103" s="82" t="n"/>
      <c r="G103" s="82" t="n"/>
      <c r="H103" s="82" t="n"/>
      <c r="I103" s="82" t="n"/>
      <c r="J103" s="82" t="n"/>
    </row>
    <row r="104">
      <c r="A104" s="82" t="n"/>
      <c r="B104" s="82" t="n"/>
      <c r="C104" s="82" t="n"/>
      <c r="D104" s="82" t="n"/>
      <c r="E104" s="82" t="n"/>
      <c r="F104" s="82" t="n"/>
      <c r="G104" s="82" t="n"/>
      <c r="H104" s="82" t="n"/>
      <c r="I104" s="82" t="n"/>
      <c r="J104" s="82" t="n"/>
    </row>
    <row r="105">
      <c r="A105" s="82" t="n"/>
      <c r="B105" s="82" t="n"/>
      <c r="C105" s="82" t="n"/>
      <c r="D105" s="82" t="n"/>
      <c r="E105" s="82" t="n"/>
      <c r="F105" s="82" t="n"/>
      <c r="G105" s="82" t="n"/>
      <c r="H105" s="82" t="n"/>
      <c r="I105" s="82" t="n"/>
      <c r="J105" s="82" t="n"/>
    </row>
    <row r="106">
      <c r="A106" s="82" t="n"/>
      <c r="B106" s="82" t="n"/>
      <c r="C106" s="82" t="n"/>
      <c r="D106" s="82" t="n"/>
      <c r="E106" s="82" t="n"/>
      <c r="F106" s="82" t="n"/>
      <c r="G106" s="82" t="n"/>
      <c r="H106" s="82" t="n"/>
      <c r="I106" s="82" t="n"/>
      <c r="J106" s="82" t="n"/>
    </row>
    <row r="107">
      <c r="A107" s="82" t="n"/>
      <c r="B107" s="82" t="n"/>
      <c r="C107" s="82" t="n"/>
      <c r="D107" s="82" t="n"/>
      <c r="E107" s="82" t="n"/>
      <c r="F107" s="82" t="n"/>
      <c r="G107" s="82" t="n"/>
      <c r="H107" s="82" t="n"/>
      <c r="I107" s="82" t="n"/>
      <c r="J107" s="82" t="n"/>
    </row>
    <row r="108">
      <c r="A108" s="82" t="n"/>
      <c r="B108" s="82" t="n"/>
      <c r="C108" s="82" t="n"/>
      <c r="D108" s="82" t="n"/>
      <c r="E108" s="82" t="n"/>
      <c r="F108" s="82" t="n"/>
      <c r="G108" s="82" t="n"/>
      <c r="H108" s="82" t="n"/>
      <c r="I108" s="82" t="n"/>
      <c r="J108" s="82" t="n"/>
    </row>
    <row r="109">
      <c r="A109" s="82" t="n"/>
      <c r="B109" s="82" t="n"/>
      <c r="C109" s="82" t="n"/>
      <c r="D109" s="82" t="n"/>
      <c r="E109" s="82" t="n"/>
      <c r="F109" s="82" t="n"/>
      <c r="G109" s="82" t="n"/>
      <c r="H109" s="82" t="n"/>
      <c r="I109" s="82" t="n"/>
      <c r="J109" s="82" t="n"/>
    </row>
    <row r="110">
      <c r="A110" s="82" t="n"/>
      <c r="B110" s="82" t="n"/>
      <c r="C110" s="82" t="n"/>
      <c r="D110" s="82" t="n"/>
      <c r="E110" s="82" t="n"/>
      <c r="F110" s="82" t="n"/>
      <c r="G110" s="82" t="n"/>
      <c r="H110" s="82" t="n"/>
      <c r="I110" s="82" t="n"/>
      <c r="J110" s="82" t="n"/>
    </row>
    <row r="111">
      <c r="A111" s="82" t="n"/>
      <c r="B111" s="82" t="n"/>
      <c r="C111" s="82" t="n"/>
      <c r="D111" s="82" t="n"/>
      <c r="E111" s="82" t="n"/>
      <c r="F111" s="82" t="n"/>
      <c r="G111" s="82" t="n"/>
      <c r="H111" s="82" t="n"/>
      <c r="I111" s="82" t="n"/>
      <c r="J111" s="82" t="n"/>
    </row>
    <row r="112">
      <c r="A112" s="82" t="n"/>
      <c r="B112" s="82" t="n"/>
      <c r="C112" s="82" t="n"/>
      <c r="D112" s="82" t="n"/>
      <c r="E112" s="82" t="n"/>
      <c r="F112" s="82" t="n"/>
      <c r="G112" s="82" t="n"/>
      <c r="H112" s="82" t="n"/>
      <c r="I112" s="82" t="n"/>
      <c r="J112" s="82" t="n"/>
    </row>
    <row r="113">
      <c r="A113" s="82" t="n"/>
      <c r="B113" s="82" t="n"/>
      <c r="C113" s="82" t="n"/>
      <c r="D113" s="82" t="n"/>
      <c r="E113" s="82" t="n"/>
      <c r="F113" s="82" t="n"/>
      <c r="G113" s="82" t="n"/>
      <c r="H113" s="82" t="n"/>
      <c r="I113" s="82" t="n"/>
      <c r="J113" s="82" t="n"/>
    </row>
    <row r="114">
      <c r="A114" s="82" t="n"/>
      <c r="B114" s="82" t="n"/>
      <c r="C114" s="82" t="n"/>
      <c r="D114" s="82" t="n"/>
      <c r="E114" s="82" t="n"/>
      <c r="F114" s="82" t="n"/>
      <c r="G114" s="82" t="n"/>
      <c r="H114" s="82" t="n"/>
      <c r="I114" s="82" t="n"/>
      <c r="J114" s="82" t="n"/>
    </row>
    <row r="115">
      <c r="A115" s="82" t="n"/>
      <c r="B115" s="82" t="n"/>
      <c r="C115" s="82" t="n"/>
      <c r="D115" s="82" t="n"/>
      <c r="E115" s="82" t="n"/>
      <c r="F115" s="82" t="n"/>
      <c r="G115" s="82" t="n"/>
      <c r="H115" s="82" t="n"/>
      <c r="I115" s="82" t="n"/>
      <c r="J115" s="82" t="n"/>
    </row>
    <row r="116">
      <c r="A116" s="82" t="n"/>
      <c r="B116" s="82" t="n"/>
      <c r="C116" s="82" t="n"/>
      <c r="D116" s="82" t="n"/>
      <c r="E116" s="82" t="n"/>
      <c r="F116" s="82" t="n"/>
      <c r="G116" s="82" t="n"/>
      <c r="H116" s="82" t="n"/>
      <c r="I116" s="82" t="n"/>
      <c r="J116" s="82" t="n"/>
    </row>
    <row r="117">
      <c r="A117" s="82" t="n"/>
      <c r="B117" s="82" t="n"/>
      <c r="C117" s="82" t="n"/>
      <c r="D117" s="82" t="n"/>
      <c r="E117" s="82" t="n"/>
      <c r="F117" s="82" t="n"/>
      <c r="G117" s="82" t="n"/>
      <c r="H117" s="82" t="n"/>
      <c r="I117" s="82" t="n"/>
      <c r="J117" s="82" t="n"/>
    </row>
    <row r="118">
      <c r="A118" s="82" t="n"/>
      <c r="B118" s="82" t="n"/>
      <c r="C118" s="82" t="n"/>
      <c r="D118" s="82" t="n"/>
      <c r="E118" s="82" t="n"/>
      <c r="F118" s="82" t="n"/>
      <c r="G118" s="82" t="n"/>
      <c r="H118" s="82" t="n"/>
      <c r="I118" s="82" t="n"/>
      <c r="J118" s="82" t="n"/>
    </row>
    <row r="119">
      <c r="A119" s="82" t="n"/>
      <c r="B119" s="82" t="n"/>
      <c r="C119" s="82" t="n"/>
      <c r="D119" s="82" t="n"/>
      <c r="E119" s="82" t="n"/>
      <c r="F119" s="82" t="n"/>
      <c r="G119" s="82" t="n"/>
      <c r="H119" s="82" t="n"/>
      <c r="I119" s="82" t="n"/>
      <c r="J119" s="82" t="n"/>
    </row>
    <row r="120">
      <c r="A120" s="82" t="n"/>
      <c r="B120" s="82" t="n"/>
      <c r="C120" s="82" t="n"/>
      <c r="D120" s="82" t="n"/>
      <c r="E120" s="82" t="n"/>
      <c r="F120" s="82" t="n"/>
      <c r="G120" s="82" t="n"/>
      <c r="H120" s="82" t="n"/>
      <c r="I120" s="82" t="n"/>
      <c r="J120" s="82" t="n"/>
    </row>
    <row r="121">
      <c r="A121" s="82" t="n"/>
      <c r="B121" s="82" t="n"/>
      <c r="C121" s="82" t="n"/>
      <c r="D121" s="82" t="n"/>
      <c r="E121" s="82" t="n"/>
      <c r="F121" s="82" t="n"/>
      <c r="G121" s="82" t="n"/>
      <c r="H121" s="82" t="n"/>
      <c r="I121" s="82" t="n"/>
      <c r="J121" s="82" t="n"/>
    </row>
    <row r="122">
      <c r="A122" s="82" t="n"/>
      <c r="B122" s="82" t="n"/>
      <c r="C122" s="82" t="n"/>
      <c r="D122" s="82" t="n"/>
      <c r="E122" s="82" t="n"/>
      <c r="F122" s="82" t="n"/>
      <c r="G122" s="82" t="n"/>
      <c r="H122" s="82" t="n"/>
      <c r="I122" s="82" t="n"/>
      <c r="J122" s="82" t="n"/>
    </row>
    <row r="123">
      <c r="A123" s="82" t="n"/>
      <c r="B123" s="82" t="n"/>
      <c r="C123" s="82" t="n"/>
      <c r="D123" s="82" t="n"/>
      <c r="E123" s="82" t="n"/>
      <c r="F123" s="82" t="n"/>
      <c r="G123" s="82" t="n"/>
      <c r="H123" s="82" t="n"/>
      <c r="I123" s="82" t="n"/>
      <c r="J123" s="82" t="n"/>
    </row>
    <row r="124">
      <c r="A124" s="82" t="n"/>
      <c r="B124" s="82" t="n"/>
      <c r="C124" s="82" t="n"/>
      <c r="D124" s="82" t="n"/>
      <c r="E124" s="82" t="n"/>
      <c r="F124" s="82" t="n"/>
      <c r="G124" s="82" t="n"/>
      <c r="H124" s="82" t="n"/>
      <c r="I124" s="82" t="n"/>
      <c r="J124" s="82" t="n"/>
    </row>
    <row r="125">
      <c r="A125" s="82" t="n"/>
      <c r="B125" s="82" t="n"/>
      <c r="C125" s="82" t="n"/>
      <c r="D125" s="82" t="n"/>
      <c r="E125" s="82" t="n"/>
      <c r="F125" s="82" t="n"/>
      <c r="G125" s="82" t="n"/>
      <c r="H125" s="82" t="n"/>
      <c r="I125" s="82" t="n"/>
      <c r="J125" s="82" t="n"/>
    </row>
    <row r="126">
      <c r="A126" s="82" t="n"/>
      <c r="B126" s="82" t="n"/>
      <c r="C126" s="82" t="n"/>
      <c r="D126" s="82" t="n"/>
      <c r="E126" s="82" t="n"/>
      <c r="F126" s="82" t="n"/>
      <c r="G126" s="82" t="n"/>
      <c r="H126" s="82" t="n"/>
      <c r="I126" s="82" t="n"/>
      <c r="J126" s="82" t="n"/>
    </row>
    <row r="127">
      <c r="A127" s="82" t="n"/>
      <c r="B127" s="82" t="n"/>
      <c r="C127" s="82" t="n"/>
      <c r="D127" s="82" t="n"/>
      <c r="E127" s="82" t="n"/>
      <c r="F127" s="82" t="n"/>
      <c r="G127" s="82" t="n"/>
      <c r="H127" s="82" t="n"/>
      <c r="I127" s="82" t="n"/>
      <c r="J127" s="82" t="n"/>
    </row>
    <row r="128">
      <c r="A128" s="82" t="n"/>
      <c r="B128" s="82" t="n"/>
      <c r="C128" s="82" t="n"/>
      <c r="D128" s="82" t="n"/>
      <c r="E128" s="82" t="n"/>
      <c r="F128" s="82" t="n"/>
      <c r="G128" s="82" t="n"/>
      <c r="H128" s="82" t="n"/>
      <c r="I128" s="82" t="n"/>
      <c r="J128" s="82" t="n"/>
    </row>
    <row r="129">
      <c r="A129" s="82" t="n"/>
      <c r="B129" s="82" t="n"/>
      <c r="C129" s="82" t="n"/>
      <c r="D129" s="82" t="n"/>
      <c r="E129" s="82" t="n"/>
      <c r="F129" s="82" t="n"/>
      <c r="G129" s="82" t="n"/>
      <c r="H129" s="82" t="n"/>
      <c r="I129" s="82" t="n"/>
      <c r="J129" s="82" t="n"/>
    </row>
    <row r="130">
      <c r="A130" s="82" t="n"/>
      <c r="B130" s="82" t="n"/>
      <c r="C130" s="82" t="n"/>
      <c r="D130" s="82" t="n"/>
      <c r="E130" s="82" t="n"/>
      <c r="F130" s="82" t="n"/>
      <c r="G130" s="82" t="n"/>
      <c r="H130" s="82" t="n"/>
      <c r="I130" s="82" t="n"/>
      <c r="J130" s="82" t="n"/>
    </row>
    <row r="131">
      <c r="A131" s="82" t="n"/>
      <c r="B131" s="82" t="n"/>
      <c r="C131" s="82" t="n"/>
      <c r="D131" s="82" t="n"/>
      <c r="E131" s="82" t="n"/>
      <c r="F131" s="82" t="n"/>
      <c r="G131" s="82" t="n"/>
      <c r="H131" s="82" t="n"/>
      <c r="I131" s="82" t="n"/>
      <c r="J131" s="82" t="n"/>
    </row>
    <row r="132">
      <c r="A132" s="82" t="n"/>
      <c r="B132" s="82" t="n"/>
      <c r="C132" s="82" t="n"/>
      <c r="D132" s="82" t="n"/>
      <c r="E132" s="82" t="n"/>
      <c r="F132" s="82" t="n"/>
      <c r="G132" s="82" t="n"/>
      <c r="H132" s="82" t="n"/>
      <c r="I132" s="82" t="n"/>
      <c r="J132" s="82" t="n"/>
    </row>
    <row r="133">
      <c r="A133" s="82" t="n"/>
      <c r="B133" s="82" t="n"/>
      <c r="C133" s="82" t="n"/>
      <c r="D133" s="82" t="n"/>
      <c r="E133" s="82" t="n"/>
      <c r="F133" s="82" t="n"/>
      <c r="G133" s="82" t="n"/>
      <c r="H133" s="82" t="n"/>
      <c r="I133" s="82" t="n"/>
      <c r="J133" s="82" t="n"/>
    </row>
    <row r="134">
      <c r="A134" s="82" t="n"/>
      <c r="B134" s="82" t="n"/>
      <c r="C134" s="82" t="n"/>
      <c r="D134" s="82" t="n"/>
      <c r="E134" s="82" t="n"/>
      <c r="F134" s="82" t="n"/>
      <c r="G134" s="82" t="n"/>
      <c r="H134" s="82" t="n"/>
      <c r="I134" s="82" t="n"/>
      <c r="J134" s="82" t="n"/>
    </row>
    <row r="135">
      <c r="A135" s="82" t="n"/>
      <c r="B135" s="82" t="n"/>
      <c r="C135" s="82" t="n"/>
      <c r="D135" s="82" t="n"/>
      <c r="E135" s="82" t="n"/>
      <c r="F135" s="82" t="n"/>
      <c r="G135" s="82" t="n"/>
      <c r="H135" s="82" t="n"/>
      <c r="I135" s="82" t="n"/>
      <c r="J135" s="82" t="n"/>
    </row>
    <row r="136">
      <c r="A136" s="82" t="n"/>
      <c r="B136" s="82" t="n"/>
      <c r="C136" s="82" t="n"/>
      <c r="D136" s="82" t="n"/>
      <c r="E136" s="82" t="n"/>
      <c r="F136" s="82" t="n"/>
      <c r="G136" s="82" t="n"/>
      <c r="H136" s="82" t="n"/>
      <c r="I136" s="82" t="n"/>
      <c r="J136" s="82" t="n"/>
    </row>
    <row r="137">
      <c r="A137" s="82" t="n"/>
      <c r="B137" s="82" t="n"/>
      <c r="C137" s="82" t="n"/>
      <c r="D137" s="82" t="n"/>
      <c r="E137" s="82" t="n"/>
      <c r="F137" s="82" t="n"/>
      <c r="G137" s="82" t="n"/>
      <c r="H137" s="82" t="n"/>
      <c r="I137" s="82" t="n"/>
      <c r="J137" s="82" t="n"/>
    </row>
    <row r="138">
      <c r="A138" s="82" t="n"/>
      <c r="B138" s="82" t="n"/>
      <c r="C138" s="82" t="n"/>
      <c r="D138" s="82" t="n"/>
      <c r="E138" s="82" t="n"/>
      <c r="F138" s="82" t="n"/>
      <c r="G138" s="82" t="n"/>
      <c r="H138" s="82" t="n"/>
      <c r="I138" s="82" t="n"/>
      <c r="J138" s="82" t="n"/>
    </row>
    <row r="139">
      <c r="A139" s="82" t="n"/>
      <c r="B139" s="82" t="n"/>
      <c r="C139" s="82" t="n"/>
      <c r="D139" s="82" t="n"/>
      <c r="E139" s="82" t="n"/>
      <c r="F139" s="82" t="n"/>
      <c r="G139" s="82" t="n"/>
      <c r="H139" s="82" t="n"/>
      <c r="I139" s="82" t="n"/>
      <c r="J139" s="82" t="n"/>
    </row>
    <row r="140">
      <c r="A140" s="82" t="n"/>
      <c r="B140" s="82" t="n"/>
      <c r="C140" s="82" t="n"/>
      <c r="D140" s="82" t="n"/>
      <c r="E140" s="82" t="n"/>
      <c r="F140" s="82" t="n"/>
      <c r="G140" s="82" t="n"/>
      <c r="H140" s="82" t="n"/>
      <c r="I140" s="82" t="n"/>
      <c r="J140" s="82" t="n"/>
    </row>
    <row r="141">
      <c r="A141" s="82" t="n"/>
      <c r="B141" s="82" t="n"/>
      <c r="C141" s="82" t="n"/>
      <c r="D141" s="82" t="n"/>
      <c r="E141" s="82" t="n"/>
      <c r="F141" s="82" t="n"/>
      <c r="G141" s="82" t="n"/>
      <c r="H141" s="82" t="n"/>
      <c r="I141" s="82" t="n"/>
      <c r="J141" s="82" t="n"/>
    </row>
    <row r="142">
      <c r="A142" s="82" t="n"/>
      <c r="B142" s="82" t="n"/>
      <c r="C142" s="82" t="n"/>
      <c r="D142" s="82" t="n"/>
      <c r="E142" s="82" t="n"/>
      <c r="F142" s="82" t="n"/>
      <c r="G142" s="82" t="n"/>
      <c r="H142" s="82" t="n"/>
      <c r="I142" s="82" t="n"/>
      <c r="J142" s="82" t="n"/>
    </row>
    <row r="143">
      <c r="A143" s="82" t="n"/>
      <c r="B143" s="82" t="n"/>
      <c r="C143" s="82" t="n"/>
      <c r="D143" s="82" t="n"/>
      <c r="E143" s="82" t="n"/>
      <c r="F143" s="82" t="n"/>
      <c r="G143" s="82" t="n"/>
      <c r="H143" s="82" t="n"/>
      <c r="I143" s="82" t="n"/>
      <c r="J143" s="82" t="n"/>
    </row>
    <row r="144">
      <c r="A144" s="82" t="n"/>
      <c r="B144" s="82" t="n"/>
      <c r="C144" s="82" t="n"/>
      <c r="D144" s="82" t="n"/>
      <c r="E144" s="82" t="n"/>
      <c r="F144" s="82" t="n"/>
      <c r="G144" s="82" t="n"/>
      <c r="H144" s="82" t="n"/>
      <c r="I144" s="82" t="n"/>
      <c r="J144" s="82" t="n"/>
    </row>
    <row r="145">
      <c r="A145" s="82" t="n"/>
      <c r="B145" s="82" t="n"/>
      <c r="C145" s="82" t="n"/>
      <c r="D145" s="82" t="n"/>
      <c r="E145" s="82" t="n"/>
      <c r="F145" s="82" t="n"/>
      <c r="G145" s="82" t="n"/>
      <c r="H145" s="82" t="n"/>
      <c r="I145" s="82" t="n"/>
      <c r="J145" s="82" t="n"/>
    </row>
    <row r="146">
      <c r="A146" s="82" t="n"/>
      <c r="B146" s="82" t="n"/>
      <c r="C146" s="82" t="n"/>
      <c r="D146" s="82" t="n"/>
      <c r="E146" s="82" t="n"/>
      <c r="F146" s="82" t="n"/>
      <c r="G146" s="82" t="n"/>
      <c r="H146" s="82" t="n"/>
      <c r="I146" s="82" t="n"/>
      <c r="J146" s="82" t="n"/>
    </row>
    <row r="147">
      <c r="A147" s="82" t="n"/>
      <c r="B147" s="82" t="n"/>
      <c r="C147" s="82" t="n"/>
      <c r="D147" s="82" t="n"/>
      <c r="E147" s="82" t="n"/>
      <c r="F147" s="82" t="n"/>
      <c r="G147" s="82" t="n"/>
      <c r="H147" s="82" t="n"/>
      <c r="I147" s="82" t="n"/>
      <c r="J147" s="82" t="n"/>
    </row>
    <row r="148">
      <c r="A148" s="82" t="n"/>
      <c r="B148" s="82" t="n"/>
      <c r="C148" s="82" t="n"/>
      <c r="D148" s="82" t="n"/>
      <c r="E148" s="82" t="n"/>
      <c r="F148" s="82" t="n"/>
      <c r="G148" s="82" t="n"/>
      <c r="H148" s="82" t="n"/>
      <c r="I148" s="82" t="n"/>
      <c r="J148" s="82" t="n"/>
    </row>
    <row r="149">
      <c r="A149" s="82" t="n"/>
      <c r="B149" s="82" t="n"/>
      <c r="C149" s="82" t="n"/>
      <c r="D149" s="82" t="n"/>
      <c r="E149" s="82" t="n"/>
      <c r="F149" s="82" t="n"/>
      <c r="G149" s="82" t="n"/>
      <c r="H149" s="82" t="n"/>
      <c r="I149" s="82" t="n"/>
      <c r="J149" s="82" t="n"/>
    </row>
    <row r="150">
      <c r="A150" s="82" t="n"/>
      <c r="B150" s="82" t="n"/>
      <c r="C150" s="82" t="n"/>
      <c r="D150" s="82" t="n"/>
      <c r="E150" s="82" t="n"/>
      <c r="F150" s="82" t="n"/>
      <c r="G150" s="82" t="n"/>
      <c r="H150" s="82" t="n"/>
      <c r="I150" s="82" t="n"/>
      <c r="J150" s="82" t="n"/>
    </row>
    <row r="151">
      <c r="A151" s="82" t="n"/>
      <c r="B151" s="82" t="n"/>
      <c r="C151" s="82" t="n"/>
      <c r="D151" s="82" t="n"/>
      <c r="E151" s="82" t="n"/>
      <c r="F151" s="82" t="n"/>
      <c r="G151" s="82" t="n"/>
      <c r="H151" s="82" t="n"/>
      <c r="I151" s="82" t="n"/>
      <c r="J151" s="82" t="n"/>
    </row>
    <row r="152">
      <c r="A152" s="82" t="n"/>
      <c r="B152" s="82" t="n"/>
      <c r="C152" s="82" t="n"/>
      <c r="D152" s="82" t="n"/>
      <c r="E152" s="82" t="n"/>
      <c r="F152" s="82" t="n"/>
      <c r="G152" s="82" t="n"/>
      <c r="H152" s="82" t="n"/>
      <c r="I152" s="82" t="n"/>
      <c r="J152" s="82" t="n"/>
    </row>
    <row r="153">
      <c r="A153" s="82" t="n"/>
      <c r="B153" s="82" t="n"/>
      <c r="C153" s="82" t="n"/>
      <c r="D153" s="82" t="n"/>
      <c r="E153" s="82" t="n"/>
      <c r="F153" s="82" t="n"/>
      <c r="G153" s="82" t="n"/>
      <c r="H153" s="82" t="n"/>
      <c r="I153" s="82" t="n"/>
      <c r="J153" s="82" t="n"/>
    </row>
    <row r="154">
      <c r="A154" s="82" t="n"/>
      <c r="B154" s="82" t="n"/>
      <c r="C154" s="82" t="n"/>
      <c r="D154" s="82" t="n"/>
      <c r="E154" s="82" t="n"/>
      <c r="F154" s="82" t="n"/>
      <c r="G154" s="82" t="n"/>
      <c r="H154" s="82" t="n"/>
      <c r="I154" s="82" t="n"/>
      <c r="J154" s="82" t="n"/>
    </row>
    <row r="155">
      <c r="A155" s="82" t="n"/>
      <c r="B155" s="82" t="n"/>
      <c r="C155" s="82" t="n"/>
      <c r="D155" s="82" t="n"/>
      <c r="E155" s="82" t="n"/>
      <c r="F155" s="82" t="n"/>
      <c r="G155" s="82" t="n"/>
      <c r="H155" s="82" t="n"/>
      <c r="I155" s="82" t="n"/>
      <c r="J155" s="82" t="n"/>
    </row>
    <row r="156">
      <c r="A156" s="82" t="n"/>
      <c r="B156" s="82" t="n"/>
      <c r="C156" s="82" t="n"/>
      <c r="D156" s="82" t="n"/>
      <c r="E156" s="82" t="n"/>
      <c r="F156" s="82" t="n"/>
      <c r="G156" s="82" t="n"/>
      <c r="H156" s="82" t="n"/>
      <c r="I156" s="82" t="n"/>
      <c r="J156" s="82" t="n"/>
    </row>
    <row r="157">
      <c r="A157" s="82" t="n"/>
      <c r="B157" s="82" t="n"/>
      <c r="C157" s="82" t="n"/>
      <c r="D157" s="82" t="n"/>
      <c r="E157" s="82" t="n"/>
      <c r="F157" s="82" t="n"/>
      <c r="G157" s="82" t="n"/>
      <c r="H157" s="82" t="n"/>
      <c r="I157" s="82" t="n"/>
      <c r="J157" s="82" t="n"/>
    </row>
    <row r="158">
      <c r="A158" s="82" t="n"/>
      <c r="B158" s="82" t="n"/>
      <c r="C158" s="82" t="n"/>
      <c r="D158" s="82" t="n"/>
      <c r="E158" s="82" t="n"/>
      <c r="F158" s="82" t="n"/>
      <c r="G158" s="82" t="n"/>
      <c r="H158" s="82" t="n"/>
      <c r="I158" s="82" t="n"/>
      <c r="J158" s="82" t="n"/>
    </row>
    <row r="159">
      <c r="A159" s="82" t="n"/>
      <c r="B159" s="82" t="n"/>
      <c r="C159" s="82" t="n"/>
      <c r="D159" s="82" t="n"/>
      <c r="E159" s="82" t="n"/>
      <c r="F159" s="82" t="n"/>
      <c r="G159" s="82" t="n"/>
      <c r="H159" s="82" t="n"/>
      <c r="I159" s="82" t="n"/>
      <c r="J159" s="82" t="n"/>
    </row>
    <row r="160">
      <c r="A160" s="82" t="n"/>
      <c r="B160" s="82" t="n"/>
      <c r="C160" s="82" t="n"/>
      <c r="D160" s="82" t="n"/>
      <c r="E160" s="82" t="n"/>
      <c r="F160" s="82" t="n"/>
      <c r="G160" s="82" t="n"/>
      <c r="H160" s="82" t="n"/>
      <c r="I160" s="82" t="n"/>
      <c r="J160" s="82" t="n"/>
    </row>
    <row r="161">
      <c r="A161" s="82" t="n"/>
      <c r="B161" s="82" t="n"/>
      <c r="C161" s="82" t="n"/>
      <c r="D161" s="82" t="n"/>
      <c r="E161" s="82" t="n"/>
      <c r="F161" s="82" t="n"/>
      <c r="G161" s="82" t="n"/>
      <c r="H161" s="82" t="n"/>
      <c r="I161" s="82" t="n"/>
      <c r="J161" s="82" t="n"/>
    </row>
    <row r="162">
      <c r="A162" s="82" t="n"/>
      <c r="B162" s="82" t="n"/>
      <c r="C162" s="82" t="n"/>
      <c r="D162" s="82" t="n"/>
      <c r="E162" s="82" t="n"/>
      <c r="F162" s="82" t="n"/>
      <c r="G162" s="82" t="n"/>
      <c r="H162" s="82" t="n"/>
      <c r="I162" s="82" t="n"/>
      <c r="J162" s="82" t="n"/>
    </row>
    <row r="163">
      <c r="A163" s="82" t="n"/>
      <c r="B163" s="82" t="n"/>
      <c r="C163" s="82" t="n"/>
      <c r="D163" s="82" t="n"/>
      <c r="E163" s="82" t="n"/>
      <c r="F163" s="82" t="n"/>
      <c r="G163" s="82" t="n"/>
      <c r="H163" s="82" t="n"/>
      <c r="I163" s="82" t="n"/>
      <c r="J163" s="82" t="n"/>
    </row>
    <row r="164">
      <c r="A164" s="82" t="n"/>
      <c r="B164" s="82" t="n"/>
      <c r="C164" s="82" t="n"/>
      <c r="D164" s="82" t="n"/>
      <c r="E164" s="82" t="n"/>
      <c r="F164" s="82" t="n"/>
      <c r="G164" s="82" t="n"/>
      <c r="H164" s="82" t="n"/>
      <c r="I164" s="82" t="n"/>
      <c r="J164" s="82" t="n"/>
    </row>
    <row r="165">
      <c r="A165" s="82" t="n"/>
      <c r="B165" s="82" t="n"/>
      <c r="C165" s="82" t="n"/>
      <c r="D165" s="82" t="n"/>
      <c r="E165" s="82" t="n"/>
      <c r="F165" s="82" t="n"/>
      <c r="G165" s="82" t="n"/>
      <c r="H165" s="82" t="n"/>
      <c r="I165" s="82" t="n"/>
      <c r="J165" s="82" t="n"/>
    </row>
    <row r="166">
      <c r="A166" s="82" t="n"/>
      <c r="B166" s="82" t="n"/>
      <c r="C166" s="82" t="n"/>
      <c r="D166" s="82" t="n"/>
      <c r="E166" s="82" t="n"/>
      <c r="F166" s="82" t="n"/>
      <c r="G166" s="82" t="n"/>
      <c r="H166" s="82" t="n"/>
      <c r="I166" s="82" t="n"/>
      <c r="J166" s="82" t="n"/>
    </row>
    <row r="167">
      <c r="A167" s="82" t="n"/>
      <c r="B167" s="82" t="n"/>
      <c r="C167" s="82" t="n"/>
      <c r="D167" s="82" t="n"/>
      <c r="E167" s="82" t="n"/>
      <c r="F167" s="82" t="n"/>
      <c r="G167" s="82" t="n"/>
      <c r="H167" s="82" t="n"/>
      <c r="I167" s="82" t="n"/>
      <c r="J167" s="82" t="n"/>
    </row>
    <row r="168">
      <c r="A168" s="82" t="n"/>
      <c r="B168" s="82" t="n"/>
      <c r="C168" s="82" t="n"/>
      <c r="D168" s="82" t="n"/>
      <c r="E168" s="82" t="n"/>
      <c r="F168" s="82" t="n"/>
      <c r="G168" s="82" t="n"/>
      <c r="H168" s="82" t="n"/>
      <c r="I168" s="82" t="n"/>
      <c r="J168" s="82" t="n"/>
    </row>
    <row r="169">
      <c r="A169" s="82" t="n"/>
      <c r="B169" s="82" t="n"/>
      <c r="C169" s="82" t="n"/>
      <c r="D169" s="82" t="n"/>
      <c r="E169" s="82" t="n"/>
      <c r="F169" s="82" t="n"/>
      <c r="G169" s="82" t="n"/>
      <c r="H169" s="82" t="n"/>
      <c r="I169" s="82" t="n"/>
      <c r="J169" s="82" t="n"/>
    </row>
    <row r="170">
      <c r="A170" s="82" t="n"/>
      <c r="B170" s="82" t="n"/>
      <c r="C170" s="82" t="n"/>
      <c r="D170" s="82" t="n"/>
      <c r="E170" s="82" t="n"/>
      <c r="F170" s="82" t="n"/>
      <c r="G170" s="82" t="n"/>
      <c r="H170" s="82" t="n"/>
      <c r="I170" s="82" t="n"/>
      <c r="J170" s="82" t="n"/>
    </row>
    <row r="171">
      <c r="A171" s="82" t="n"/>
      <c r="B171" s="82" t="n"/>
      <c r="C171" s="82" t="n"/>
      <c r="D171" s="82" t="n"/>
      <c r="E171" s="82" t="n"/>
      <c r="F171" s="82" t="n"/>
      <c r="G171" s="82" t="n"/>
      <c r="H171" s="82" t="n"/>
      <c r="I171" s="82" t="n"/>
      <c r="J171" s="82" t="n"/>
    </row>
    <row r="172">
      <c r="A172" s="82" t="n"/>
      <c r="B172" s="82" t="n"/>
      <c r="C172" s="82" t="n"/>
      <c r="D172" s="82" t="n"/>
      <c r="E172" s="82" t="n"/>
      <c r="F172" s="82" t="n"/>
      <c r="G172" s="82" t="n"/>
      <c r="H172" s="82" t="n"/>
      <c r="I172" s="82" t="n"/>
      <c r="J172" s="82" t="n"/>
    </row>
    <row r="173">
      <c r="A173" s="82" t="n"/>
      <c r="B173" s="82" t="n"/>
      <c r="C173" s="82" t="n"/>
      <c r="D173" s="82" t="n"/>
      <c r="E173" s="82" t="n"/>
      <c r="F173" s="82" t="n"/>
      <c r="G173" s="82" t="n"/>
      <c r="H173" s="82" t="n"/>
      <c r="I173" s="82" t="n"/>
      <c r="J173" s="82" t="n"/>
    </row>
    <row r="174">
      <c r="A174" s="82" t="n"/>
      <c r="B174" s="82" t="n"/>
      <c r="C174" s="82" t="n"/>
      <c r="D174" s="82" t="n"/>
      <c r="E174" s="82" t="n"/>
      <c r="F174" s="82" t="n"/>
      <c r="G174" s="82" t="n"/>
      <c r="H174" s="82" t="n"/>
      <c r="I174" s="82" t="n"/>
      <c r="J174" s="82" t="n"/>
    </row>
    <row r="175">
      <c r="A175" s="82" t="n"/>
      <c r="B175" s="82" t="n"/>
      <c r="C175" s="82" t="n"/>
      <c r="D175" s="82" t="n"/>
      <c r="E175" s="82" t="n"/>
      <c r="F175" s="82" t="n"/>
      <c r="G175" s="82" t="n"/>
      <c r="H175" s="82" t="n"/>
      <c r="I175" s="82" t="n"/>
      <c r="J175" s="82" t="n"/>
    </row>
    <row r="176">
      <c r="A176" s="82" t="n"/>
      <c r="B176" s="82" t="n"/>
      <c r="C176" s="82" t="n"/>
      <c r="D176" s="82" t="n"/>
      <c r="E176" s="82" t="n"/>
      <c r="F176" s="82" t="n"/>
      <c r="G176" s="82" t="n"/>
      <c r="H176" s="82" t="n"/>
      <c r="I176" s="82" t="n"/>
      <c r="J176" s="82" t="n"/>
    </row>
    <row r="177">
      <c r="A177" s="82" t="n"/>
      <c r="B177" s="82" t="n"/>
      <c r="C177" s="82" t="n"/>
      <c r="D177" s="82" t="n"/>
      <c r="E177" s="82" t="n"/>
      <c r="F177" s="82" t="n"/>
      <c r="G177" s="82" t="n"/>
      <c r="H177" s="82" t="n"/>
      <c r="I177" s="82" t="n"/>
      <c r="J177" s="82" t="n"/>
    </row>
    <row r="178">
      <c r="A178" s="82" t="n"/>
      <c r="B178" s="82" t="n"/>
      <c r="C178" s="82" t="n"/>
      <c r="D178" s="82" t="n"/>
      <c r="E178" s="82" t="n"/>
      <c r="F178" s="82" t="n"/>
      <c r="G178" s="82" t="n"/>
      <c r="H178" s="82" t="n"/>
      <c r="I178" s="82" t="n"/>
      <c r="J178" s="82" t="n"/>
    </row>
    <row r="179">
      <c r="A179" s="82" t="n"/>
      <c r="B179" s="82" t="n"/>
      <c r="C179" s="82" t="n"/>
      <c r="D179" s="82" t="n"/>
      <c r="E179" s="82" t="n"/>
      <c r="F179" s="82" t="n"/>
      <c r="G179" s="82" t="n"/>
      <c r="H179" s="82" t="n"/>
      <c r="I179" s="82" t="n"/>
      <c r="J179" s="82" t="n"/>
    </row>
    <row r="180">
      <c r="A180" s="82" t="n"/>
      <c r="B180" s="82" t="n"/>
      <c r="C180" s="82" t="n"/>
      <c r="D180" s="82" t="n"/>
      <c r="E180" s="82" t="n"/>
      <c r="F180" s="82" t="n"/>
      <c r="G180" s="82" t="n"/>
      <c r="H180" s="82" t="n"/>
      <c r="I180" s="82" t="n"/>
      <c r="J180" s="82" t="n"/>
    </row>
    <row r="181">
      <c r="A181" s="82" t="n"/>
      <c r="B181" s="82" t="n"/>
      <c r="C181" s="82" t="n"/>
      <c r="D181" s="82" t="n"/>
      <c r="E181" s="82" t="n"/>
      <c r="F181" s="82" t="n"/>
      <c r="G181" s="82" t="n"/>
      <c r="H181" s="82" t="n"/>
      <c r="I181" s="82" t="n"/>
      <c r="J181" s="82" t="n"/>
    </row>
    <row r="182">
      <c r="A182" s="82" t="n"/>
      <c r="B182" s="82" t="n"/>
      <c r="C182" s="82" t="n"/>
      <c r="D182" s="82" t="n"/>
      <c r="E182" s="82" t="n"/>
      <c r="F182" s="82" t="n"/>
      <c r="G182" s="82" t="n"/>
      <c r="H182" s="82" t="n"/>
      <c r="I182" s="82" t="n"/>
      <c r="J182" s="82" t="n"/>
    </row>
    <row r="183">
      <c r="A183" s="82" t="n"/>
      <c r="B183" s="82" t="n"/>
      <c r="C183" s="82" t="n"/>
      <c r="D183" s="82" t="n"/>
      <c r="E183" s="82" t="n"/>
      <c r="F183" s="82" t="n"/>
      <c r="G183" s="82" t="n"/>
      <c r="H183" s="82" t="n"/>
      <c r="I183" s="82" t="n"/>
      <c r="J183" s="82" t="n"/>
    </row>
    <row r="184">
      <c r="A184" s="82" t="n"/>
      <c r="B184" s="82" t="n"/>
      <c r="C184" s="82" t="n"/>
      <c r="D184" s="82" t="n"/>
      <c r="E184" s="82" t="n"/>
      <c r="F184" s="82" t="n"/>
      <c r="G184" s="82" t="n"/>
      <c r="H184" s="82" t="n"/>
      <c r="I184" s="82" t="n"/>
      <c r="J184" s="82" t="n"/>
    </row>
    <row r="185">
      <c r="A185" s="82" t="n"/>
      <c r="B185" s="82" t="n"/>
      <c r="C185" s="82" t="n"/>
      <c r="D185" s="82" t="n"/>
      <c r="E185" s="82" t="n"/>
      <c r="F185" s="82" t="n"/>
      <c r="G185" s="82" t="n"/>
      <c r="H185" s="82" t="n"/>
      <c r="I185" s="82" t="n"/>
      <c r="J185" s="82" t="n"/>
    </row>
    <row r="186">
      <c r="A186" s="82" t="n"/>
      <c r="B186" s="82" t="n"/>
      <c r="C186" s="82" t="n"/>
      <c r="D186" s="82" t="n"/>
      <c r="E186" s="82" t="n"/>
      <c r="F186" s="82" t="n"/>
      <c r="G186" s="82" t="n"/>
      <c r="H186" s="82" t="n"/>
      <c r="I186" s="82" t="n"/>
      <c r="J186" s="82" t="n"/>
    </row>
    <row r="187">
      <c r="A187" s="82" t="n"/>
      <c r="B187" s="82" t="n"/>
      <c r="C187" s="82" t="n"/>
      <c r="D187" s="82" t="n"/>
      <c r="E187" s="82" t="n"/>
      <c r="F187" s="82" t="n"/>
      <c r="G187" s="82" t="n"/>
      <c r="H187" s="82" t="n"/>
      <c r="I187" s="82" t="n"/>
      <c r="J187" s="82" t="n"/>
    </row>
    <row r="188">
      <c r="A188" s="82" t="n"/>
      <c r="B188" s="82" t="n"/>
      <c r="C188" s="82" t="n"/>
      <c r="D188" s="82" t="n"/>
      <c r="E188" s="82" t="n"/>
      <c r="F188" s="82" t="n"/>
      <c r="G188" s="82" t="n"/>
      <c r="H188" s="82" t="n"/>
      <c r="I188" s="82" t="n"/>
      <c r="J188" s="82" t="n"/>
    </row>
    <row r="189">
      <c r="A189" s="82" t="n"/>
      <c r="B189" s="82" t="n"/>
      <c r="C189" s="82" t="n"/>
      <c r="D189" s="82" t="n"/>
      <c r="E189" s="82" t="n"/>
      <c r="F189" s="82" t="n"/>
      <c r="G189" s="82" t="n"/>
      <c r="H189" s="82" t="n"/>
      <c r="I189" s="82" t="n"/>
      <c r="J189" s="82" t="n"/>
    </row>
    <row r="190">
      <c r="A190" s="82" t="n"/>
      <c r="B190" s="82" t="n"/>
      <c r="C190" s="82" t="n"/>
      <c r="D190" s="82" t="n"/>
      <c r="E190" s="82" t="n"/>
      <c r="F190" s="82" t="n"/>
      <c r="G190" s="82" t="n"/>
      <c r="H190" s="82" t="n"/>
      <c r="I190" s="82" t="n"/>
      <c r="J190" s="82" t="n"/>
    </row>
    <row r="191">
      <c r="A191" s="82" t="n"/>
      <c r="B191" s="82" t="n"/>
      <c r="C191" s="82" t="n"/>
      <c r="D191" s="82" t="n"/>
      <c r="E191" s="82" t="n"/>
      <c r="F191" s="82" t="n"/>
      <c r="G191" s="82" t="n"/>
      <c r="H191" s="82" t="n"/>
      <c r="I191" s="82" t="n"/>
      <c r="J191" s="82" t="n"/>
    </row>
    <row r="192">
      <c r="A192" s="82" t="n"/>
      <c r="B192" s="82" t="n"/>
      <c r="C192" s="82" t="n"/>
      <c r="D192" s="82" t="n"/>
      <c r="E192" s="82" t="n"/>
      <c r="F192" s="82" t="n"/>
      <c r="G192" s="82" t="n"/>
      <c r="H192" s="82" t="n"/>
      <c r="I192" s="82" t="n"/>
      <c r="J192" s="82" t="n"/>
    </row>
    <row r="193">
      <c r="A193" s="82" t="n"/>
      <c r="B193" s="82" t="n"/>
      <c r="C193" s="82" t="n"/>
      <c r="D193" s="82" t="n"/>
      <c r="E193" s="82" t="n"/>
      <c r="F193" s="82" t="n"/>
      <c r="G193" s="82" t="n"/>
      <c r="H193" s="82" t="n"/>
      <c r="I193" s="82" t="n"/>
      <c r="J193" s="82" t="n"/>
    </row>
    <row r="194">
      <c r="A194" s="82" t="n"/>
      <c r="B194" s="82" t="n"/>
      <c r="C194" s="82" t="n"/>
      <c r="D194" s="82" t="n"/>
      <c r="E194" s="82" t="n"/>
      <c r="F194" s="82" t="n"/>
      <c r="G194" s="82" t="n"/>
      <c r="H194" s="82" t="n"/>
      <c r="I194" s="82" t="n"/>
      <c r="J194" s="82" t="n"/>
    </row>
    <row r="195">
      <c r="A195" s="82" t="n"/>
      <c r="B195" s="82" t="n"/>
      <c r="C195" s="82" t="n"/>
      <c r="D195" s="82" t="n"/>
      <c r="E195" s="82" t="n"/>
      <c r="F195" s="82" t="n"/>
      <c r="G195" s="82" t="n"/>
      <c r="H195" s="82" t="n"/>
      <c r="I195" s="82" t="n"/>
      <c r="J195" s="82" t="n"/>
    </row>
    <row r="196">
      <c r="A196" s="82" t="n"/>
      <c r="B196" s="82" t="n"/>
      <c r="C196" s="82" t="n"/>
      <c r="D196" s="82" t="n"/>
      <c r="E196" s="82" t="n"/>
      <c r="F196" s="82" t="n"/>
      <c r="G196" s="82" t="n"/>
      <c r="H196" s="82" t="n"/>
      <c r="I196" s="82" t="n"/>
      <c r="J196" s="82" t="n"/>
    </row>
    <row r="197">
      <c r="A197" s="82" t="n"/>
      <c r="B197" s="82" t="n"/>
      <c r="C197" s="82" t="n"/>
      <c r="D197" s="82" t="n"/>
      <c r="E197" s="82" t="n"/>
      <c r="F197" s="82" t="n"/>
      <c r="G197" s="82" t="n"/>
      <c r="H197" s="82" t="n"/>
      <c r="I197" s="82" t="n"/>
      <c r="J197" s="82" t="n"/>
    </row>
    <row r="198">
      <c r="A198" s="82" t="n"/>
      <c r="B198" s="82" t="n"/>
      <c r="C198" s="82" t="n"/>
      <c r="D198" s="82" t="n"/>
      <c r="E198" s="82" t="n"/>
      <c r="F198" s="82" t="n"/>
      <c r="G198" s="82" t="n"/>
      <c r="H198" s="82" t="n"/>
      <c r="I198" s="82" t="n"/>
      <c r="J198" s="82" t="n"/>
    </row>
    <row r="199">
      <c r="A199" s="82" t="n"/>
      <c r="B199" s="82" t="n"/>
      <c r="C199" s="82" t="n"/>
      <c r="D199" s="82" t="n"/>
      <c r="E199" s="82" t="n"/>
      <c r="F199" s="82" t="n"/>
      <c r="G199" s="82" t="n"/>
      <c r="H199" s="82" t="n"/>
      <c r="I199" s="82" t="n"/>
      <c r="J199" s="82" t="n"/>
    </row>
    <row r="200">
      <c r="A200" s="82" t="n"/>
      <c r="B200" s="82" t="n"/>
      <c r="C200" s="82" t="n"/>
      <c r="D200" s="82" t="n"/>
      <c r="E200" s="82" t="n"/>
      <c r="F200" s="82" t="n"/>
      <c r="G200" s="82" t="n"/>
      <c r="H200" s="82" t="n"/>
      <c r="I200" s="82" t="n"/>
      <c r="J200" s="82" t="n"/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autoFilter ref="A4:K11"/>
  <mergeCells count="2">
    <mergeCell ref="A2:K2"/>
    <mergeCell ref="A1:K1"/>
  </mergeCells>
  <conditionalFormatting sqref="K5:K80">
    <cfRule type="cellIs" priority="1" operator="lessThan" dxfId="6">
      <formula>90</formula>
    </cfRule>
    <cfRule type="cellIs" priority="2" operator="lessThan" dxfId="6">
      <formula>90</formula>
    </cfRule>
    <cfRule type="cellIs" priority="3" operator="lessThan" dxfId="6">
      <formula>90</formula>
    </cfRule>
    <cfRule type="cellIs" priority="4" operator="lessThan" dxfId="6">
      <formula>90</formula>
    </cfRule>
    <cfRule type="cellIs" priority="5" operator="lessThan" dxfId="6">
      <formula>90</formula>
    </cfRule>
    <cfRule type="cellIs" priority="6" operator="lessThan" dxfId="6">
      <formula>90</formula>
    </cfRule>
    <cfRule type="cellIs" priority="7" operator="lessThan" dxfId="6">
      <formula>90</formula>
    </cfRule>
  </conditionalFormatting>
  <pageMargins left="0.4" right="0.4" top="0.6" bottom="0.5" header="0.25" footer="0.25"/>
  <pageSetup orientation="landscape" paperSize="3" fitToHeight="0" fitToWidth="1"/>
  <headerFooter>
    <oddHeader>&amp;LNovality Store  ·  Home Renovation System&amp;RWarranties</oddHeader>
    <oddFooter>&amp;LConfidential  ·  Digital twin of the home&amp;RPage &amp;P of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tabColor rgb="001F4A42"/>
    <outlinePr summaryBelow="1" summaryRight="1"/>
    <pageSetUpPr fitToPage="1"/>
  </sheetPr>
  <dimension ref="A1:G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8" customWidth="1" min="4" max="4"/>
    <col width="48" customWidth="1" min="5" max="5"/>
    <col width="16" customWidth="1" min="6" max="6"/>
    <col width="12" customWidth="1" min="7" max="7"/>
  </cols>
  <sheetData>
    <row r="1" ht="28" customHeight="1">
      <c r="A1" s="1" t="inlineStr">
        <is>
          <t>CALENDAR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Visits, deliveries, inspections, reminders  ·  also subscribe via the Apps Script</t>
        </is>
      </c>
      <c r="B2" s="4" t="n"/>
      <c r="C2" s="4" t="n"/>
      <c r="D2" s="4" t="n"/>
      <c r="E2" s="4" t="n"/>
      <c r="F2" s="4" t="n"/>
      <c r="G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</row>
    <row r="4" ht="22" customHeight="1">
      <c r="A4" s="66" t="inlineStr">
        <is>
          <t>Date</t>
        </is>
      </c>
      <c r="B4" s="66" t="inlineStr">
        <is>
          <t>Time</t>
        </is>
      </c>
      <c r="C4" s="66" t="inlineStr">
        <is>
          <t>Event</t>
        </is>
      </c>
      <c r="D4" s="66" t="inlineStr">
        <is>
          <t>Project / Property</t>
        </is>
      </c>
      <c r="E4" s="66" t="inlineStr">
        <is>
          <t>Detail</t>
        </is>
      </c>
      <c r="F4" s="66" t="inlineStr">
        <is>
          <t>Owner</t>
        </is>
      </c>
      <c r="G4" s="66" t="inlineStr">
        <is>
          <t>Status</t>
        </is>
      </c>
    </row>
    <row r="5" ht="18" customHeight="1">
      <c r="A5" s="70" t="n">
        <v>46259</v>
      </c>
      <c r="B5" s="67" t="inlineStr">
        <is>
          <t>09:00</t>
        </is>
      </c>
      <c r="C5" s="67" t="inlineStr">
        <is>
          <t>Site meeting</t>
        </is>
      </c>
      <c r="D5" s="67" t="inlineStr">
        <is>
          <t>PRJ-001</t>
        </is>
      </c>
      <c r="E5" s="68" t="inlineStr">
        <is>
          <t>Weekly GC / designer / homeowner</t>
        </is>
      </c>
      <c r="F5" s="68" t="inlineStr">
        <is>
          <t>Marcus Webb</t>
        </is>
      </c>
      <c r="G5" s="68" t="inlineStr">
        <is>
          <t>Scheduled</t>
        </is>
      </c>
    </row>
    <row r="6" ht="18" customHeight="1">
      <c r="A6" s="78" t="n">
        <v>46259</v>
      </c>
      <c r="B6" s="75" t="inlineStr">
        <is>
          <t>07:30</t>
        </is>
      </c>
      <c r="C6" s="75" t="inlineStr">
        <is>
          <t>Cabinet install</t>
        </is>
      </c>
      <c r="D6" s="75" t="inlineStr">
        <is>
          <t>PRJ-001</t>
        </is>
      </c>
      <c r="E6" s="76" t="inlineStr">
        <is>
          <t>Cascade — box set continues</t>
        </is>
      </c>
      <c r="F6" s="76" t="inlineStr">
        <is>
          <t>Maya Chen</t>
        </is>
      </c>
      <c r="G6" s="76" t="inlineStr">
        <is>
          <t>Scheduled</t>
        </is>
      </c>
    </row>
    <row r="7" ht="18" customHeight="1">
      <c r="A7" s="70" t="n">
        <v>46260</v>
      </c>
      <c r="B7" s="67" t="inlineStr">
        <is>
          <t>10:00</t>
        </is>
      </c>
      <c r="C7" s="67" t="inlineStr">
        <is>
          <t>Bath punch</t>
        </is>
      </c>
      <c r="D7" s="67" t="inlineStr">
        <is>
          <t>PRJ-001</t>
        </is>
      </c>
      <c r="E7" s="68" t="inlineStr">
        <is>
          <t>Heritage reclean + walk</t>
        </is>
      </c>
      <c r="F7" s="68" t="inlineStr">
        <is>
          <t>Priya Shah</t>
        </is>
      </c>
      <c r="G7" s="68" t="inlineStr">
        <is>
          <t>Scheduled</t>
        </is>
      </c>
    </row>
    <row r="8" ht="18" customHeight="1">
      <c r="A8" s="78" t="n">
        <v>46261</v>
      </c>
      <c r="B8" s="75" t="inlineStr">
        <is>
          <t>All day</t>
        </is>
      </c>
      <c r="C8" s="75" t="inlineStr">
        <is>
          <t>Hardware ETA</t>
        </is>
      </c>
      <c r="D8" s="75" t="inlineStr">
        <is>
          <t>PRJ-001</t>
        </is>
      </c>
      <c r="E8" s="76" t="inlineStr">
        <is>
          <t>Pulls expected — do not hang if late</t>
        </is>
      </c>
      <c r="F8" s="76" t="inlineStr">
        <is>
          <t>Maya Chen</t>
        </is>
      </c>
      <c r="G8" s="76" t="inlineStr">
        <is>
          <t>Watch</t>
        </is>
      </c>
    </row>
    <row r="9" ht="18" customHeight="1">
      <c r="A9" s="70" t="n">
        <v>46262</v>
      </c>
      <c r="B9" s="67" t="inlineStr">
        <is>
          <t>All day</t>
        </is>
      </c>
      <c r="C9" s="67" t="inlineStr">
        <is>
          <t>Floor finish cure</t>
        </is>
      </c>
      <c r="D9" s="67" t="inlineStr">
        <is>
          <t>PRJ-001</t>
        </is>
      </c>
      <c r="E9" s="68" t="inlineStr">
        <is>
          <t>No traffic 48 hours after Tuesday coat</t>
        </is>
      </c>
      <c r="F9" s="68" t="inlineStr">
        <is>
          <t>Elena Voss</t>
        </is>
      </c>
      <c r="G9" s="68" t="inlineStr">
        <is>
          <t>Scheduled</t>
        </is>
      </c>
    </row>
    <row r="10" ht="18" customHeight="1">
      <c r="A10" s="78" t="n">
        <v>46266</v>
      </c>
      <c r="B10" s="75" t="inlineStr">
        <is>
          <t>17:00</t>
        </is>
      </c>
      <c r="C10" s="75" t="inlineStr">
        <is>
          <t>Order sofa</t>
        </is>
      </c>
      <c r="D10" s="75" t="inlineStr">
        <is>
          <t>PRJ-001</t>
        </is>
      </c>
      <c r="E10" s="76" t="inlineStr">
        <is>
          <t>6-week lead — last day to hit Oct move-in</t>
        </is>
      </c>
      <c r="F10" s="76" t="inlineStr">
        <is>
          <t>Sofia Alvarez</t>
        </is>
      </c>
      <c r="G10" s="76" t="inlineStr">
        <is>
          <t>To Do</t>
        </is>
      </c>
    </row>
    <row r="11" ht="18" customHeight="1">
      <c r="A11" s="70" t="n">
        <v>46266</v>
      </c>
      <c r="B11" s="67" t="inlineStr">
        <is>
          <t>All day</t>
        </is>
      </c>
      <c r="C11" s="67" t="inlineStr">
        <is>
          <t>Pest control due</t>
        </is>
      </c>
      <c r="D11" s="67" t="inlineStr">
        <is>
          <t>PROP-001</t>
        </is>
      </c>
      <c r="E11" s="68" t="inlineStr">
        <is>
          <t>Oregon Pest quarterly</t>
        </is>
      </c>
      <c r="F11" s="68" t="inlineStr">
        <is>
          <t>Alex Rivera</t>
        </is>
      </c>
      <c r="G11" s="68" t="inlineStr">
        <is>
          <t>Due Soon</t>
        </is>
      </c>
    </row>
    <row r="12" ht="18" customHeight="1">
      <c r="A12" s="78" t="n">
        <v>46269</v>
      </c>
      <c r="B12" s="75" t="inlineStr">
        <is>
          <t>08:00</t>
        </is>
      </c>
      <c r="C12" s="75" t="inlineStr">
        <is>
          <t>Counter template</t>
        </is>
      </c>
      <c r="D12" s="75" t="inlineStr">
        <is>
          <t>PRJ-001</t>
        </is>
      </c>
      <c r="E12" s="76" t="inlineStr">
        <is>
          <t>After doors hung</t>
        </is>
      </c>
      <c r="F12" s="76" t="inlineStr">
        <is>
          <t>Heritage Tile</t>
        </is>
      </c>
      <c r="G12" s="76" t="inlineStr">
        <is>
          <t>Scheduled</t>
        </is>
      </c>
    </row>
    <row r="13" ht="18" customHeight="1">
      <c r="A13" s="70" t="n">
        <v>46275</v>
      </c>
      <c r="B13" s="67" t="inlineStr">
        <is>
          <t>07:00</t>
        </is>
      </c>
      <c r="C13" s="67" t="inlineStr">
        <is>
          <t>Painting starts</t>
        </is>
      </c>
      <c r="D13" s="67" t="inlineStr">
        <is>
          <t>PRJ-001</t>
        </is>
      </c>
      <c r="E13" s="68" t="inlineStr">
        <is>
          <t>Guest, dining, entry</t>
        </is>
      </c>
      <c r="F13" s="68" t="inlineStr">
        <is>
          <t>Leo Park</t>
        </is>
      </c>
      <c r="G13" s="68" t="inlineStr">
        <is>
          <t>Scheduled</t>
        </is>
      </c>
    </row>
    <row r="14" ht="18" customHeight="1">
      <c r="A14" s="78" t="n">
        <v>46275</v>
      </c>
      <c r="B14" s="75" t="inlineStr">
        <is>
          <t>All day</t>
        </is>
      </c>
      <c r="C14" s="75" t="inlineStr">
        <is>
          <t>Water heater flush due</t>
        </is>
      </c>
      <c r="D14" s="75" t="inlineStr">
        <is>
          <t>PROP-001</t>
        </is>
      </c>
      <c r="E14" s="76" t="inlineStr">
        <is>
          <t>Pacific Plumbing</t>
        </is>
      </c>
      <c r="F14" s="76" t="inlineStr">
        <is>
          <t>Sam Ortiz</t>
        </is>
      </c>
      <c r="G14" s="76" t="inlineStr">
        <is>
          <t>Due Soon</t>
        </is>
      </c>
    </row>
    <row r="15" ht="18" customHeight="1">
      <c r="A15" s="70" t="n">
        <v>46277</v>
      </c>
      <c r="B15" s="67" t="inlineStr">
        <is>
          <t>Window</t>
        </is>
      </c>
      <c r="C15" s="67" t="inlineStr">
        <is>
          <t>Appliance delivery</t>
        </is>
      </c>
      <c r="D15" s="67" t="inlineStr">
        <is>
          <t>PRJ-001</t>
        </is>
      </c>
      <c r="E15" s="68" t="inlineStr">
        <is>
          <t>Wolf + Sub-Zero</t>
        </is>
      </c>
      <c r="F15" s="68" t="inlineStr">
        <is>
          <t>Aiden Brooks</t>
        </is>
      </c>
      <c r="G15" s="68" t="inlineStr">
        <is>
          <t>Scheduled</t>
        </is>
      </c>
    </row>
    <row r="16" ht="18" customHeight="1">
      <c r="A16" s="78" t="n">
        <v>46301</v>
      </c>
      <c r="B16" s="75" t="inlineStr">
        <is>
          <t>07:00</t>
        </is>
      </c>
      <c r="C16" s="75" t="inlineStr">
        <is>
          <t>Exterior path start</t>
        </is>
      </c>
      <c r="D16" s="75" t="inlineStr">
        <is>
          <t>PRJ-001</t>
        </is>
      </c>
      <c r="E16" s="76" t="inlineStr">
        <is>
          <t>Release only if contingency healthy</t>
        </is>
      </c>
      <c r="F16" s="76" t="inlineStr">
        <is>
          <t>Theo Brooks</t>
        </is>
      </c>
      <c r="G16" s="76" t="inlineStr">
        <is>
          <t>Hold</t>
        </is>
      </c>
    </row>
    <row r="17" ht="18" customHeight="1">
      <c r="A17" s="70" t="n">
        <v>46307</v>
      </c>
      <c r="B17" s="67" t="inlineStr">
        <is>
          <t>All day</t>
        </is>
      </c>
      <c r="C17" s="67" t="inlineStr">
        <is>
          <t>HVAC annual service</t>
        </is>
      </c>
      <c r="D17" s="67" t="inlineStr">
        <is>
          <t>PROP-001</t>
        </is>
      </c>
      <c r="E17" s="68" t="inlineStr">
        <is>
          <t>Allied Heating</t>
        </is>
      </c>
      <c r="F17" s="68" t="inlineStr">
        <is>
          <t>Alex Rivera</t>
        </is>
      </c>
      <c r="G17" s="68" t="inlineStr">
        <is>
          <t>Upcoming</t>
        </is>
      </c>
    </row>
    <row r="18" ht="18" customHeight="1">
      <c r="A18" s="78" t="n">
        <v>46330</v>
      </c>
      <c r="B18" s="75" t="inlineStr">
        <is>
          <t>09:00</t>
        </is>
      </c>
      <c r="C18" s="75" t="inlineStr">
        <is>
          <t>Building final</t>
        </is>
      </c>
      <c r="D18" s="75" t="inlineStr">
        <is>
          <t>PRJ-001</t>
        </is>
      </c>
      <c r="E18" s="76" t="inlineStr">
        <is>
          <t>City of Portland</t>
        </is>
      </c>
      <c r="F18" s="76" t="inlineStr">
        <is>
          <t>Riley Grant</t>
        </is>
      </c>
      <c r="G18" s="76" t="inlineStr">
        <is>
          <t>Scheduled</t>
        </is>
      </c>
    </row>
    <row r="19" ht="18" customHeight="1">
      <c r="A19" s="70" t="n">
        <v>46336</v>
      </c>
      <c r="B19" s="67" t="inlineStr">
        <is>
          <t>10:00</t>
        </is>
      </c>
      <c r="C19" s="67" t="inlineStr">
        <is>
          <t>Handover walkthrough</t>
        </is>
      </c>
      <c r="D19" s="67" t="inlineStr">
        <is>
          <t>PRJ-001</t>
        </is>
      </c>
      <c r="E19" s="68" t="inlineStr">
        <is>
          <t>Punch + vault packet</t>
        </is>
      </c>
      <c r="F19" s="68" t="inlineStr">
        <is>
          <t>Marcus Webb</t>
        </is>
      </c>
      <c r="G19" s="68" t="inlineStr">
        <is>
          <t>To Do</t>
        </is>
      </c>
    </row>
    <row r="20">
      <c r="A20" s="82" t="n"/>
      <c r="B20" s="82" t="n"/>
      <c r="C20" s="82" t="n"/>
      <c r="D20" s="82" t="n"/>
      <c r="E20" s="82" t="n"/>
      <c r="F20" s="82" t="n"/>
      <c r="G20" s="82" t="n"/>
    </row>
    <row r="21">
      <c r="A21" s="82" t="n"/>
      <c r="B21" s="82" t="n"/>
      <c r="C21" s="82" t="n"/>
      <c r="D21" s="82" t="n"/>
      <c r="E21" s="82" t="n"/>
      <c r="F21" s="82" t="n"/>
      <c r="G21" s="82" t="n"/>
    </row>
    <row r="22">
      <c r="A22" s="82" t="n"/>
      <c r="B22" s="82" t="n"/>
      <c r="C22" s="82" t="n"/>
      <c r="D22" s="82" t="n"/>
      <c r="E22" s="82" t="n"/>
      <c r="F22" s="82" t="n"/>
      <c r="G22" s="82" t="n"/>
    </row>
    <row r="23">
      <c r="A23" s="82" t="n"/>
      <c r="B23" s="82" t="n"/>
      <c r="C23" s="82" t="n"/>
      <c r="D23" s="82" t="n"/>
      <c r="E23" s="82" t="n"/>
      <c r="F23" s="82" t="n"/>
      <c r="G23" s="82" t="n"/>
    </row>
    <row r="24">
      <c r="A24" s="82" t="n"/>
      <c r="B24" s="82" t="n"/>
      <c r="C24" s="82" t="n"/>
      <c r="D24" s="82" t="n"/>
      <c r="E24" s="82" t="n"/>
      <c r="F24" s="82" t="n"/>
      <c r="G24" s="82" t="n"/>
    </row>
    <row r="25">
      <c r="A25" s="82" t="n"/>
      <c r="B25" s="82" t="n"/>
      <c r="C25" s="82" t="n"/>
      <c r="D25" s="82" t="n"/>
      <c r="E25" s="82" t="n"/>
      <c r="F25" s="82" t="n"/>
      <c r="G25" s="82" t="n"/>
    </row>
    <row r="26">
      <c r="A26" s="82" t="n"/>
      <c r="B26" s="82" t="n"/>
      <c r="C26" s="82" t="n"/>
      <c r="D26" s="82" t="n"/>
      <c r="E26" s="82" t="n"/>
      <c r="F26" s="82" t="n"/>
      <c r="G26" s="82" t="n"/>
    </row>
    <row r="27">
      <c r="A27" s="82" t="n"/>
      <c r="B27" s="82" t="n"/>
      <c r="C27" s="82" t="n"/>
      <c r="D27" s="82" t="n"/>
      <c r="E27" s="82" t="n"/>
      <c r="F27" s="82" t="n"/>
      <c r="G27" s="82" t="n"/>
    </row>
    <row r="28">
      <c r="A28" s="82" t="n"/>
      <c r="B28" s="82" t="n"/>
      <c r="C28" s="82" t="n"/>
      <c r="D28" s="82" t="n"/>
      <c r="E28" s="82" t="n"/>
      <c r="F28" s="82" t="n"/>
      <c r="G28" s="82" t="n"/>
    </row>
    <row r="29">
      <c r="A29" s="82" t="n"/>
      <c r="B29" s="82" t="n"/>
      <c r="C29" s="82" t="n"/>
      <c r="D29" s="82" t="n"/>
      <c r="E29" s="82" t="n"/>
      <c r="F29" s="82" t="n"/>
      <c r="G29" s="82" t="n"/>
    </row>
    <row r="30">
      <c r="A30" s="82" t="n"/>
      <c r="B30" s="82" t="n"/>
      <c r="C30" s="82" t="n"/>
      <c r="D30" s="82" t="n"/>
      <c r="E30" s="82" t="n"/>
      <c r="F30" s="82" t="n"/>
      <c r="G30" s="82" t="n"/>
    </row>
    <row r="31">
      <c r="A31" s="82" t="n"/>
      <c r="B31" s="82" t="n"/>
      <c r="C31" s="82" t="n"/>
      <c r="D31" s="82" t="n"/>
      <c r="E31" s="82" t="n"/>
      <c r="F31" s="82" t="n"/>
      <c r="G31" s="82" t="n"/>
    </row>
    <row r="32">
      <c r="A32" s="82" t="n"/>
      <c r="B32" s="82" t="n"/>
      <c r="C32" s="82" t="n"/>
      <c r="D32" s="82" t="n"/>
      <c r="E32" s="82" t="n"/>
      <c r="F32" s="82" t="n"/>
      <c r="G32" s="82" t="n"/>
    </row>
    <row r="33">
      <c r="A33" s="82" t="n"/>
      <c r="B33" s="82" t="n"/>
      <c r="C33" s="82" t="n"/>
      <c r="D33" s="82" t="n"/>
      <c r="E33" s="82" t="n"/>
      <c r="F33" s="82" t="n"/>
      <c r="G33" s="82" t="n"/>
    </row>
    <row r="34">
      <c r="A34" s="82" t="n"/>
      <c r="B34" s="82" t="n"/>
      <c r="C34" s="82" t="n"/>
      <c r="D34" s="82" t="n"/>
      <c r="E34" s="82" t="n"/>
      <c r="F34" s="82" t="n"/>
      <c r="G34" s="82" t="n"/>
    </row>
    <row r="35">
      <c r="A35" s="82" t="n"/>
      <c r="B35" s="82" t="n"/>
      <c r="C35" s="82" t="n"/>
      <c r="D35" s="82" t="n"/>
      <c r="E35" s="82" t="n"/>
      <c r="F35" s="82" t="n"/>
      <c r="G35" s="82" t="n"/>
    </row>
    <row r="36">
      <c r="A36" s="82" t="n"/>
      <c r="B36" s="82" t="n"/>
      <c r="C36" s="82" t="n"/>
      <c r="D36" s="82" t="n"/>
      <c r="E36" s="82" t="n"/>
      <c r="F36" s="82" t="n"/>
      <c r="G36" s="82" t="n"/>
    </row>
    <row r="37">
      <c r="A37" s="82" t="n"/>
      <c r="B37" s="82" t="n"/>
      <c r="C37" s="82" t="n"/>
      <c r="D37" s="82" t="n"/>
      <c r="E37" s="82" t="n"/>
      <c r="F37" s="82" t="n"/>
      <c r="G37" s="82" t="n"/>
    </row>
    <row r="38">
      <c r="A38" s="82" t="n"/>
      <c r="B38" s="82" t="n"/>
      <c r="C38" s="82" t="n"/>
      <c r="D38" s="82" t="n"/>
      <c r="E38" s="82" t="n"/>
      <c r="F38" s="82" t="n"/>
      <c r="G38" s="82" t="n"/>
    </row>
    <row r="39">
      <c r="A39" s="82" t="n"/>
      <c r="B39" s="82" t="n"/>
      <c r="C39" s="82" t="n"/>
      <c r="D39" s="82" t="n"/>
      <c r="E39" s="82" t="n"/>
      <c r="F39" s="82" t="n"/>
      <c r="G39" s="82" t="n"/>
    </row>
    <row r="40">
      <c r="A40" s="82" t="n"/>
      <c r="B40" s="82" t="n"/>
      <c r="C40" s="82" t="n"/>
      <c r="D40" s="82" t="n"/>
      <c r="E40" s="82" t="n"/>
      <c r="F40" s="82" t="n"/>
      <c r="G40" s="82" t="n"/>
    </row>
    <row r="41">
      <c r="A41" s="82" t="n"/>
      <c r="B41" s="82" t="n"/>
      <c r="C41" s="82" t="n"/>
      <c r="D41" s="82" t="n"/>
      <c r="E41" s="82" t="n"/>
      <c r="F41" s="82" t="n"/>
      <c r="G41" s="82" t="n"/>
    </row>
    <row r="42">
      <c r="A42" s="82" t="n"/>
      <c r="B42" s="82" t="n"/>
      <c r="C42" s="82" t="n"/>
      <c r="D42" s="82" t="n"/>
      <c r="E42" s="82" t="n"/>
      <c r="F42" s="82" t="n"/>
      <c r="G42" s="82" t="n"/>
    </row>
    <row r="43">
      <c r="A43" s="82" t="n"/>
      <c r="B43" s="82" t="n"/>
      <c r="C43" s="82" t="n"/>
      <c r="D43" s="82" t="n"/>
      <c r="E43" s="82" t="n"/>
      <c r="F43" s="82" t="n"/>
      <c r="G43" s="82" t="n"/>
    </row>
    <row r="44">
      <c r="A44" s="82" t="n"/>
      <c r="B44" s="82" t="n"/>
      <c r="C44" s="82" t="n"/>
      <c r="D44" s="82" t="n"/>
      <c r="E44" s="82" t="n"/>
      <c r="F44" s="82" t="n"/>
      <c r="G44" s="82" t="n"/>
    </row>
    <row r="45">
      <c r="A45" s="82" t="n"/>
      <c r="B45" s="82" t="n"/>
      <c r="C45" s="82" t="n"/>
      <c r="D45" s="82" t="n"/>
      <c r="E45" s="82" t="n"/>
      <c r="F45" s="82" t="n"/>
      <c r="G45" s="82" t="n"/>
    </row>
    <row r="46">
      <c r="A46" s="82" t="n"/>
      <c r="B46" s="82" t="n"/>
      <c r="C46" s="82" t="n"/>
      <c r="D46" s="82" t="n"/>
      <c r="E46" s="82" t="n"/>
      <c r="F46" s="82" t="n"/>
      <c r="G46" s="82" t="n"/>
    </row>
    <row r="47">
      <c r="A47" s="82" t="n"/>
      <c r="B47" s="82" t="n"/>
      <c r="C47" s="82" t="n"/>
      <c r="D47" s="82" t="n"/>
      <c r="E47" s="82" t="n"/>
      <c r="F47" s="82" t="n"/>
      <c r="G47" s="82" t="n"/>
    </row>
    <row r="48">
      <c r="A48" s="82" t="n"/>
      <c r="B48" s="82" t="n"/>
      <c r="C48" s="82" t="n"/>
      <c r="D48" s="82" t="n"/>
      <c r="E48" s="82" t="n"/>
      <c r="F48" s="82" t="n"/>
      <c r="G48" s="82" t="n"/>
    </row>
    <row r="49">
      <c r="A49" s="82" t="n"/>
      <c r="B49" s="82" t="n"/>
      <c r="C49" s="82" t="n"/>
      <c r="D49" s="82" t="n"/>
      <c r="E49" s="82" t="n"/>
      <c r="F49" s="82" t="n"/>
      <c r="G49" s="82" t="n"/>
    </row>
    <row r="50">
      <c r="A50" s="82" t="n"/>
      <c r="B50" s="82" t="n"/>
      <c r="C50" s="82" t="n"/>
      <c r="D50" s="82" t="n"/>
      <c r="E50" s="82" t="n"/>
      <c r="F50" s="82" t="n"/>
      <c r="G50" s="82" t="n"/>
    </row>
    <row r="51">
      <c r="A51" s="82" t="n"/>
      <c r="B51" s="82" t="n"/>
      <c r="C51" s="82" t="n"/>
      <c r="D51" s="82" t="n"/>
      <c r="E51" s="82" t="n"/>
      <c r="F51" s="82" t="n"/>
      <c r="G51" s="82" t="n"/>
    </row>
    <row r="52">
      <c r="A52" s="82" t="n"/>
      <c r="B52" s="82" t="n"/>
      <c r="C52" s="82" t="n"/>
      <c r="D52" s="82" t="n"/>
      <c r="E52" s="82" t="n"/>
      <c r="F52" s="82" t="n"/>
      <c r="G52" s="82" t="n"/>
    </row>
    <row r="53">
      <c r="A53" s="82" t="n"/>
      <c r="B53" s="82" t="n"/>
      <c r="C53" s="82" t="n"/>
      <c r="D53" s="82" t="n"/>
      <c r="E53" s="82" t="n"/>
      <c r="F53" s="82" t="n"/>
      <c r="G53" s="82" t="n"/>
    </row>
    <row r="54">
      <c r="A54" s="82" t="n"/>
      <c r="B54" s="82" t="n"/>
      <c r="C54" s="82" t="n"/>
      <c r="D54" s="82" t="n"/>
      <c r="E54" s="82" t="n"/>
      <c r="F54" s="82" t="n"/>
      <c r="G54" s="82" t="n"/>
    </row>
    <row r="55">
      <c r="A55" s="82" t="n"/>
      <c r="B55" s="82" t="n"/>
      <c r="C55" s="82" t="n"/>
      <c r="D55" s="82" t="n"/>
      <c r="E55" s="82" t="n"/>
      <c r="F55" s="82" t="n"/>
      <c r="G55" s="82" t="n"/>
    </row>
    <row r="56">
      <c r="A56" s="82" t="n"/>
      <c r="B56" s="82" t="n"/>
      <c r="C56" s="82" t="n"/>
      <c r="D56" s="82" t="n"/>
      <c r="E56" s="82" t="n"/>
      <c r="F56" s="82" t="n"/>
      <c r="G56" s="82" t="n"/>
    </row>
    <row r="57">
      <c r="A57" s="82" t="n"/>
      <c r="B57" s="82" t="n"/>
      <c r="C57" s="82" t="n"/>
      <c r="D57" s="82" t="n"/>
      <c r="E57" s="82" t="n"/>
      <c r="F57" s="82" t="n"/>
      <c r="G57" s="82" t="n"/>
    </row>
    <row r="58">
      <c r="A58" s="82" t="n"/>
      <c r="B58" s="82" t="n"/>
      <c r="C58" s="82" t="n"/>
      <c r="D58" s="82" t="n"/>
      <c r="E58" s="82" t="n"/>
      <c r="F58" s="82" t="n"/>
      <c r="G58" s="82" t="n"/>
    </row>
    <row r="59">
      <c r="A59" s="82" t="n"/>
      <c r="B59" s="82" t="n"/>
      <c r="C59" s="82" t="n"/>
      <c r="D59" s="82" t="n"/>
      <c r="E59" s="82" t="n"/>
      <c r="F59" s="82" t="n"/>
      <c r="G59" s="82" t="n"/>
    </row>
    <row r="60">
      <c r="A60" s="82" t="n"/>
      <c r="B60" s="82" t="n"/>
      <c r="C60" s="82" t="n"/>
      <c r="D60" s="82" t="n"/>
      <c r="E60" s="82" t="n"/>
      <c r="F60" s="82" t="n"/>
      <c r="G60" s="82" t="n"/>
    </row>
    <row r="61">
      <c r="A61" s="82" t="n"/>
      <c r="B61" s="82" t="n"/>
      <c r="C61" s="82" t="n"/>
      <c r="D61" s="82" t="n"/>
      <c r="E61" s="82" t="n"/>
      <c r="F61" s="82" t="n"/>
      <c r="G61" s="82" t="n"/>
    </row>
    <row r="62">
      <c r="A62" s="82" t="n"/>
      <c r="B62" s="82" t="n"/>
      <c r="C62" s="82" t="n"/>
      <c r="D62" s="82" t="n"/>
      <c r="E62" s="82" t="n"/>
      <c r="F62" s="82" t="n"/>
      <c r="G62" s="82" t="n"/>
    </row>
    <row r="63">
      <c r="A63" s="82" t="n"/>
      <c r="B63" s="82" t="n"/>
      <c r="C63" s="82" t="n"/>
      <c r="D63" s="82" t="n"/>
      <c r="E63" s="82" t="n"/>
      <c r="F63" s="82" t="n"/>
      <c r="G63" s="82" t="n"/>
    </row>
    <row r="64">
      <c r="A64" s="82" t="n"/>
      <c r="B64" s="82" t="n"/>
      <c r="C64" s="82" t="n"/>
      <c r="D64" s="82" t="n"/>
      <c r="E64" s="82" t="n"/>
      <c r="F64" s="82" t="n"/>
      <c r="G64" s="82" t="n"/>
    </row>
    <row r="65">
      <c r="A65" s="82" t="n"/>
      <c r="B65" s="82" t="n"/>
      <c r="C65" s="82" t="n"/>
      <c r="D65" s="82" t="n"/>
      <c r="E65" s="82" t="n"/>
      <c r="F65" s="82" t="n"/>
      <c r="G65" s="82" t="n"/>
    </row>
    <row r="66">
      <c r="A66" s="82" t="n"/>
      <c r="B66" s="82" t="n"/>
      <c r="C66" s="82" t="n"/>
      <c r="D66" s="82" t="n"/>
      <c r="E66" s="82" t="n"/>
      <c r="F66" s="82" t="n"/>
      <c r="G66" s="82" t="n"/>
    </row>
    <row r="67">
      <c r="A67" s="82" t="n"/>
      <c r="B67" s="82" t="n"/>
      <c r="C67" s="82" t="n"/>
      <c r="D67" s="82" t="n"/>
      <c r="E67" s="82" t="n"/>
      <c r="F67" s="82" t="n"/>
      <c r="G67" s="82" t="n"/>
    </row>
    <row r="68">
      <c r="A68" s="82" t="n"/>
      <c r="B68" s="82" t="n"/>
      <c r="C68" s="82" t="n"/>
      <c r="D68" s="82" t="n"/>
      <c r="E68" s="82" t="n"/>
      <c r="F68" s="82" t="n"/>
      <c r="G68" s="82" t="n"/>
    </row>
    <row r="69">
      <c r="A69" s="82" t="n"/>
      <c r="B69" s="82" t="n"/>
      <c r="C69" s="82" t="n"/>
      <c r="D69" s="82" t="n"/>
      <c r="E69" s="82" t="n"/>
      <c r="F69" s="82" t="n"/>
      <c r="G69" s="82" t="n"/>
    </row>
    <row r="70">
      <c r="A70" s="82" t="n"/>
      <c r="B70" s="82" t="n"/>
      <c r="C70" s="82" t="n"/>
      <c r="D70" s="82" t="n"/>
      <c r="E70" s="82" t="n"/>
      <c r="F70" s="82" t="n"/>
      <c r="G70" s="82" t="n"/>
    </row>
    <row r="71">
      <c r="A71" s="82" t="n"/>
      <c r="B71" s="82" t="n"/>
      <c r="C71" s="82" t="n"/>
      <c r="D71" s="82" t="n"/>
      <c r="E71" s="82" t="n"/>
      <c r="F71" s="82" t="n"/>
      <c r="G71" s="82" t="n"/>
    </row>
    <row r="72">
      <c r="A72" s="82" t="n"/>
      <c r="B72" s="82" t="n"/>
      <c r="C72" s="82" t="n"/>
      <c r="D72" s="82" t="n"/>
      <c r="E72" s="82" t="n"/>
      <c r="F72" s="82" t="n"/>
      <c r="G72" s="82" t="n"/>
    </row>
    <row r="73">
      <c r="A73" s="82" t="n"/>
      <c r="B73" s="82" t="n"/>
      <c r="C73" s="82" t="n"/>
      <c r="D73" s="82" t="n"/>
      <c r="E73" s="82" t="n"/>
      <c r="F73" s="82" t="n"/>
      <c r="G73" s="82" t="n"/>
    </row>
    <row r="74">
      <c r="A74" s="82" t="n"/>
      <c r="B74" s="82" t="n"/>
      <c r="C74" s="82" t="n"/>
      <c r="D74" s="82" t="n"/>
      <c r="E74" s="82" t="n"/>
      <c r="F74" s="82" t="n"/>
      <c r="G74" s="82" t="n"/>
    </row>
    <row r="75">
      <c r="A75" s="82" t="n"/>
      <c r="B75" s="82" t="n"/>
      <c r="C75" s="82" t="n"/>
      <c r="D75" s="82" t="n"/>
      <c r="E75" s="82" t="n"/>
      <c r="F75" s="82" t="n"/>
      <c r="G75" s="82" t="n"/>
    </row>
    <row r="76">
      <c r="A76" s="82" t="n"/>
      <c r="B76" s="82" t="n"/>
      <c r="C76" s="82" t="n"/>
      <c r="D76" s="82" t="n"/>
      <c r="E76" s="82" t="n"/>
      <c r="F76" s="82" t="n"/>
      <c r="G76" s="82" t="n"/>
    </row>
    <row r="77">
      <c r="A77" s="82" t="n"/>
      <c r="B77" s="82" t="n"/>
      <c r="C77" s="82" t="n"/>
      <c r="D77" s="82" t="n"/>
      <c r="E77" s="82" t="n"/>
      <c r="F77" s="82" t="n"/>
      <c r="G77" s="82" t="n"/>
    </row>
    <row r="78">
      <c r="A78" s="82" t="n"/>
      <c r="B78" s="82" t="n"/>
      <c r="C78" s="82" t="n"/>
      <c r="D78" s="82" t="n"/>
      <c r="E78" s="82" t="n"/>
      <c r="F78" s="82" t="n"/>
      <c r="G78" s="82" t="n"/>
    </row>
    <row r="79">
      <c r="A79" s="82" t="n"/>
      <c r="B79" s="82" t="n"/>
      <c r="C79" s="82" t="n"/>
      <c r="D79" s="82" t="n"/>
      <c r="E79" s="82" t="n"/>
      <c r="F79" s="82" t="n"/>
      <c r="G79" s="82" t="n"/>
    </row>
    <row r="80">
      <c r="A80" s="82" t="n"/>
      <c r="B80" s="82" t="n"/>
      <c r="C80" s="82" t="n"/>
      <c r="D80" s="82" t="n"/>
      <c r="E80" s="82" t="n"/>
      <c r="F80" s="82" t="n"/>
      <c r="G80" s="82" t="n"/>
    </row>
    <row r="81">
      <c r="A81" s="82" t="n"/>
      <c r="B81" s="82" t="n"/>
      <c r="C81" s="82" t="n"/>
      <c r="D81" s="82" t="n"/>
      <c r="E81" s="82" t="n"/>
      <c r="F81" s="82" t="n"/>
      <c r="G81" s="82" t="n"/>
    </row>
    <row r="82">
      <c r="A82" s="82" t="n"/>
      <c r="B82" s="82" t="n"/>
      <c r="C82" s="82" t="n"/>
      <c r="D82" s="82" t="n"/>
      <c r="E82" s="82" t="n"/>
      <c r="F82" s="82" t="n"/>
      <c r="G82" s="82" t="n"/>
    </row>
    <row r="83">
      <c r="A83" s="82" t="n"/>
      <c r="B83" s="82" t="n"/>
      <c r="C83" s="82" t="n"/>
      <c r="D83" s="82" t="n"/>
      <c r="E83" s="82" t="n"/>
      <c r="F83" s="82" t="n"/>
      <c r="G83" s="82" t="n"/>
    </row>
    <row r="84">
      <c r="A84" s="82" t="n"/>
      <c r="B84" s="82" t="n"/>
      <c r="C84" s="82" t="n"/>
      <c r="D84" s="82" t="n"/>
      <c r="E84" s="82" t="n"/>
      <c r="F84" s="82" t="n"/>
      <c r="G84" s="82" t="n"/>
    </row>
    <row r="85">
      <c r="A85" s="82" t="n"/>
      <c r="B85" s="82" t="n"/>
      <c r="C85" s="82" t="n"/>
      <c r="D85" s="82" t="n"/>
      <c r="E85" s="82" t="n"/>
      <c r="F85" s="82" t="n"/>
      <c r="G85" s="82" t="n"/>
    </row>
    <row r="86">
      <c r="A86" s="82" t="n"/>
      <c r="B86" s="82" t="n"/>
      <c r="C86" s="82" t="n"/>
      <c r="D86" s="82" t="n"/>
      <c r="E86" s="82" t="n"/>
      <c r="F86" s="82" t="n"/>
      <c r="G86" s="82" t="n"/>
    </row>
    <row r="87">
      <c r="A87" s="82" t="n"/>
      <c r="B87" s="82" t="n"/>
      <c r="C87" s="82" t="n"/>
      <c r="D87" s="82" t="n"/>
      <c r="E87" s="82" t="n"/>
      <c r="F87" s="82" t="n"/>
      <c r="G87" s="82" t="n"/>
    </row>
    <row r="88">
      <c r="A88" s="82" t="n"/>
      <c r="B88" s="82" t="n"/>
      <c r="C88" s="82" t="n"/>
      <c r="D88" s="82" t="n"/>
      <c r="E88" s="82" t="n"/>
      <c r="F88" s="82" t="n"/>
      <c r="G88" s="82" t="n"/>
    </row>
    <row r="89">
      <c r="A89" s="82" t="n"/>
      <c r="B89" s="82" t="n"/>
      <c r="C89" s="82" t="n"/>
      <c r="D89" s="82" t="n"/>
      <c r="E89" s="82" t="n"/>
      <c r="F89" s="82" t="n"/>
      <c r="G89" s="82" t="n"/>
    </row>
    <row r="90">
      <c r="A90" s="82" t="n"/>
      <c r="B90" s="82" t="n"/>
      <c r="C90" s="82" t="n"/>
      <c r="D90" s="82" t="n"/>
      <c r="E90" s="82" t="n"/>
      <c r="F90" s="82" t="n"/>
      <c r="G90" s="82" t="n"/>
    </row>
    <row r="91">
      <c r="A91" s="82" t="n"/>
      <c r="B91" s="82" t="n"/>
      <c r="C91" s="82" t="n"/>
      <c r="D91" s="82" t="n"/>
      <c r="E91" s="82" t="n"/>
      <c r="F91" s="82" t="n"/>
      <c r="G91" s="82" t="n"/>
    </row>
    <row r="92">
      <c r="A92" s="82" t="n"/>
      <c r="B92" s="82" t="n"/>
      <c r="C92" s="82" t="n"/>
      <c r="D92" s="82" t="n"/>
      <c r="E92" s="82" t="n"/>
      <c r="F92" s="82" t="n"/>
      <c r="G92" s="82" t="n"/>
    </row>
    <row r="93">
      <c r="A93" s="82" t="n"/>
      <c r="B93" s="82" t="n"/>
      <c r="C93" s="82" t="n"/>
      <c r="D93" s="82" t="n"/>
      <c r="E93" s="82" t="n"/>
      <c r="F93" s="82" t="n"/>
      <c r="G93" s="82" t="n"/>
    </row>
    <row r="94">
      <c r="A94" s="82" t="n"/>
      <c r="B94" s="82" t="n"/>
      <c r="C94" s="82" t="n"/>
      <c r="D94" s="82" t="n"/>
      <c r="E94" s="82" t="n"/>
      <c r="F94" s="82" t="n"/>
      <c r="G94" s="82" t="n"/>
    </row>
    <row r="95">
      <c r="A95" s="82" t="n"/>
      <c r="B95" s="82" t="n"/>
      <c r="C95" s="82" t="n"/>
      <c r="D95" s="82" t="n"/>
      <c r="E95" s="82" t="n"/>
      <c r="F95" s="82" t="n"/>
      <c r="G95" s="82" t="n"/>
    </row>
    <row r="96">
      <c r="A96" s="82" t="n"/>
      <c r="B96" s="82" t="n"/>
      <c r="C96" s="82" t="n"/>
      <c r="D96" s="82" t="n"/>
      <c r="E96" s="82" t="n"/>
      <c r="F96" s="82" t="n"/>
      <c r="G96" s="82" t="n"/>
    </row>
    <row r="97">
      <c r="A97" s="82" t="n"/>
      <c r="B97" s="82" t="n"/>
      <c r="C97" s="82" t="n"/>
      <c r="D97" s="82" t="n"/>
      <c r="E97" s="82" t="n"/>
      <c r="F97" s="82" t="n"/>
      <c r="G97" s="82" t="n"/>
    </row>
    <row r="98">
      <c r="A98" s="82" t="n"/>
      <c r="B98" s="82" t="n"/>
      <c r="C98" s="82" t="n"/>
      <c r="D98" s="82" t="n"/>
      <c r="E98" s="82" t="n"/>
      <c r="F98" s="82" t="n"/>
      <c r="G98" s="82" t="n"/>
    </row>
    <row r="99">
      <c r="A99" s="82" t="n"/>
      <c r="B99" s="82" t="n"/>
      <c r="C99" s="82" t="n"/>
      <c r="D99" s="82" t="n"/>
      <c r="E99" s="82" t="n"/>
      <c r="F99" s="82" t="n"/>
      <c r="G99" s="82" t="n"/>
    </row>
    <row r="100">
      <c r="A100" s="82" t="n"/>
      <c r="B100" s="82" t="n"/>
      <c r="C100" s="82" t="n"/>
      <c r="D100" s="82" t="n"/>
      <c r="E100" s="82" t="n"/>
      <c r="F100" s="82" t="n"/>
      <c r="G100" s="82" t="n"/>
    </row>
    <row r="101">
      <c r="A101" s="82" t="n"/>
      <c r="B101" s="82" t="n"/>
      <c r="C101" s="82" t="n"/>
      <c r="D101" s="82" t="n"/>
      <c r="E101" s="82" t="n"/>
      <c r="F101" s="82" t="n"/>
      <c r="G101" s="82" t="n"/>
    </row>
    <row r="102">
      <c r="A102" s="82" t="n"/>
      <c r="B102" s="82" t="n"/>
      <c r="C102" s="82" t="n"/>
      <c r="D102" s="82" t="n"/>
      <c r="E102" s="82" t="n"/>
      <c r="F102" s="82" t="n"/>
      <c r="G102" s="82" t="n"/>
    </row>
    <row r="103">
      <c r="A103" s="82" t="n"/>
      <c r="B103" s="82" t="n"/>
      <c r="C103" s="82" t="n"/>
      <c r="D103" s="82" t="n"/>
      <c r="E103" s="82" t="n"/>
      <c r="F103" s="82" t="n"/>
      <c r="G103" s="82" t="n"/>
    </row>
    <row r="104">
      <c r="A104" s="82" t="n"/>
      <c r="B104" s="82" t="n"/>
      <c r="C104" s="82" t="n"/>
      <c r="D104" s="82" t="n"/>
      <c r="E104" s="82" t="n"/>
      <c r="F104" s="82" t="n"/>
      <c r="G104" s="82" t="n"/>
    </row>
    <row r="105">
      <c r="A105" s="82" t="n"/>
      <c r="B105" s="82" t="n"/>
      <c r="C105" s="82" t="n"/>
      <c r="D105" s="82" t="n"/>
      <c r="E105" s="82" t="n"/>
      <c r="F105" s="82" t="n"/>
      <c r="G105" s="82" t="n"/>
    </row>
    <row r="106">
      <c r="A106" s="82" t="n"/>
      <c r="B106" s="82" t="n"/>
      <c r="C106" s="82" t="n"/>
      <c r="D106" s="82" t="n"/>
      <c r="E106" s="82" t="n"/>
      <c r="F106" s="82" t="n"/>
      <c r="G106" s="82" t="n"/>
    </row>
    <row r="107">
      <c r="A107" s="82" t="n"/>
      <c r="B107" s="82" t="n"/>
      <c r="C107" s="82" t="n"/>
      <c r="D107" s="82" t="n"/>
      <c r="E107" s="82" t="n"/>
      <c r="F107" s="82" t="n"/>
      <c r="G107" s="82" t="n"/>
    </row>
    <row r="108">
      <c r="A108" s="82" t="n"/>
      <c r="B108" s="82" t="n"/>
      <c r="C108" s="82" t="n"/>
      <c r="D108" s="82" t="n"/>
      <c r="E108" s="82" t="n"/>
      <c r="F108" s="82" t="n"/>
      <c r="G108" s="82" t="n"/>
    </row>
    <row r="109">
      <c r="A109" s="82" t="n"/>
      <c r="B109" s="82" t="n"/>
      <c r="C109" s="82" t="n"/>
      <c r="D109" s="82" t="n"/>
      <c r="E109" s="82" t="n"/>
      <c r="F109" s="82" t="n"/>
      <c r="G109" s="82" t="n"/>
    </row>
    <row r="110">
      <c r="A110" s="82" t="n"/>
      <c r="B110" s="82" t="n"/>
      <c r="C110" s="82" t="n"/>
      <c r="D110" s="82" t="n"/>
      <c r="E110" s="82" t="n"/>
      <c r="F110" s="82" t="n"/>
      <c r="G110" s="82" t="n"/>
    </row>
    <row r="111">
      <c r="A111" s="82" t="n"/>
      <c r="B111" s="82" t="n"/>
      <c r="C111" s="82" t="n"/>
      <c r="D111" s="82" t="n"/>
      <c r="E111" s="82" t="n"/>
      <c r="F111" s="82" t="n"/>
      <c r="G111" s="82" t="n"/>
    </row>
    <row r="112">
      <c r="A112" s="82" t="n"/>
      <c r="B112" s="82" t="n"/>
      <c r="C112" s="82" t="n"/>
      <c r="D112" s="82" t="n"/>
      <c r="E112" s="82" t="n"/>
      <c r="F112" s="82" t="n"/>
      <c r="G112" s="82" t="n"/>
    </row>
    <row r="113">
      <c r="A113" s="82" t="n"/>
      <c r="B113" s="82" t="n"/>
      <c r="C113" s="82" t="n"/>
      <c r="D113" s="82" t="n"/>
      <c r="E113" s="82" t="n"/>
      <c r="F113" s="82" t="n"/>
      <c r="G113" s="82" t="n"/>
    </row>
    <row r="114">
      <c r="A114" s="82" t="n"/>
      <c r="B114" s="82" t="n"/>
      <c r="C114" s="82" t="n"/>
      <c r="D114" s="82" t="n"/>
      <c r="E114" s="82" t="n"/>
      <c r="F114" s="82" t="n"/>
      <c r="G114" s="82" t="n"/>
    </row>
    <row r="115">
      <c r="A115" s="82" t="n"/>
      <c r="B115" s="82" t="n"/>
      <c r="C115" s="82" t="n"/>
      <c r="D115" s="82" t="n"/>
      <c r="E115" s="82" t="n"/>
      <c r="F115" s="82" t="n"/>
      <c r="G115" s="82" t="n"/>
    </row>
    <row r="116">
      <c r="A116" s="82" t="n"/>
      <c r="B116" s="82" t="n"/>
      <c r="C116" s="82" t="n"/>
      <c r="D116" s="82" t="n"/>
      <c r="E116" s="82" t="n"/>
      <c r="F116" s="82" t="n"/>
      <c r="G116" s="82" t="n"/>
    </row>
    <row r="117">
      <c r="A117" s="82" t="n"/>
      <c r="B117" s="82" t="n"/>
      <c r="C117" s="82" t="n"/>
      <c r="D117" s="82" t="n"/>
      <c r="E117" s="82" t="n"/>
      <c r="F117" s="82" t="n"/>
      <c r="G117" s="82" t="n"/>
    </row>
    <row r="118">
      <c r="A118" s="82" t="n"/>
      <c r="B118" s="82" t="n"/>
      <c r="C118" s="82" t="n"/>
      <c r="D118" s="82" t="n"/>
      <c r="E118" s="82" t="n"/>
      <c r="F118" s="82" t="n"/>
      <c r="G118" s="82" t="n"/>
    </row>
    <row r="119">
      <c r="A119" s="82" t="n"/>
      <c r="B119" s="82" t="n"/>
      <c r="C119" s="82" t="n"/>
      <c r="D119" s="82" t="n"/>
      <c r="E119" s="82" t="n"/>
      <c r="F119" s="82" t="n"/>
      <c r="G119" s="82" t="n"/>
    </row>
    <row r="120">
      <c r="A120" s="82" t="n"/>
      <c r="B120" s="82" t="n"/>
      <c r="C120" s="82" t="n"/>
      <c r="D120" s="82" t="n"/>
      <c r="E120" s="82" t="n"/>
      <c r="F120" s="82" t="n"/>
      <c r="G120" s="82" t="n"/>
    </row>
    <row r="121">
      <c r="A121" s="82" t="n"/>
      <c r="B121" s="82" t="n"/>
      <c r="C121" s="82" t="n"/>
      <c r="D121" s="82" t="n"/>
      <c r="E121" s="82" t="n"/>
      <c r="F121" s="82" t="n"/>
      <c r="G121" s="82" t="n"/>
    </row>
    <row r="122">
      <c r="A122" s="82" t="n"/>
      <c r="B122" s="82" t="n"/>
      <c r="C122" s="82" t="n"/>
      <c r="D122" s="82" t="n"/>
      <c r="E122" s="82" t="n"/>
      <c r="F122" s="82" t="n"/>
      <c r="G122" s="82" t="n"/>
    </row>
    <row r="123">
      <c r="A123" s="82" t="n"/>
      <c r="B123" s="82" t="n"/>
      <c r="C123" s="82" t="n"/>
      <c r="D123" s="82" t="n"/>
      <c r="E123" s="82" t="n"/>
      <c r="F123" s="82" t="n"/>
      <c r="G123" s="82" t="n"/>
    </row>
    <row r="124">
      <c r="A124" s="82" t="n"/>
      <c r="B124" s="82" t="n"/>
      <c r="C124" s="82" t="n"/>
      <c r="D124" s="82" t="n"/>
      <c r="E124" s="82" t="n"/>
      <c r="F124" s="82" t="n"/>
      <c r="G124" s="82" t="n"/>
    </row>
    <row r="125">
      <c r="A125" s="82" t="n"/>
      <c r="B125" s="82" t="n"/>
      <c r="C125" s="82" t="n"/>
      <c r="D125" s="82" t="n"/>
      <c r="E125" s="82" t="n"/>
      <c r="F125" s="82" t="n"/>
      <c r="G125" s="82" t="n"/>
    </row>
    <row r="126">
      <c r="A126" s="82" t="n"/>
      <c r="B126" s="82" t="n"/>
      <c r="C126" s="82" t="n"/>
      <c r="D126" s="82" t="n"/>
      <c r="E126" s="82" t="n"/>
      <c r="F126" s="82" t="n"/>
      <c r="G126" s="82" t="n"/>
    </row>
    <row r="127">
      <c r="A127" s="82" t="n"/>
      <c r="B127" s="82" t="n"/>
      <c r="C127" s="82" t="n"/>
      <c r="D127" s="82" t="n"/>
      <c r="E127" s="82" t="n"/>
      <c r="F127" s="82" t="n"/>
      <c r="G127" s="82" t="n"/>
    </row>
    <row r="128">
      <c r="A128" s="82" t="n"/>
      <c r="B128" s="82" t="n"/>
      <c r="C128" s="82" t="n"/>
      <c r="D128" s="82" t="n"/>
      <c r="E128" s="82" t="n"/>
      <c r="F128" s="82" t="n"/>
      <c r="G128" s="82" t="n"/>
    </row>
    <row r="129">
      <c r="A129" s="82" t="n"/>
      <c r="B129" s="82" t="n"/>
      <c r="C129" s="82" t="n"/>
      <c r="D129" s="82" t="n"/>
      <c r="E129" s="82" t="n"/>
      <c r="F129" s="82" t="n"/>
      <c r="G129" s="82" t="n"/>
    </row>
    <row r="130">
      <c r="A130" s="82" t="n"/>
      <c r="B130" s="82" t="n"/>
      <c r="C130" s="82" t="n"/>
      <c r="D130" s="82" t="n"/>
      <c r="E130" s="82" t="n"/>
      <c r="F130" s="82" t="n"/>
      <c r="G130" s="82" t="n"/>
    </row>
    <row r="131">
      <c r="A131" s="82" t="n"/>
      <c r="B131" s="82" t="n"/>
      <c r="C131" s="82" t="n"/>
      <c r="D131" s="82" t="n"/>
      <c r="E131" s="82" t="n"/>
      <c r="F131" s="82" t="n"/>
      <c r="G131" s="82" t="n"/>
    </row>
    <row r="132">
      <c r="A132" s="82" t="n"/>
      <c r="B132" s="82" t="n"/>
      <c r="C132" s="82" t="n"/>
      <c r="D132" s="82" t="n"/>
      <c r="E132" s="82" t="n"/>
      <c r="F132" s="82" t="n"/>
      <c r="G132" s="82" t="n"/>
    </row>
    <row r="133">
      <c r="A133" s="82" t="n"/>
      <c r="B133" s="82" t="n"/>
      <c r="C133" s="82" t="n"/>
      <c r="D133" s="82" t="n"/>
      <c r="E133" s="82" t="n"/>
      <c r="F133" s="82" t="n"/>
      <c r="G133" s="82" t="n"/>
    </row>
    <row r="134">
      <c r="A134" s="82" t="n"/>
      <c r="B134" s="82" t="n"/>
      <c r="C134" s="82" t="n"/>
      <c r="D134" s="82" t="n"/>
      <c r="E134" s="82" t="n"/>
      <c r="F134" s="82" t="n"/>
      <c r="G134" s="82" t="n"/>
    </row>
    <row r="135">
      <c r="A135" s="82" t="n"/>
      <c r="B135" s="82" t="n"/>
      <c r="C135" s="82" t="n"/>
      <c r="D135" s="82" t="n"/>
      <c r="E135" s="82" t="n"/>
      <c r="F135" s="82" t="n"/>
      <c r="G135" s="82" t="n"/>
    </row>
    <row r="136">
      <c r="A136" s="82" t="n"/>
      <c r="B136" s="82" t="n"/>
      <c r="C136" s="82" t="n"/>
      <c r="D136" s="82" t="n"/>
      <c r="E136" s="82" t="n"/>
      <c r="F136" s="82" t="n"/>
      <c r="G136" s="82" t="n"/>
    </row>
    <row r="137">
      <c r="A137" s="82" t="n"/>
      <c r="B137" s="82" t="n"/>
      <c r="C137" s="82" t="n"/>
      <c r="D137" s="82" t="n"/>
      <c r="E137" s="82" t="n"/>
      <c r="F137" s="82" t="n"/>
      <c r="G137" s="82" t="n"/>
    </row>
    <row r="138">
      <c r="A138" s="82" t="n"/>
      <c r="B138" s="82" t="n"/>
      <c r="C138" s="82" t="n"/>
      <c r="D138" s="82" t="n"/>
      <c r="E138" s="82" t="n"/>
      <c r="F138" s="82" t="n"/>
      <c r="G138" s="82" t="n"/>
    </row>
    <row r="139">
      <c r="A139" s="82" t="n"/>
      <c r="B139" s="82" t="n"/>
      <c r="C139" s="82" t="n"/>
      <c r="D139" s="82" t="n"/>
      <c r="E139" s="82" t="n"/>
      <c r="F139" s="82" t="n"/>
      <c r="G139" s="82" t="n"/>
    </row>
    <row r="140">
      <c r="A140" s="82" t="n"/>
      <c r="B140" s="82" t="n"/>
      <c r="C140" s="82" t="n"/>
      <c r="D140" s="82" t="n"/>
      <c r="E140" s="82" t="n"/>
      <c r="F140" s="82" t="n"/>
      <c r="G140" s="82" t="n"/>
    </row>
    <row r="141">
      <c r="A141" s="82" t="n"/>
      <c r="B141" s="82" t="n"/>
      <c r="C141" s="82" t="n"/>
      <c r="D141" s="82" t="n"/>
      <c r="E141" s="82" t="n"/>
      <c r="F141" s="82" t="n"/>
      <c r="G141" s="82" t="n"/>
    </row>
    <row r="142">
      <c r="A142" s="82" t="n"/>
      <c r="B142" s="82" t="n"/>
      <c r="C142" s="82" t="n"/>
      <c r="D142" s="82" t="n"/>
      <c r="E142" s="82" t="n"/>
      <c r="F142" s="82" t="n"/>
      <c r="G142" s="82" t="n"/>
    </row>
    <row r="143">
      <c r="A143" s="82" t="n"/>
      <c r="B143" s="82" t="n"/>
      <c r="C143" s="82" t="n"/>
      <c r="D143" s="82" t="n"/>
      <c r="E143" s="82" t="n"/>
      <c r="F143" s="82" t="n"/>
      <c r="G143" s="82" t="n"/>
    </row>
    <row r="144">
      <c r="A144" s="82" t="n"/>
      <c r="B144" s="82" t="n"/>
      <c r="C144" s="82" t="n"/>
      <c r="D144" s="82" t="n"/>
      <c r="E144" s="82" t="n"/>
      <c r="F144" s="82" t="n"/>
      <c r="G144" s="82" t="n"/>
    </row>
    <row r="145">
      <c r="A145" s="82" t="n"/>
      <c r="B145" s="82" t="n"/>
      <c r="C145" s="82" t="n"/>
      <c r="D145" s="82" t="n"/>
      <c r="E145" s="82" t="n"/>
      <c r="F145" s="82" t="n"/>
      <c r="G145" s="82" t="n"/>
    </row>
    <row r="146">
      <c r="A146" s="82" t="n"/>
      <c r="B146" s="82" t="n"/>
      <c r="C146" s="82" t="n"/>
      <c r="D146" s="82" t="n"/>
      <c r="E146" s="82" t="n"/>
      <c r="F146" s="82" t="n"/>
      <c r="G146" s="82" t="n"/>
    </row>
    <row r="147">
      <c r="A147" s="82" t="n"/>
      <c r="B147" s="82" t="n"/>
      <c r="C147" s="82" t="n"/>
      <c r="D147" s="82" t="n"/>
      <c r="E147" s="82" t="n"/>
      <c r="F147" s="82" t="n"/>
      <c r="G147" s="82" t="n"/>
    </row>
    <row r="148">
      <c r="A148" s="82" t="n"/>
      <c r="B148" s="82" t="n"/>
      <c r="C148" s="82" t="n"/>
      <c r="D148" s="82" t="n"/>
      <c r="E148" s="82" t="n"/>
      <c r="F148" s="82" t="n"/>
      <c r="G148" s="82" t="n"/>
    </row>
    <row r="149">
      <c r="A149" s="82" t="n"/>
      <c r="B149" s="82" t="n"/>
      <c r="C149" s="82" t="n"/>
      <c r="D149" s="82" t="n"/>
      <c r="E149" s="82" t="n"/>
      <c r="F149" s="82" t="n"/>
      <c r="G149" s="82" t="n"/>
    </row>
    <row r="150">
      <c r="A150" s="82" t="n"/>
      <c r="B150" s="82" t="n"/>
      <c r="C150" s="82" t="n"/>
      <c r="D150" s="82" t="n"/>
      <c r="E150" s="82" t="n"/>
      <c r="F150" s="82" t="n"/>
      <c r="G150" s="82" t="n"/>
    </row>
    <row r="151">
      <c r="A151" s="82" t="n"/>
      <c r="B151" s="82" t="n"/>
      <c r="C151" s="82" t="n"/>
      <c r="D151" s="82" t="n"/>
      <c r="E151" s="82" t="n"/>
      <c r="F151" s="82" t="n"/>
      <c r="G151" s="82" t="n"/>
    </row>
    <row r="152">
      <c r="A152" s="82" t="n"/>
      <c r="B152" s="82" t="n"/>
      <c r="C152" s="82" t="n"/>
      <c r="D152" s="82" t="n"/>
      <c r="E152" s="82" t="n"/>
      <c r="F152" s="82" t="n"/>
      <c r="G152" s="82" t="n"/>
    </row>
    <row r="153">
      <c r="A153" s="82" t="n"/>
      <c r="B153" s="82" t="n"/>
      <c r="C153" s="82" t="n"/>
      <c r="D153" s="82" t="n"/>
      <c r="E153" s="82" t="n"/>
      <c r="F153" s="82" t="n"/>
      <c r="G153" s="82" t="n"/>
    </row>
    <row r="154">
      <c r="A154" s="82" t="n"/>
      <c r="B154" s="82" t="n"/>
      <c r="C154" s="82" t="n"/>
      <c r="D154" s="82" t="n"/>
      <c r="E154" s="82" t="n"/>
      <c r="F154" s="82" t="n"/>
      <c r="G154" s="82" t="n"/>
    </row>
    <row r="155">
      <c r="A155" s="82" t="n"/>
      <c r="B155" s="82" t="n"/>
      <c r="C155" s="82" t="n"/>
      <c r="D155" s="82" t="n"/>
      <c r="E155" s="82" t="n"/>
      <c r="F155" s="82" t="n"/>
      <c r="G155" s="82" t="n"/>
    </row>
    <row r="156">
      <c r="A156" s="82" t="n"/>
      <c r="B156" s="82" t="n"/>
      <c r="C156" s="82" t="n"/>
      <c r="D156" s="82" t="n"/>
      <c r="E156" s="82" t="n"/>
      <c r="F156" s="82" t="n"/>
      <c r="G156" s="82" t="n"/>
    </row>
    <row r="157">
      <c r="A157" s="82" t="n"/>
      <c r="B157" s="82" t="n"/>
      <c r="C157" s="82" t="n"/>
      <c r="D157" s="82" t="n"/>
      <c r="E157" s="82" t="n"/>
      <c r="F157" s="82" t="n"/>
      <c r="G157" s="82" t="n"/>
    </row>
    <row r="158">
      <c r="A158" s="82" t="n"/>
      <c r="B158" s="82" t="n"/>
      <c r="C158" s="82" t="n"/>
      <c r="D158" s="82" t="n"/>
      <c r="E158" s="82" t="n"/>
      <c r="F158" s="82" t="n"/>
      <c r="G158" s="82" t="n"/>
    </row>
    <row r="159">
      <c r="A159" s="82" t="n"/>
      <c r="B159" s="82" t="n"/>
      <c r="C159" s="82" t="n"/>
      <c r="D159" s="82" t="n"/>
      <c r="E159" s="82" t="n"/>
      <c r="F159" s="82" t="n"/>
      <c r="G159" s="82" t="n"/>
    </row>
    <row r="160">
      <c r="A160" s="82" t="n"/>
      <c r="B160" s="82" t="n"/>
      <c r="C160" s="82" t="n"/>
      <c r="D160" s="82" t="n"/>
      <c r="E160" s="82" t="n"/>
      <c r="F160" s="82" t="n"/>
      <c r="G160" s="82" t="n"/>
    </row>
    <row r="161">
      <c r="A161" s="82" t="n"/>
      <c r="B161" s="82" t="n"/>
      <c r="C161" s="82" t="n"/>
      <c r="D161" s="82" t="n"/>
      <c r="E161" s="82" t="n"/>
      <c r="F161" s="82" t="n"/>
      <c r="G161" s="82" t="n"/>
    </row>
    <row r="162">
      <c r="A162" s="82" t="n"/>
      <c r="B162" s="82" t="n"/>
      <c r="C162" s="82" t="n"/>
      <c r="D162" s="82" t="n"/>
      <c r="E162" s="82" t="n"/>
      <c r="F162" s="82" t="n"/>
      <c r="G162" s="82" t="n"/>
    </row>
    <row r="163">
      <c r="A163" s="82" t="n"/>
      <c r="B163" s="82" t="n"/>
      <c r="C163" s="82" t="n"/>
      <c r="D163" s="82" t="n"/>
      <c r="E163" s="82" t="n"/>
      <c r="F163" s="82" t="n"/>
      <c r="G163" s="82" t="n"/>
    </row>
    <row r="164">
      <c r="A164" s="82" t="n"/>
      <c r="B164" s="82" t="n"/>
      <c r="C164" s="82" t="n"/>
      <c r="D164" s="82" t="n"/>
      <c r="E164" s="82" t="n"/>
      <c r="F164" s="82" t="n"/>
      <c r="G164" s="82" t="n"/>
    </row>
    <row r="165">
      <c r="A165" s="82" t="n"/>
      <c r="B165" s="82" t="n"/>
      <c r="C165" s="82" t="n"/>
      <c r="D165" s="82" t="n"/>
      <c r="E165" s="82" t="n"/>
      <c r="F165" s="82" t="n"/>
      <c r="G165" s="82" t="n"/>
    </row>
    <row r="166">
      <c r="A166" s="82" t="n"/>
      <c r="B166" s="82" t="n"/>
      <c r="C166" s="82" t="n"/>
      <c r="D166" s="82" t="n"/>
      <c r="E166" s="82" t="n"/>
      <c r="F166" s="82" t="n"/>
      <c r="G166" s="82" t="n"/>
    </row>
    <row r="167">
      <c r="A167" s="82" t="n"/>
      <c r="B167" s="82" t="n"/>
      <c r="C167" s="82" t="n"/>
      <c r="D167" s="82" t="n"/>
      <c r="E167" s="82" t="n"/>
      <c r="F167" s="82" t="n"/>
      <c r="G167" s="82" t="n"/>
    </row>
    <row r="168">
      <c r="A168" s="82" t="n"/>
      <c r="B168" s="82" t="n"/>
      <c r="C168" s="82" t="n"/>
      <c r="D168" s="82" t="n"/>
      <c r="E168" s="82" t="n"/>
      <c r="F168" s="82" t="n"/>
      <c r="G168" s="82" t="n"/>
    </row>
    <row r="169">
      <c r="A169" s="82" t="n"/>
      <c r="B169" s="82" t="n"/>
      <c r="C169" s="82" t="n"/>
      <c r="D169" s="82" t="n"/>
      <c r="E169" s="82" t="n"/>
      <c r="F169" s="82" t="n"/>
      <c r="G169" s="82" t="n"/>
    </row>
    <row r="170">
      <c r="A170" s="82" t="n"/>
      <c r="B170" s="82" t="n"/>
      <c r="C170" s="82" t="n"/>
      <c r="D170" s="82" t="n"/>
      <c r="E170" s="82" t="n"/>
      <c r="F170" s="82" t="n"/>
      <c r="G170" s="82" t="n"/>
    </row>
    <row r="171">
      <c r="A171" s="82" t="n"/>
      <c r="B171" s="82" t="n"/>
      <c r="C171" s="82" t="n"/>
      <c r="D171" s="82" t="n"/>
      <c r="E171" s="82" t="n"/>
      <c r="F171" s="82" t="n"/>
      <c r="G171" s="82" t="n"/>
    </row>
    <row r="172">
      <c r="A172" s="82" t="n"/>
      <c r="B172" s="82" t="n"/>
      <c r="C172" s="82" t="n"/>
      <c r="D172" s="82" t="n"/>
      <c r="E172" s="82" t="n"/>
      <c r="F172" s="82" t="n"/>
      <c r="G172" s="82" t="n"/>
    </row>
    <row r="173">
      <c r="A173" s="82" t="n"/>
      <c r="B173" s="82" t="n"/>
      <c r="C173" s="82" t="n"/>
      <c r="D173" s="82" t="n"/>
      <c r="E173" s="82" t="n"/>
      <c r="F173" s="82" t="n"/>
      <c r="G173" s="82" t="n"/>
    </row>
    <row r="174">
      <c r="A174" s="82" t="n"/>
      <c r="B174" s="82" t="n"/>
      <c r="C174" s="82" t="n"/>
      <c r="D174" s="82" t="n"/>
      <c r="E174" s="82" t="n"/>
      <c r="F174" s="82" t="n"/>
      <c r="G174" s="82" t="n"/>
    </row>
    <row r="175">
      <c r="A175" s="82" t="n"/>
      <c r="B175" s="82" t="n"/>
      <c r="C175" s="82" t="n"/>
      <c r="D175" s="82" t="n"/>
      <c r="E175" s="82" t="n"/>
      <c r="F175" s="82" t="n"/>
      <c r="G175" s="82" t="n"/>
    </row>
    <row r="176">
      <c r="A176" s="82" t="n"/>
      <c r="B176" s="82" t="n"/>
      <c r="C176" s="82" t="n"/>
      <c r="D176" s="82" t="n"/>
      <c r="E176" s="82" t="n"/>
      <c r="F176" s="82" t="n"/>
      <c r="G176" s="82" t="n"/>
    </row>
    <row r="177">
      <c r="A177" s="82" t="n"/>
      <c r="B177" s="82" t="n"/>
      <c r="C177" s="82" t="n"/>
      <c r="D177" s="82" t="n"/>
      <c r="E177" s="82" t="n"/>
      <c r="F177" s="82" t="n"/>
      <c r="G177" s="82" t="n"/>
    </row>
    <row r="178">
      <c r="A178" s="82" t="n"/>
      <c r="B178" s="82" t="n"/>
      <c r="C178" s="82" t="n"/>
      <c r="D178" s="82" t="n"/>
      <c r="E178" s="82" t="n"/>
      <c r="F178" s="82" t="n"/>
      <c r="G178" s="82" t="n"/>
    </row>
    <row r="179">
      <c r="A179" s="82" t="n"/>
      <c r="B179" s="82" t="n"/>
      <c r="C179" s="82" t="n"/>
      <c r="D179" s="82" t="n"/>
      <c r="E179" s="82" t="n"/>
      <c r="F179" s="82" t="n"/>
      <c r="G179" s="82" t="n"/>
    </row>
    <row r="180">
      <c r="A180" s="82" t="n"/>
      <c r="B180" s="82" t="n"/>
      <c r="C180" s="82" t="n"/>
      <c r="D180" s="82" t="n"/>
      <c r="E180" s="82" t="n"/>
      <c r="F180" s="82" t="n"/>
      <c r="G180" s="82" t="n"/>
    </row>
    <row r="181">
      <c r="A181" s="82" t="n"/>
      <c r="B181" s="82" t="n"/>
      <c r="C181" s="82" t="n"/>
      <c r="D181" s="82" t="n"/>
      <c r="E181" s="82" t="n"/>
      <c r="F181" s="82" t="n"/>
      <c r="G181" s="82" t="n"/>
    </row>
    <row r="182">
      <c r="A182" s="82" t="n"/>
      <c r="B182" s="82" t="n"/>
      <c r="C182" s="82" t="n"/>
      <c r="D182" s="82" t="n"/>
      <c r="E182" s="82" t="n"/>
      <c r="F182" s="82" t="n"/>
      <c r="G182" s="82" t="n"/>
    </row>
    <row r="183">
      <c r="A183" s="82" t="n"/>
      <c r="B183" s="82" t="n"/>
      <c r="C183" s="82" t="n"/>
      <c r="D183" s="82" t="n"/>
      <c r="E183" s="82" t="n"/>
      <c r="F183" s="82" t="n"/>
      <c r="G183" s="82" t="n"/>
    </row>
    <row r="184">
      <c r="A184" s="82" t="n"/>
      <c r="B184" s="82" t="n"/>
      <c r="C184" s="82" t="n"/>
      <c r="D184" s="82" t="n"/>
      <c r="E184" s="82" t="n"/>
      <c r="F184" s="82" t="n"/>
      <c r="G184" s="82" t="n"/>
    </row>
    <row r="185">
      <c r="A185" s="82" t="n"/>
      <c r="B185" s="82" t="n"/>
      <c r="C185" s="82" t="n"/>
      <c r="D185" s="82" t="n"/>
      <c r="E185" s="82" t="n"/>
      <c r="F185" s="82" t="n"/>
      <c r="G185" s="82" t="n"/>
    </row>
    <row r="186">
      <c r="A186" s="82" t="n"/>
      <c r="B186" s="82" t="n"/>
      <c r="C186" s="82" t="n"/>
      <c r="D186" s="82" t="n"/>
      <c r="E186" s="82" t="n"/>
      <c r="F186" s="82" t="n"/>
      <c r="G186" s="82" t="n"/>
    </row>
    <row r="187">
      <c r="A187" s="82" t="n"/>
      <c r="B187" s="82" t="n"/>
      <c r="C187" s="82" t="n"/>
      <c r="D187" s="82" t="n"/>
      <c r="E187" s="82" t="n"/>
      <c r="F187" s="82" t="n"/>
      <c r="G187" s="82" t="n"/>
    </row>
    <row r="188">
      <c r="A188" s="82" t="n"/>
      <c r="B188" s="82" t="n"/>
      <c r="C188" s="82" t="n"/>
      <c r="D188" s="82" t="n"/>
      <c r="E188" s="82" t="n"/>
      <c r="F188" s="82" t="n"/>
      <c r="G188" s="82" t="n"/>
    </row>
    <row r="189">
      <c r="A189" s="82" t="n"/>
      <c r="B189" s="82" t="n"/>
      <c r="C189" s="82" t="n"/>
      <c r="D189" s="82" t="n"/>
      <c r="E189" s="82" t="n"/>
      <c r="F189" s="82" t="n"/>
      <c r="G189" s="82" t="n"/>
    </row>
    <row r="190">
      <c r="A190" s="82" t="n"/>
      <c r="B190" s="82" t="n"/>
      <c r="C190" s="82" t="n"/>
      <c r="D190" s="82" t="n"/>
      <c r="E190" s="82" t="n"/>
      <c r="F190" s="82" t="n"/>
      <c r="G190" s="82" t="n"/>
    </row>
    <row r="191">
      <c r="A191" s="82" t="n"/>
      <c r="B191" s="82" t="n"/>
      <c r="C191" s="82" t="n"/>
      <c r="D191" s="82" t="n"/>
      <c r="E191" s="82" t="n"/>
      <c r="F191" s="82" t="n"/>
      <c r="G191" s="82" t="n"/>
    </row>
    <row r="192">
      <c r="A192" s="82" t="n"/>
      <c r="B192" s="82" t="n"/>
      <c r="C192" s="82" t="n"/>
      <c r="D192" s="82" t="n"/>
      <c r="E192" s="82" t="n"/>
      <c r="F192" s="82" t="n"/>
      <c r="G192" s="82" t="n"/>
    </row>
    <row r="193">
      <c r="A193" s="82" t="n"/>
      <c r="B193" s="82" t="n"/>
      <c r="C193" s="82" t="n"/>
      <c r="D193" s="82" t="n"/>
      <c r="E193" s="82" t="n"/>
      <c r="F193" s="82" t="n"/>
      <c r="G193" s="82" t="n"/>
    </row>
    <row r="194">
      <c r="A194" s="82" t="n"/>
      <c r="B194" s="82" t="n"/>
      <c r="C194" s="82" t="n"/>
      <c r="D194" s="82" t="n"/>
      <c r="E194" s="82" t="n"/>
      <c r="F194" s="82" t="n"/>
      <c r="G194" s="82" t="n"/>
    </row>
    <row r="195">
      <c r="A195" s="82" t="n"/>
      <c r="B195" s="82" t="n"/>
      <c r="C195" s="82" t="n"/>
      <c r="D195" s="82" t="n"/>
      <c r="E195" s="82" t="n"/>
      <c r="F195" s="82" t="n"/>
      <c r="G195" s="82" t="n"/>
    </row>
    <row r="196">
      <c r="A196" s="82" t="n"/>
      <c r="B196" s="82" t="n"/>
      <c r="C196" s="82" t="n"/>
      <c r="D196" s="82" t="n"/>
      <c r="E196" s="82" t="n"/>
      <c r="F196" s="82" t="n"/>
      <c r="G196" s="82" t="n"/>
    </row>
    <row r="197">
      <c r="A197" s="82" t="n"/>
      <c r="B197" s="82" t="n"/>
      <c r="C197" s="82" t="n"/>
      <c r="D197" s="82" t="n"/>
      <c r="E197" s="82" t="n"/>
      <c r="F197" s="82" t="n"/>
      <c r="G197" s="82" t="n"/>
    </row>
    <row r="198">
      <c r="A198" s="82" t="n"/>
      <c r="B198" s="82" t="n"/>
      <c r="C198" s="82" t="n"/>
      <c r="D198" s="82" t="n"/>
      <c r="E198" s="82" t="n"/>
      <c r="F198" s="82" t="n"/>
      <c r="G198" s="82" t="n"/>
    </row>
    <row r="199">
      <c r="A199" s="82" t="n"/>
      <c r="B199" s="82" t="n"/>
      <c r="C199" s="82" t="n"/>
      <c r="D199" s="82" t="n"/>
      <c r="E199" s="82" t="n"/>
      <c r="F199" s="82" t="n"/>
      <c r="G199" s="82" t="n"/>
    </row>
    <row r="200">
      <c r="A200" s="82" t="n"/>
      <c r="B200" s="82" t="n"/>
      <c r="C200" s="82" t="n"/>
      <c r="D200" s="82" t="n"/>
      <c r="E200" s="82" t="n"/>
      <c r="F200" s="82" t="n"/>
      <c r="G200" s="82" t="n"/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autoFilter ref="A4:G19"/>
  <mergeCells count="2">
    <mergeCell ref="A2:G2"/>
    <mergeCell ref="A1:G1"/>
  </mergeCells>
  <conditionalFormatting sqref="G5:G80">
    <cfRule type="expression" priority="1" dxfId="0">
      <formula>G5="Scheduled"</formula>
    </cfRule>
    <cfRule type="expression" priority="2" dxfId="1">
      <formula>G5="To Do"</formula>
    </cfRule>
    <cfRule type="expression" priority="3" dxfId="2">
      <formula>G5="Due Soon"</formula>
    </cfRule>
    <cfRule type="expression" priority="4" dxfId="9">
      <formula>G5="Watch"</formula>
    </cfRule>
    <cfRule type="expression" priority="5" dxfId="4">
      <formula>G5="Hold"</formula>
    </cfRule>
    <cfRule type="expression" priority="6" dxfId="8">
      <formula>G5="Upcoming"</formula>
    </cfRule>
  </conditionalFormatting>
  <pageMargins left="0.4" right="0.4" top="0.6" bottom="0.5" header="0.25" footer="0.25"/>
  <pageSetup orientation="landscape" paperSize="3" fitToHeight="0" fitToWidth="1"/>
  <headerFooter>
    <oddHeader>&amp;LNovality Store  ·  Home Renovation System&amp;RCalendar</oddHeader>
    <oddFooter>&amp;LConfidential  ·  Digital twin of the home&amp;RPage &amp;P of &amp;N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tabColor rgb="00C86B4A"/>
    <outlinePr summaryBelow="1" summaryRight="1"/>
    <pageSetUpPr fitToPage="1"/>
  </sheetPr>
  <dimension ref="A1:G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64" customWidth="1" min="5" max="5"/>
    <col width="12" customWidth="1" min="6" max="6"/>
    <col width="10" customWidth="1" min="7" max="7"/>
  </cols>
  <sheetData>
    <row r="1" ht="28" customHeight="1">
      <c r="A1" s="1" t="inlineStr">
        <is>
          <t>NOTIFICATIONS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In-app / email / SMS queue  ·  mark Status = Read when handled</t>
        </is>
      </c>
      <c r="B2" s="4" t="n"/>
      <c r="C2" s="4" t="n"/>
      <c r="D2" s="4" t="n"/>
      <c r="E2" s="4" t="n"/>
      <c r="F2" s="4" t="n"/>
      <c r="G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</row>
    <row r="4" ht="22" customHeight="1">
      <c r="A4" s="66" t="inlineStr">
        <is>
          <t>ID</t>
        </is>
      </c>
      <c r="B4" s="66" t="inlineStr">
        <is>
          <t>Date</t>
        </is>
      </c>
      <c r="C4" s="66" t="inlineStr">
        <is>
          <t>Severity</t>
        </is>
      </c>
      <c r="D4" s="66" t="inlineStr">
        <is>
          <t>Module</t>
        </is>
      </c>
      <c r="E4" s="66" t="inlineStr">
        <is>
          <t>Message</t>
        </is>
      </c>
      <c r="F4" s="66" t="inlineStr">
        <is>
          <t>Status</t>
        </is>
      </c>
      <c r="G4" s="66" t="inlineStr">
        <is>
          <t>Audience</t>
        </is>
      </c>
    </row>
    <row r="5" ht="18" customHeight="1">
      <c r="A5" s="67" t="inlineStr">
        <is>
          <t>NTF-001</t>
        </is>
      </c>
      <c r="B5" s="70" t="n">
        <v>46258</v>
      </c>
      <c r="C5" s="67" t="inlineStr">
        <is>
          <t>Warning</t>
        </is>
      </c>
      <c r="D5" s="67" t="inlineStr">
        <is>
          <t>Budget</t>
        </is>
      </c>
      <c r="E5" s="68" t="inlineStr">
        <is>
          <t>Kitchen budget is 12% over original target. Island swap pending.</t>
        </is>
      </c>
      <c r="F5" s="68" t="inlineStr">
        <is>
          <t>Open</t>
        </is>
      </c>
      <c r="G5" s="68" t="inlineStr">
        <is>
          <t>HO-001</t>
        </is>
      </c>
    </row>
    <row r="6" ht="18" customHeight="1">
      <c r="A6" s="75" t="inlineStr">
        <is>
          <t>NTF-002</t>
        </is>
      </c>
      <c r="B6" s="78" t="n">
        <v>46258</v>
      </c>
      <c r="C6" s="75" t="inlineStr">
        <is>
          <t>Critical</t>
        </is>
      </c>
      <c r="D6" s="75" t="inlineStr">
        <is>
          <t>Finance</t>
        </is>
      </c>
      <c r="E6" s="76" t="inlineStr">
        <is>
          <t>Project contingency has fallen below 10%.</t>
        </is>
      </c>
      <c r="F6" s="76" t="inlineStr">
        <is>
          <t>Open</t>
        </is>
      </c>
      <c r="G6" s="76" t="inlineStr">
        <is>
          <t>HO-001</t>
        </is>
      </c>
    </row>
    <row r="7" ht="18" customHeight="1">
      <c r="A7" s="67" t="inlineStr">
        <is>
          <t>NTF-003</t>
        </is>
      </c>
      <c r="B7" s="70" t="n">
        <v>46258</v>
      </c>
      <c r="C7" s="67" t="inlineStr">
        <is>
          <t>Success</t>
        </is>
      </c>
      <c r="D7" s="67" t="inlineStr">
        <is>
          <t>Rooms</t>
        </is>
      </c>
      <c r="E7" s="68" t="inlineStr">
        <is>
          <t>Primary bathroom is under budget after porcelain swap.</t>
        </is>
      </c>
      <c r="F7" s="68" t="inlineStr">
        <is>
          <t>Open</t>
        </is>
      </c>
      <c r="G7" s="68" t="inlineStr">
        <is>
          <t>HO-001</t>
        </is>
      </c>
    </row>
    <row r="8" ht="18" customHeight="1">
      <c r="A8" s="75" t="inlineStr">
        <is>
          <t>NTF-004</t>
        </is>
      </c>
      <c r="B8" s="78" t="n">
        <v>46257</v>
      </c>
      <c r="C8" s="75" t="inlineStr">
        <is>
          <t>Warning</t>
        </is>
      </c>
      <c r="D8" s="75" t="inlineStr">
        <is>
          <t>Procurement</t>
        </is>
      </c>
      <c r="E8" s="76" t="inlineStr">
        <is>
          <t>White oak stair nosing backordered 11 days.</t>
        </is>
      </c>
      <c r="F8" s="76" t="inlineStr">
        <is>
          <t>Open</t>
        </is>
      </c>
      <c r="G8" s="76" t="inlineStr">
        <is>
          <t>PM-001</t>
        </is>
      </c>
    </row>
    <row r="9" ht="18" customHeight="1">
      <c r="A9" s="67" t="inlineStr">
        <is>
          <t>NTF-005</t>
        </is>
      </c>
      <c r="B9" s="70" t="n">
        <v>46256</v>
      </c>
      <c r="C9" s="67" t="inlineStr">
        <is>
          <t>Info</t>
        </is>
      </c>
      <c r="D9" s="67" t="inlineStr">
        <is>
          <t>Schedule</t>
        </is>
      </c>
      <c r="E9" s="68" t="inlineStr">
        <is>
          <t>Cabinet hardware still in transit — hardware day next week.</t>
        </is>
      </c>
      <c r="F9" s="68" t="inlineStr">
        <is>
          <t>Open</t>
        </is>
      </c>
      <c r="G9" s="68" t="inlineStr">
        <is>
          <t>CT-001</t>
        </is>
      </c>
    </row>
    <row r="10" ht="18" customHeight="1">
      <c r="A10" s="75" t="inlineStr">
        <is>
          <t>NTF-006</t>
        </is>
      </c>
      <c r="B10" s="78" t="n">
        <v>46254</v>
      </c>
      <c r="C10" s="75" t="inlineStr">
        <is>
          <t>Info</t>
        </is>
      </c>
      <c r="D10" s="75" t="inlineStr">
        <is>
          <t>Visit</t>
        </is>
      </c>
      <c r="E10" s="76" t="inlineStr">
        <is>
          <t>Cascade Cabinets on site Aug 25–27 for box set.</t>
        </is>
      </c>
      <c r="F10" s="76" t="inlineStr">
        <is>
          <t>Open</t>
        </is>
      </c>
      <c r="G10" s="76" t="inlineStr">
        <is>
          <t>HO-001</t>
        </is>
      </c>
    </row>
    <row r="11" ht="18" customHeight="1">
      <c r="A11" s="67" t="inlineStr">
        <is>
          <t>NTF-007</t>
        </is>
      </c>
      <c r="B11" s="70" t="n">
        <v>46252</v>
      </c>
      <c r="C11" s="67" t="inlineStr">
        <is>
          <t>Warning</t>
        </is>
      </c>
      <c r="D11" s="67" t="inlineStr">
        <is>
          <t>Approval</t>
        </is>
      </c>
      <c r="E11" s="68" t="inlineStr">
        <is>
          <t>CO-002 island porcelain awaiting signature.</t>
        </is>
      </c>
      <c r="F11" s="68" t="inlineStr">
        <is>
          <t>Open</t>
        </is>
      </c>
      <c r="G11" s="68" t="inlineStr">
        <is>
          <t>HO-001</t>
        </is>
      </c>
    </row>
    <row r="12" ht="18" customHeight="1">
      <c r="A12" s="75" t="inlineStr">
        <is>
          <t>NTF-008</t>
        </is>
      </c>
      <c r="B12" s="78" t="n">
        <v>46266</v>
      </c>
      <c r="C12" s="75" t="inlineStr">
        <is>
          <t>Info</t>
        </is>
      </c>
      <c r="D12" s="75" t="inlineStr">
        <is>
          <t>Maintenance</t>
        </is>
      </c>
      <c r="E12" s="76" t="inlineStr">
        <is>
          <t>Pest control due in 8 days.</t>
        </is>
      </c>
      <c r="F12" s="76" t="inlineStr">
        <is>
          <t>Scheduled</t>
        </is>
      </c>
      <c r="G12" s="76" t="inlineStr">
        <is>
          <t>HO-001</t>
        </is>
      </c>
    </row>
    <row r="13" ht="18" customHeight="1">
      <c r="A13" s="67" t="inlineStr">
        <is>
          <t>NTF-009</t>
        </is>
      </c>
      <c r="B13" s="70" t="n">
        <v>46258</v>
      </c>
      <c r="C13" s="67" t="inlineStr">
        <is>
          <t>Info</t>
        </is>
      </c>
      <c r="D13" s="67" t="inlineStr">
        <is>
          <t>Message</t>
        </is>
      </c>
      <c r="E13" s="68" t="inlineStr">
        <is>
          <t>Marcus posted tomorrow's site meeting agenda.</t>
        </is>
      </c>
      <c r="F13" s="68" t="inlineStr">
        <is>
          <t>Open</t>
        </is>
      </c>
      <c r="G13" s="68" t="inlineStr">
        <is>
          <t>HO-001</t>
        </is>
      </c>
    </row>
    <row r="14" ht="18" customHeight="1">
      <c r="A14" s="75" t="inlineStr">
        <is>
          <t>NTF-010</t>
        </is>
      </c>
      <c r="B14" s="78" t="n">
        <v>46246</v>
      </c>
      <c r="C14" s="75" t="inlineStr">
        <is>
          <t>Success</t>
        </is>
      </c>
      <c r="D14" s="75" t="inlineStr">
        <is>
          <t>Inspection</t>
        </is>
      </c>
      <c r="E14" s="76" t="inlineStr">
        <is>
          <t>Electrical rough passed.</t>
        </is>
      </c>
      <c r="F14" s="76" t="inlineStr">
        <is>
          <t>Read</t>
        </is>
      </c>
      <c r="G14" s="76" t="inlineStr">
        <is>
          <t>PM-001</t>
        </is>
      </c>
    </row>
    <row r="15">
      <c r="A15" s="82" t="n"/>
      <c r="B15" s="82" t="n"/>
      <c r="C15" s="82" t="n"/>
      <c r="D15" s="82" t="n"/>
      <c r="E15" s="82" t="n"/>
      <c r="F15" s="82" t="n"/>
      <c r="G15" s="82" t="n"/>
    </row>
    <row r="16">
      <c r="A16" s="82" t="n"/>
      <c r="B16" s="82" t="n"/>
      <c r="C16" s="82" t="n"/>
      <c r="D16" s="82" t="n"/>
      <c r="E16" s="82" t="n"/>
      <c r="F16" s="82" t="n"/>
      <c r="G16" s="82" t="n"/>
    </row>
    <row r="17">
      <c r="A17" s="82" t="n"/>
      <c r="B17" s="82" t="n"/>
      <c r="C17" s="82" t="n"/>
      <c r="D17" s="82" t="n"/>
      <c r="E17" s="82" t="n"/>
      <c r="F17" s="82" t="n"/>
      <c r="G17" s="82" t="n"/>
    </row>
    <row r="18">
      <c r="A18" s="82" t="n"/>
      <c r="B18" s="82" t="n"/>
      <c r="C18" s="82" t="n"/>
      <c r="D18" s="82" t="n"/>
      <c r="E18" s="82" t="n"/>
      <c r="F18" s="82" t="n"/>
      <c r="G18" s="82" t="n"/>
    </row>
    <row r="19">
      <c r="A19" s="82" t="n"/>
      <c r="B19" s="82" t="n"/>
      <c r="C19" s="82" t="n"/>
      <c r="D19" s="82" t="n"/>
      <c r="E19" s="82" t="n"/>
      <c r="F19" s="82" t="n"/>
      <c r="G19" s="82" t="n"/>
    </row>
    <row r="20">
      <c r="A20" s="82" t="n"/>
      <c r="B20" s="82" t="n"/>
      <c r="C20" s="82" t="n"/>
      <c r="D20" s="82" t="n"/>
      <c r="E20" s="82" t="n"/>
      <c r="F20" s="82" t="n"/>
      <c r="G20" s="82" t="n"/>
    </row>
    <row r="21">
      <c r="A21" s="82" t="n"/>
      <c r="B21" s="82" t="n"/>
      <c r="C21" s="82" t="n"/>
      <c r="D21" s="82" t="n"/>
      <c r="E21" s="82" t="n"/>
      <c r="F21" s="82" t="n"/>
      <c r="G21" s="82" t="n"/>
    </row>
    <row r="22">
      <c r="A22" s="82" t="n"/>
      <c r="B22" s="82" t="n"/>
      <c r="C22" s="82" t="n"/>
      <c r="D22" s="82" t="n"/>
      <c r="E22" s="82" t="n"/>
      <c r="F22" s="82" t="n"/>
      <c r="G22" s="82" t="n"/>
    </row>
    <row r="23">
      <c r="A23" s="82" t="n"/>
      <c r="B23" s="82" t="n"/>
      <c r="C23" s="82" t="n"/>
      <c r="D23" s="82" t="n"/>
      <c r="E23" s="82" t="n"/>
      <c r="F23" s="82" t="n"/>
      <c r="G23" s="82" t="n"/>
    </row>
    <row r="24">
      <c r="A24" s="82" t="n"/>
      <c r="B24" s="82" t="n"/>
      <c r="C24" s="82" t="n"/>
      <c r="D24" s="82" t="n"/>
      <c r="E24" s="82" t="n"/>
      <c r="F24" s="82" t="n"/>
      <c r="G24" s="82" t="n"/>
    </row>
    <row r="25">
      <c r="A25" s="82" t="n"/>
      <c r="B25" s="82" t="n"/>
      <c r="C25" s="82" t="n"/>
      <c r="D25" s="82" t="n"/>
      <c r="E25" s="82" t="n"/>
      <c r="F25" s="82" t="n"/>
      <c r="G25" s="82" t="n"/>
    </row>
    <row r="26">
      <c r="A26" s="82" t="n"/>
      <c r="B26" s="82" t="n"/>
      <c r="C26" s="82" t="n"/>
      <c r="D26" s="82" t="n"/>
      <c r="E26" s="82" t="n"/>
      <c r="F26" s="82" t="n"/>
      <c r="G26" s="82" t="n"/>
    </row>
    <row r="27">
      <c r="A27" s="82" t="n"/>
      <c r="B27" s="82" t="n"/>
      <c r="C27" s="82" t="n"/>
      <c r="D27" s="82" t="n"/>
      <c r="E27" s="82" t="n"/>
      <c r="F27" s="82" t="n"/>
      <c r="G27" s="82" t="n"/>
    </row>
    <row r="28">
      <c r="A28" s="82" t="n"/>
      <c r="B28" s="82" t="n"/>
      <c r="C28" s="82" t="n"/>
      <c r="D28" s="82" t="n"/>
      <c r="E28" s="82" t="n"/>
      <c r="F28" s="82" t="n"/>
      <c r="G28" s="82" t="n"/>
    </row>
    <row r="29">
      <c r="A29" s="82" t="n"/>
      <c r="B29" s="82" t="n"/>
      <c r="C29" s="82" t="n"/>
      <c r="D29" s="82" t="n"/>
      <c r="E29" s="82" t="n"/>
      <c r="F29" s="82" t="n"/>
      <c r="G29" s="82" t="n"/>
    </row>
    <row r="30">
      <c r="A30" s="82" t="n"/>
      <c r="B30" s="82" t="n"/>
      <c r="C30" s="82" t="n"/>
      <c r="D30" s="82" t="n"/>
      <c r="E30" s="82" t="n"/>
      <c r="F30" s="82" t="n"/>
      <c r="G30" s="82" t="n"/>
    </row>
    <row r="31">
      <c r="A31" s="82" t="n"/>
      <c r="B31" s="82" t="n"/>
      <c r="C31" s="82" t="n"/>
      <c r="D31" s="82" t="n"/>
      <c r="E31" s="82" t="n"/>
      <c r="F31" s="82" t="n"/>
      <c r="G31" s="82" t="n"/>
    </row>
    <row r="32">
      <c r="A32" s="82" t="n"/>
      <c r="B32" s="82" t="n"/>
      <c r="C32" s="82" t="n"/>
      <c r="D32" s="82" t="n"/>
      <c r="E32" s="82" t="n"/>
      <c r="F32" s="82" t="n"/>
      <c r="G32" s="82" t="n"/>
    </row>
    <row r="33">
      <c r="A33" s="82" t="n"/>
      <c r="B33" s="82" t="n"/>
      <c r="C33" s="82" t="n"/>
      <c r="D33" s="82" t="n"/>
      <c r="E33" s="82" t="n"/>
      <c r="F33" s="82" t="n"/>
      <c r="G33" s="82" t="n"/>
    </row>
    <row r="34">
      <c r="A34" s="82" t="n"/>
      <c r="B34" s="82" t="n"/>
      <c r="C34" s="82" t="n"/>
      <c r="D34" s="82" t="n"/>
      <c r="E34" s="82" t="n"/>
      <c r="F34" s="82" t="n"/>
      <c r="G34" s="82" t="n"/>
    </row>
    <row r="35">
      <c r="A35" s="82" t="n"/>
      <c r="B35" s="82" t="n"/>
      <c r="C35" s="82" t="n"/>
      <c r="D35" s="82" t="n"/>
      <c r="E35" s="82" t="n"/>
      <c r="F35" s="82" t="n"/>
      <c r="G35" s="82" t="n"/>
    </row>
    <row r="36">
      <c r="A36" s="82" t="n"/>
      <c r="B36" s="82" t="n"/>
      <c r="C36" s="82" t="n"/>
      <c r="D36" s="82" t="n"/>
      <c r="E36" s="82" t="n"/>
      <c r="F36" s="82" t="n"/>
      <c r="G36" s="82" t="n"/>
    </row>
    <row r="37">
      <c r="A37" s="82" t="n"/>
      <c r="B37" s="82" t="n"/>
      <c r="C37" s="82" t="n"/>
      <c r="D37" s="82" t="n"/>
      <c r="E37" s="82" t="n"/>
      <c r="F37" s="82" t="n"/>
      <c r="G37" s="82" t="n"/>
    </row>
    <row r="38">
      <c r="A38" s="82" t="n"/>
      <c r="B38" s="82" t="n"/>
      <c r="C38" s="82" t="n"/>
      <c r="D38" s="82" t="n"/>
      <c r="E38" s="82" t="n"/>
      <c r="F38" s="82" t="n"/>
      <c r="G38" s="82" t="n"/>
    </row>
    <row r="39">
      <c r="A39" s="82" t="n"/>
      <c r="B39" s="82" t="n"/>
      <c r="C39" s="82" t="n"/>
      <c r="D39" s="82" t="n"/>
      <c r="E39" s="82" t="n"/>
      <c r="F39" s="82" t="n"/>
      <c r="G39" s="82" t="n"/>
    </row>
    <row r="40">
      <c r="A40" s="82" t="n"/>
      <c r="B40" s="82" t="n"/>
      <c r="C40" s="82" t="n"/>
      <c r="D40" s="82" t="n"/>
      <c r="E40" s="82" t="n"/>
      <c r="F40" s="82" t="n"/>
      <c r="G40" s="82" t="n"/>
    </row>
    <row r="41">
      <c r="A41" s="82" t="n"/>
      <c r="B41" s="82" t="n"/>
      <c r="C41" s="82" t="n"/>
      <c r="D41" s="82" t="n"/>
      <c r="E41" s="82" t="n"/>
      <c r="F41" s="82" t="n"/>
      <c r="G41" s="82" t="n"/>
    </row>
    <row r="42">
      <c r="A42" s="82" t="n"/>
      <c r="B42" s="82" t="n"/>
      <c r="C42" s="82" t="n"/>
      <c r="D42" s="82" t="n"/>
      <c r="E42" s="82" t="n"/>
      <c r="F42" s="82" t="n"/>
      <c r="G42" s="82" t="n"/>
    </row>
    <row r="43">
      <c r="A43" s="82" t="n"/>
      <c r="B43" s="82" t="n"/>
      <c r="C43" s="82" t="n"/>
      <c r="D43" s="82" t="n"/>
      <c r="E43" s="82" t="n"/>
      <c r="F43" s="82" t="n"/>
      <c r="G43" s="82" t="n"/>
    </row>
    <row r="44">
      <c r="A44" s="82" t="n"/>
      <c r="B44" s="82" t="n"/>
      <c r="C44" s="82" t="n"/>
      <c r="D44" s="82" t="n"/>
      <c r="E44" s="82" t="n"/>
      <c r="F44" s="82" t="n"/>
      <c r="G44" s="82" t="n"/>
    </row>
    <row r="45">
      <c r="A45" s="82" t="n"/>
      <c r="B45" s="82" t="n"/>
      <c r="C45" s="82" t="n"/>
      <c r="D45" s="82" t="n"/>
      <c r="E45" s="82" t="n"/>
      <c r="F45" s="82" t="n"/>
      <c r="G45" s="82" t="n"/>
    </row>
    <row r="46">
      <c r="A46" s="82" t="n"/>
      <c r="B46" s="82" t="n"/>
      <c r="C46" s="82" t="n"/>
      <c r="D46" s="82" t="n"/>
      <c r="E46" s="82" t="n"/>
      <c r="F46" s="82" t="n"/>
      <c r="G46" s="82" t="n"/>
    </row>
    <row r="47">
      <c r="A47" s="82" t="n"/>
      <c r="B47" s="82" t="n"/>
      <c r="C47" s="82" t="n"/>
      <c r="D47" s="82" t="n"/>
      <c r="E47" s="82" t="n"/>
      <c r="F47" s="82" t="n"/>
      <c r="G47" s="82" t="n"/>
    </row>
    <row r="48">
      <c r="A48" s="82" t="n"/>
      <c r="B48" s="82" t="n"/>
      <c r="C48" s="82" t="n"/>
      <c r="D48" s="82" t="n"/>
      <c r="E48" s="82" t="n"/>
      <c r="F48" s="82" t="n"/>
      <c r="G48" s="82" t="n"/>
    </row>
    <row r="49">
      <c r="A49" s="82" t="n"/>
      <c r="B49" s="82" t="n"/>
      <c r="C49" s="82" t="n"/>
      <c r="D49" s="82" t="n"/>
      <c r="E49" s="82" t="n"/>
      <c r="F49" s="82" t="n"/>
      <c r="G49" s="82" t="n"/>
    </row>
    <row r="50">
      <c r="A50" s="82" t="n"/>
      <c r="B50" s="82" t="n"/>
      <c r="C50" s="82" t="n"/>
      <c r="D50" s="82" t="n"/>
      <c r="E50" s="82" t="n"/>
      <c r="F50" s="82" t="n"/>
      <c r="G50" s="82" t="n"/>
    </row>
    <row r="51">
      <c r="A51" s="82" t="n"/>
      <c r="B51" s="82" t="n"/>
      <c r="C51" s="82" t="n"/>
      <c r="D51" s="82" t="n"/>
      <c r="E51" s="82" t="n"/>
      <c r="F51" s="82" t="n"/>
      <c r="G51" s="82" t="n"/>
    </row>
    <row r="52">
      <c r="A52" s="82" t="n"/>
      <c r="B52" s="82" t="n"/>
      <c r="C52" s="82" t="n"/>
      <c r="D52" s="82" t="n"/>
      <c r="E52" s="82" t="n"/>
      <c r="F52" s="82" t="n"/>
      <c r="G52" s="82" t="n"/>
    </row>
    <row r="53">
      <c r="A53" s="82" t="n"/>
      <c r="B53" s="82" t="n"/>
      <c r="C53" s="82" t="n"/>
      <c r="D53" s="82" t="n"/>
      <c r="E53" s="82" t="n"/>
      <c r="F53" s="82" t="n"/>
      <c r="G53" s="82" t="n"/>
    </row>
    <row r="54">
      <c r="A54" s="82" t="n"/>
      <c r="B54" s="82" t="n"/>
      <c r="C54" s="82" t="n"/>
      <c r="D54" s="82" t="n"/>
      <c r="E54" s="82" t="n"/>
      <c r="F54" s="82" t="n"/>
      <c r="G54" s="82" t="n"/>
    </row>
    <row r="55">
      <c r="A55" s="82" t="n"/>
      <c r="B55" s="82" t="n"/>
      <c r="C55" s="82" t="n"/>
      <c r="D55" s="82" t="n"/>
      <c r="E55" s="82" t="n"/>
      <c r="F55" s="82" t="n"/>
      <c r="G55" s="82" t="n"/>
    </row>
    <row r="56">
      <c r="A56" s="82" t="n"/>
      <c r="B56" s="82" t="n"/>
      <c r="C56" s="82" t="n"/>
      <c r="D56" s="82" t="n"/>
      <c r="E56" s="82" t="n"/>
      <c r="F56" s="82" t="n"/>
      <c r="G56" s="82" t="n"/>
    </row>
    <row r="57">
      <c r="A57" s="82" t="n"/>
      <c r="B57" s="82" t="n"/>
      <c r="C57" s="82" t="n"/>
      <c r="D57" s="82" t="n"/>
      <c r="E57" s="82" t="n"/>
      <c r="F57" s="82" t="n"/>
      <c r="G57" s="82" t="n"/>
    </row>
    <row r="58">
      <c r="A58" s="82" t="n"/>
      <c r="B58" s="82" t="n"/>
      <c r="C58" s="82" t="n"/>
      <c r="D58" s="82" t="n"/>
      <c r="E58" s="82" t="n"/>
      <c r="F58" s="82" t="n"/>
      <c r="G58" s="82" t="n"/>
    </row>
    <row r="59">
      <c r="A59" s="82" t="n"/>
      <c r="B59" s="82" t="n"/>
      <c r="C59" s="82" t="n"/>
      <c r="D59" s="82" t="n"/>
      <c r="E59" s="82" t="n"/>
      <c r="F59" s="82" t="n"/>
      <c r="G59" s="82" t="n"/>
    </row>
    <row r="60">
      <c r="A60" s="82" t="n"/>
      <c r="B60" s="82" t="n"/>
      <c r="C60" s="82" t="n"/>
      <c r="D60" s="82" t="n"/>
      <c r="E60" s="82" t="n"/>
      <c r="F60" s="82" t="n"/>
      <c r="G60" s="82" t="n"/>
    </row>
    <row r="61">
      <c r="A61" s="82" t="n"/>
      <c r="B61" s="82" t="n"/>
      <c r="C61" s="82" t="n"/>
      <c r="D61" s="82" t="n"/>
      <c r="E61" s="82" t="n"/>
      <c r="F61" s="82" t="n"/>
      <c r="G61" s="82" t="n"/>
    </row>
    <row r="62">
      <c r="A62" s="82" t="n"/>
      <c r="B62" s="82" t="n"/>
      <c r="C62" s="82" t="n"/>
      <c r="D62" s="82" t="n"/>
      <c r="E62" s="82" t="n"/>
      <c r="F62" s="82" t="n"/>
      <c r="G62" s="82" t="n"/>
    </row>
    <row r="63">
      <c r="A63" s="82" t="n"/>
      <c r="B63" s="82" t="n"/>
      <c r="C63" s="82" t="n"/>
      <c r="D63" s="82" t="n"/>
      <c r="E63" s="82" t="n"/>
      <c r="F63" s="82" t="n"/>
      <c r="G63" s="82" t="n"/>
    </row>
    <row r="64">
      <c r="A64" s="82" t="n"/>
      <c r="B64" s="82" t="n"/>
      <c r="C64" s="82" t="n"/>
      <c r="D64" s="82" t="n"/>
      <c r="E64" s="82" t="n"/>
      <c r="F64" s="82" t="n"/>
      <c r="G64" s="82" t="n"/>
    </row>
    <row r="65">
      <c r="A65" s="82" t="n"/>
      <c r="B65" s="82" t="n"/>
      <c r="C65" s="82" t="n"/>
      <c r="D65" s="82" t="n"/>
      <c r="E65" s="82" t="n"/>
      <c r="F65" s="82" t="n"/>
      <c r="G65" s="82" t="n"/>
    </row>
    <row r="66">
      <c r="A66" s="82" t="n"/>
      <c r="B66" s="82" t="n"/>
      <c r="C66" s="82" t="n"/>
      <c r="D66" s="82" t="n"/>
      <c r="E66" s="82" t="n"/>
      <c r="F66" s="82" t="n"/>
      <c r="G66" s="82" t="n"/>
    </row>
    <row r="67">
      <c r="A67" s="82" t="n"/>
      <c r="B67" s="82" t="n"/>
      <c r="C67" s="82" t="n"/>
      <c r="D67" s="82" t="n"/>
      <c r="E67" s="82" t="n"/>
      <c r="F67" s="82" t="n"/>
      <c r="G67" s="82" t="n"/>
    </row>
    <row r="68">
      <c r="A68" s="82" t="n"/>
      <c r="B68" s="82" t="n"/>
      <c r="C68" s="82" t="n"/>
      <c r="D68" s="82" t="n"/>
      <c r="E68" s="82" t="n"/>
      <c r="F68" s="82" t="n"/>
      <c r="G68" s="82" t="n"/>
    </row>
    <row r="69">
      <c r="A69" s="82" t="n"/>
      <c r="B69" s="82" t="n"/>
      <c r="C69" s="82" t="n"/>
      <c r="D69" s="82" t="n"/>
      <c r="E69" s="82" t="n"/>
      <c r="F69" s="82" t="n"/>
      <c r="G69" s="82" t="n"/>
    </row>
    <row r="70">
      <c r="A70" s="82" t="n"/>
      <c r="B70" s="82" t="n"/>
      <c r="C70" s="82" t="n"/>
      <c r="D70" s="82" t="n"/>
      <c r="E70" s="82" t="n"/>
      <c r="F70" s="82" t="n"/>
      <c r="G70" s="82" t="n"/>
    </row>
    <row r="71">
      <c r="A71" s="82" t="n"/>
      <c r="B71" s="82" t="n"/>
      <c r="C71" s="82" t="n"/>
      <c r="D71" s="82" t="n"/>
      <c r="E71" s="82" t="n"/>
      <c r="F71" s="82" t="n"/>
      <c r="G71" s="82" t="n"/>
    </row>
    <row r="72">
      <c r="A72" s="82" t="n"/>
      <c r="B72" s="82" t="n"/>
      <c r="C72" s="82" t="n"/>
      <c r="D72" s="82" t="n"/>
      <c r="E72" s="82" t="n"/>
      <c r="F72" s="82" t="n"/>
      <c r="G72" s="82" t="n"/>
    </row>
    <row r="73">
      <c r="A73" s="82" t="n"/>
      <c r="B73" s="82" t="n"/>
      <c r="C73" s="82" t="n"/>
      <c r="D73" s="82" t="n"/>
      <c r="E73" s="82" t="n"/>
      <c r="F73" s="82" t="n"/>
      <c r="G73" s="82" t="n"/>
    </row>
    <row r="74">
      <c r="A74" s="82" t="n"/>
      <c r="B74" s="82" t="n"/>
      <c r="C74" s="82" t="n"/>
      <c r="D74" s="82" t="n"/>
      <c r="E74" s="82" t="n"/>
      <c r="F74" s="82" t="n"/>
      <c r="G74" s="82" t="n"/>
    </row>
    <row r="75">
      <c r="A75" s="82" t="n"/>
      <c r="B75" s="82" t="n"/>
      <c r="C75" s="82" t="n"/>
      <c r="D75" s="82" t="n"/>
      <c r="E75" s="82" t="n"/>
      <c r="F75" s="82" t="n"/>
      <c r="G75" s="82" t="n"/>
    </row>
    <row r="76">
      <c r="A76" s="82" t="n"/>
      <c r="B76" s="82" t="n"/>
      <c r="C76" s="82" t="n"/>
      <c r="D76" s="82" t="n"/>
      <c r="E76" s="82" t="n"/>
      <c r="F76" s="82" t="n"/>
      <c r="G76" s="82" t="n"/>
    </row>
    <row r="77">
      <c r="A77" s="82" t="n"/>
      <c r="B77" s="82" t="n"/>
      <c r="C77" s="82" t="n"/>
      <c r="D77" s="82" t="n"/>
      <c r="E77" s="82" t="n"/>
      <c r="F77" s="82" t="n"/>
      <c r="G77" s="82" t="n"/>
    </row>
    <row r="78">
      <c r="A78" s="82" t="n"/>
      <c r="B78" s="82" t="n"/>
      <c r="C78" s="82" t="n"/>
      <c r="D78" s="82" t="n"/>
      <c r="E78" s="82" t="n"/>
      <c r="F78" s="82" t="n"/>
      <c r="G78" s="82" t="n"/>
    </row>
    <row r="79">
      <c r="A79" s="82" t="n"/>
      <c r="B79" s="82" t="n"/>
      <c r="C79" s="82" t="n"/>
      <c r="D79" s="82" t="n"/>
      <c r="E79" s="82" t="n"/>
      <c r="F79" s="82" t="n"/>
      <c r="G79" s="82" t="n"/>
    </row>
    <row r="80">
      <c r="A80" s="82" t="n"/>
      <c r="B80" s="82" t="n"/>
      <c r="C80" s="82" t="n"/>
      <c r="D80" s="82" t="n"/>
      <c r="E80" s="82" t="n"/>
      <c r="F80" s="82" t="n"/>
      <c r="G80" s="82" t="n"/>
    </row>
    <row r="81">
      <c r="A81" s="82" t="n"/>
      <c r="B81" s="82" t="n"/>
      <c r="C81" s="82" t="n"/>
      <c r="D81" s="82" t="n"/>
      <c r="E81" s="82" t="n"/>
      <c r="F81" s="82" t="n"/>
      <c r="G81" s="82" t="n"/>
    </row>
    <row r="82">
      <c r="A82" s="82" t="n"/>
      <c r="B82" s="82" t="n"/>
      <c r="C82" s="82" t="n"/>
      <c r="D82" s="82" t="n"/>
      <c r="E82" s="82" t="n"/>
      <c r="F82" s="82" t="n"/>
      <c r="G82" s="82" t="n"/>
    </row>
    <row r="83">
      <c r="A83" s="82" t="n"/>
      <c r="B83" s="82" t="n"/>
      <c r="C83" s="82" t="n"/>
      <c r="D83" s="82" t="n"/>
      <c r="E83" s="82" t="n"/>
      <c r="F83" s="82" t="n"/>
      <c r="G83" s="82" t="n"/>
    </row>
    <row r="84">
      <c r="A84" s="82" t="n"/>
      <c r="B84" s="82" t="n"/>
      <c r="C84" s="82" t="n"/>
      <c r="D84" s="82" t="n"/>
      <c r="E84" s="82" t="n"/>
      <c r="F84" s="82" t="n"/>
      <c r="G84" s="82" t="n"/>
    </row>
    <row r="85">
      <c r="A85" s="82" t="n"/>
      <c r="B85" s="82" t="n"/>
      <c r="C85" s="82" t="n"/>
      <c r="D85" s="82" t="n"/>
      <c r="E85" s="82" t="n"/>
      <c r="F85" s="82" t="n"/>
      <c r="G85" s="82" t="n"/>
    </row>
    <row r="86">
      <c r="A86" s="82" t="n"/>
      <c r="B86" s="82" t="n"/>
      <c r="C86" s="82" t="n"/>
      <c r="D86" s="82" t="n"/>
      <c r="E86" s="82" t="n"/>
      <c r="F86" s="82" t="n"/>
      <c r="G86" s="82" t="n"/>
    </row>
    <row r="87">
      <c r="A87" s="82" t="n"/>
      <c r="B87" s="82" t="n"/>
      <c r="C87" s="82" t="n"/>
      <c r="D87" s="82" t="n"/>
      <c r="E87" s="82" t="n"/>
      <c r="F87" s="82" t="n"/>
      <c r="G87" s="82" t="n"/>
    </row>
    <row r="88">
      <c r="A88" s="82" t="n"/>
      <c r="B88" s="82" t="n"/>
      <c r="C88" s="82" t="n"/>
      <c r="D88" s="82" t="n"/>
      <c r="E88" s="82" t="n"/>
      <c r="F88" s="82" t="n"/>
      <c r="G88" s="82" t="n"/>
    </row>
    <row r="89">
      <c r="A89" s="82" t="n"/>
      <c r="B89" s="82" t="n"/>
      <c r="C89" s="82" t="n"/>
      <c r="D89" s="82" t="n"/>
      <c r="E89" s="82" t="n"/>
      <c r="F89" s="82" t="n"/>
      <c r="G89" s="82" t="n"/>
    </row>
    <row r="90">
      <c r="A90" s="82" t="n"/>
      <c r="B90" s="82" t="n"/>
      <c r="C90" s="82" t="n"/>
      <c r="D90" s="82" t="n"/>
      <c r="E90" s="82" t="n"/>
      <c r="F90" s="82" t="n"/>
      <c r="G90" s="82" t="n"/>
    </row>
    <row r="91">
      <c r="A91" s="82" t="n"/>
      <c r="B91" s="82" t="n"/>
      <c r="C91" s="82" t="n"/>
      <c r="D91" s="82" t="n"/>
      <c r="E91" s="82" t="n"/>
      <c r="F91" s="82" t="n"/>
      <c r="G91" s="82" t="n"/>
    </row>
    <row r="92">
      <c r="A92" s="82" t="n"/>
      <c r="B92" s="82" t="n"/>
      <c r="C92" s="82" t="n"/>
      <c r="D92" s="82" t="n"/>
      <c r="E92" s="82" t="n"/>
      <c r="F92" s="82" t="n"/>
      <c r="G92" s="82" t="n"/>
    </row>
    <row r="93">
      <c r="A93" s="82" t="n"/>
      <c r="B93" s="82" t="n"/>
      <c r="C93" s="82" t="n"/>
      <c r="D93" s="82" t="n"/>
      <c r="E93" s="82" t="n"/>
      <c r="F93" s="82" t="n"/>
      <c r="G93" s="82" t="n"/>
    </row>
    <row r="94">
      <c r="A94" s="82" t="n"/>
      <c r="B94" s="82" t="n"/>
      <c r="C94" s="82" t="n"/>
      <c r="D94" s="82" t="n"/>
      <c r="E94" s="82" t="n"/>
      <c r="F94" s="82" t="n"/>
      <c r="G94" s="82" t="n"/>
    </row>
    <row r="95">
      <c r="A95" s="82" t="n"/>
      <c r="B95" s="82" t="n"/>
      <c r="C95" s="82" t="n"/>
      <c r="D95" s="82" t="n"/>
      <c r="E95" s="82" t="n"/>
      <c r="F95" s="82" t="n"/>
      <c r="G95" s="82" t="n"/>
    </row>
    <row r="96">
      <c r="A96" s="82" t="n"/>
      <c r="B96" s="82" t="n"/>
      <c r="C96" s="82" t="n"/>
      <c r="D96" s="82" t="n"/>
      <c r="E96" s="82" t="n"/>
      <c r="F96" s="82" t="n"/>
      <c r="G96" s="82" t="n"/>
    </row>
    <row r="97">
      <c r="A97" s="82" t="n"/>
      <c r="B97" s="82" t="n"/>
      <c r="C97" s="82" t="n"/>
      <c r="D97" s="82" t="n"/>
      <c r="E97" s="82" t="n"/>
      <c r="F97" s="82" t="n"/>
      <c r="G97" s="82" t="n"/>
    </row>
    <row r="98">
      <c r="A98" s="82" t="n"/>
      <c r="B98" s="82" t="n"/>
      <c r="C98" s="82" t="n"/>
      <c r="D98" s="82" t="n"/>
      <c r="E98" s="82" t="n"/>
      <c r="F98" s="82" t="n"/>
      <c r="G98" s="82" t="n"/>
    </row>
    <row r="99">
      <c r="A99" s="82" t="n"/>
      <c r="B99" s="82" t="n"/>
      <c r="C99" s="82" t="n"/>
      <c r="D99" s="82" t="n"/>
      <c r="E99" s="82" t="n"/>
      <c r="F99" s="82" t="n"/>
      <c r="G99" s="82" t="n"/>
    </row>
    <row r="100">
      <c r="A100" s="82" t="n"/>
      <c r="B100" s="82" t="n"/>
      <c r="C100" s="82" t="n"/>
      <c r="D100" s="82" t="n"/>
      <c r="E100" s="82" t="n"/>
      <c r="F100" s="82" t="n"/>
      <c r="G100" s="82" t="n"/>
    </row>
    <row r="101">
      <c r="A101" s="82" t="n"/>
      <c r="B101" s="82" t="n"/>
      <c r="C101" s="82" t="n"/>
      <c r="D101" s="82" t="n"/>
      <c r="E101" s="82" t="n"/>
      <c r="F101" s="82" t="n"/>
      <c r="G101" s="82" t="n"/>
    </row>
    <row r="102">
      <c r="A102" s="82" t="n"/>
      <c r="B102" s="82" t="n"/>
      <c r="C102" s="82" t="n"/>
      <c r="D102" s="82" t="n"/>
      <c r="E102" s="82" t="n"/>
      <c r="F102" s="82" t="n"/>
      <c r="G102" s="82" t="n"/>
    </row>
    <row r="103">
      <c r="A103" s="82" t="n"/>
      <c r="B103" s="82" t="n"/>
      <c r="C103" s="82" t="n"/>
      <c r="D103" s="82" t="n"/>
      <c r="E103" s="82" t="n"/>
      <c r="F103" s="82" t="n"/>
      <c r="G103" s="82" t="n"/>
    </row>
    <row r="104">
      <c r="A104" s="82" t="n"/>
      <c r="B104" s="82" t="n"/>
      <c r="C104" s="82" t="n"/>
      <c r="D104" s="82" t="n"/>
      <c r="E104" s="82" t="n"/>
      <c r="F104" s="82" t="n"/>
      <c r="G104" s="82" t="n"/>
    </row>
    <row r="105">
      <c r="A105" s="82" t="n"/>
      <c r="B105" s="82" t="n"/>
      <c r="C105" s="82" t="n"/>
      <c r="D105" s="82" t="n"/>
      <c r="E105" s="82" t="n"/>
      <c r="F105" s="82" t="n"/>
      <c r="G105" s="82" t="n"/>
    </row>
    <row r="106">
      <c r="A106" s="82" t="n"/>
      <c r="B106" s="82" t="n"/>
      <c r="C106" s="82" t="n"/>
      <c r="D106" s="82" t="n"/>
      <c r="E106" s="82" t="n"/>
      <c r="F106" s="82" t="n"/>
      <c r="G106" s="82" t="n"/>
    </row>
    <row r="107">
      <c r="A107" s="82" t="n"/>
      <c r="B107" s="82" t="n"/>
      <c r="C107" s="82" t="n"/>
      <c r="D107" s="82" t="n"/>
      <c r="E107" s="82" t="n"/>
      <c r="F107" s="82" t="n"/>
      <c r="G107" s="82" t="n"/>
    </row>
    <row r="108">
      <c r="A108" s="82" t="n"/>
      <c r="B108" s="82" t="n"/>
      <c r="C108" s="82" t="n"/>
      <c r="D108" s="82" t="n"/>
      <c r="E108" s="82" t="n"/>
      <c r="F108" s="82" t="n"/>
      <c r="G108" s="82" t="n"/>
    </row>
    <row r="109">
      <c r="A109" s="82" t="n"/>
      <c r="B109" s="82" t="n"/>
      <c r="C109" s="82" t="n"/>
      <c r="D109" s="82" t="n"/>
      <c r="E109" s="82" t="n"/>
      <c r="F109" s="82" t="n"/>
      <c r="G109" s="82" t="n"/>
    </row>
    <row r="110">
      <c r="A110" s="82" t="n"/>
      <c r="B110" s="82" t="n"/>
      <c r="C110" s="82" t="n"/>
      <c r="D110" s="82" t="n"/>
      <c r="E110" s="82" t="n"/>
      <c r="F110" s="82" t="n"/>
      <c r="G110" s="82" t="n"/>
    </row>
    <row r="111">
      <c r="A111" s="82" t="n"/>
      <c r="B111" s="82" t="n"/>
      <c r="C111" s="82" t="n"/>
      <c r="D111" s="82" t="n"/>
      <c r="E111" s="82" t="n"/>
      <c r="F111" s="82" t="n"/>
      <c r="G111" s="82" t="n"/>
    </row>
    <row r="112">
      <c r="A112" s="82" t="n"/>
      <c r="B112" s="82" t="n"/>
      <c r="C112" s="82" t="n"/>
      <c r="D112" s="82" t="n"/>
      <c r="E112" s="82" t="n"/>
      <c r="F112" s="82" t="n"/>
      <c r="G112" s="82" t="n"/>
    </row>
    <row r="113">
      <c r="A113" s="82" t="n"/>
      <c r="B113" s="82" t="n"/>
      <c r="C113" s="82" t="n"/>
      <c r="D113" s="82" t="n"/>
      <c r="E113" s="82" t="n"/>
      <c r="F113" s="82" t="n"/>
      <c r="G113" s="82" t="n"/>
    </row>
    <row r="114">
      <c r="A114" s="82" t="n"/>
      <c r="B114" s="82" t="n"/>
      <c r="C114" s="82" t="n"/>
      <c r="D114" s="82" t="n"/>
      <c r="E114" s="82" t="n"/>
      <c r="F114" s="82" t="n"/>
      <c r="G114" s="82" t="n"/>
    </row>
    <row r="115">
      <c r="A115" s="82" t="n"/>
      <c r="B115" s="82" t="n"/>
      <c r="C115" s="82" t="n"/>
      <c r="D115" s="82" t="n"/>
      <c r="E115" s="82" t="n"/>
      <c r="F115" s="82" t="n"/>
      <c r="G115" s="82" t="n"/>
    </row>
    <row r="116">
      <c r="A116" s="82" t="n"/>
      <c r="B116" s="82" t="n"/>
      <c r="C116" s="82" t="n"/>
      <c r="D116" s="82" t="n"/>
      <c r="E116" s="82" t="n"/>
      <c r="F116" s="82" t="n"/>
      <c r="G116" s="82" t="n"/>
    </row>
    <row r="117">
      <c r="A117" s="82" t="n"/>
      <c r="B117" s="82" t="n"/>
      <c r="C117" s="82" t="n"/>
      <c r="D117" s="82" t="n"/>
      <c r="E117" s="82" t="n"/>
      <c r="F117" s="82" t="n"/>
      <c r="G117" s="82" t="n"/>
    </row>
    <row r="118">
      <c r="A118" s="82" t="n"/>
      <c r="B118" s="82" t="n"/>
      <c r="C118" s="82" t="n"/>
      <c r="D118" s="82" t="n"/>
      <c r="E118" s="82" t="n"/>
      <c r="F118" s="82" t="n"/>
      <c r="G118" s="82" t="n"/>
    </row>
    <row r="119">
      <c r="A119" s="82" t="n"/>
      <c r="B119" s="82" t="n"/>
      <c r="C119" s="82" t="n"/>
      <c r="D119" s="82" t="n"/>
      <c r="E119" s="82" t="n"/>
      <c r="F119" s="82" t="n"/>
      <c r="G119" s="82" t="n"/>
    </row>
    <row r="120">
      <c r="A120" s="82" t="n"/>
      <c r="B120" s="82" t="n"/>
      <c r="C120" s="82" t="n"/>
      <c r="D120" s="82" t="n"/>
      <c r="E120" s="82" t="n"/>
      <c r="F120" s="82" t="n"/>
      <c r="G120" s="82" t="n"/>
    </row>
    <row r="121">
      <c r="A121" s="82" t="n"/>
      <c r="B121" s="82" t="n"/>
      <c r="C121" s="82" t="n"/>
      <c r="D121" s="82" t="n"/>
      <c r="E121" s="82" t="n"/>
      <c r="F121" s="82" t="n"/>
      <c r="G121" s="82" t="n"/>
    </row>
    <row r="122">
      <c r="A122" s="82" t="n"/>
      <c r="B122" s="82" t="n"/>
      <c r="C122" s="82" t="n"/>
      <c r="D122" s="82" t="n"/>
      <c r="E122" s="82" t="n"/>
      <c r="F122" s="82" t="n"/>
      <c r="G122" s="82" t="n"/>
    </row>
    <row r="123">
      <c r="A123" s="82" t="n"/>
      <c r="B123" s="82" t="n"/>
      <c r="C123" s="82" t="n"/>
      <c r="D123" s="82" t="n"/>
      <c r="E123" s="82" t="n"/>
      <c r="F123" s="82" t="n"/>
      <c r="G123" s="82" t="n"/>
    </row>
    <row r="124">
      <c r="A124" s="82" t="n"/>
      <c r="B124" s="82" t="n"/>
      <c r="C124" s="82" t="n"/>
      <c r="D124" s="82" t="n"/>
      <c r="E124" s="82" t="n"/>
      <c r="F124" s="82" t="n"/>
      <c r="G124" s="82" t="n"/>
    </row>
    <row r="125">
      <c r="A125" s="82" t="n"/>
      <c r="B125" s="82" t="n"/>
      <c r="C125" s="82" t="n"/>
      <c r="D125" s="82" t="n"/>
      <c r="E125" s="82" t="n"/>
      <c r="F125" s="82" t="n"/>
      <c r="G125" s="82" t="n"/>
    </row>
    <row r="126">
      <c r="A126" s="82" t="n"/>
      <c r="B126" s="82" t="n"/>
      <c r="C126" s="82" t="n"/>
      <c r="D126" s="82" t="n"/>
      <c r="E126" s="82" t="n"/>
      <c r="F126" s="82" t="n"/>
      <c r="G126" s="82" t="n"/>
    </row>
    <row r="127">
      <c r="A127" s="82" t="n"/>
      <c r="B127" s="82" t="n"/>
      <c r="C127" s="82" t="n"/>
      <c r="D127" s="82" t="n"/>
      <c r="E127" s="82" t="n"/>
      <c r="F127" s="82" t="n"/>
      <c r="G127" s="82" t="n"/>
    </row>
    <row r="128">
      <c r="A128" s="82" t="n"/>
      <c r="B128" s="82" t="n"/>
      <c r="C128" s="82" t="n"/>
      <c r="D128" s="82" t="n"/>
      <c r="E128" s="82" t="n"/>
      <c r="F128" s="82" t="n"/>
      <c r="G128" s="82" t="n"/>
    </row>
    <row r="129">
      <c r="A129" s="82" t="n"/>
      <c r="B129" s="82" t="n"/>
      <c r="C129" s="82" t="n"/>
      <c r="D129" s="82" t="n"/>
      <c r="E129" s="82" t="n"/>
      <c r="F129" s="82" t="n"/>
      <c r="G129" s="82" t="n"/>
    </row>
    <row r="130">
      <c r="A130" s="82" t="n"/>
      <c r="B130" s="82" t="n"/>
      <c r="C130" s="82" t="n"/>
      <c r="D130" s="82" t="n"/>
      <c r="E130" s="82" t="n"/>
      <c r="F130" s="82" t="n"/>
      <c r="G130" s="82" t="n"/>
    </row>
    <row r="131">
      <c r="A131" s="82" t="n"/>
      <c r="B131" s="82" t="n"/>
      <c r="C131" s="82" t="n"/>
      <c r="D131" s="82" t="n"/>
      <c r="E131" s="82" t="n"/>
      <c r="F131" s="82" t="n"/>
      <c r="G131" s="82" t="n"/>
    </row>
    <row r="132">
      <c r="A132" s="82" t="n"/>
      <c r="B132" s="82" t="n"/>
      <c r="C132" s="82" t="n"/>
      <c r="D132" s="82" t="n"/>
      <c r="E132" s="82" t="n"/>
      <c r="F132" s="82" t="n"/>
      <c r="G132" s="82" t="n"/>
    </row>
    <row r="133">
      <c r="A133" s="82" t="n"/>
      <c r="B133" s="82" t="n"/>
      <c r="C133" s="82" t="n"/>
      <c r="D133" s="82" t="n"/>
      <c r="E133" s="82" t="n"/>
      <c r="F133" s="82" t="n"/>
      <c r="G133" s="82" t="n"/>
    </row>
    <row r="134">
      <c r="A134" s="82" t="n"/>
      <c r="B134" s="82" t="n"/>
      <c r="C134" s="82" t="n"/>
      <c r="D134" s="82" t="n"/>
      <c r="E134" s="82" t="n"/>
      <c r="F134" s="82" t="n"/>
      <c r="G134" s="82" t="n"/>
    </row>
    <row r="135">
      <c r="A135" s="82" t="n"/>
      <c r="B135" s="82" t="n"/>
      <c r="C135" s="82" t="n"/>
      <c r="D135" s="82" t="n"/>
      <c r="E135" s="82" t="n"/>
      <c r="F135" s="82" t="n"/>
      <c r="G135" s="82" t="n"/>
    </row>
    <row r="136">
      <c r="A136" s="82" t="n"/>
      <c r="B136" s="82" t="n"/>
      <c r="C136" s="82" t="n"/>
      <c r="D136" s="82" t="n"/>
      <c r="E136" s="82" t="n"/>
      <c r="F136" s="82" t="n"/>
      <c r="G136" s="82" t="n"/>
    </row>
    <row r="137">
      <c r="A137" s="82" t="n"/>
      <c r="B137" s="82" t="n"/>
      <c r="C137" s="82" t="n"/>
      <c r="D137" s="82" t="n"/>
      <c r="E137" s="82" t="n"/>
      <c r="F137" s="82" t="n"/>
      <c r="G137" s="82" t="n"/>
    </row>
    <row r="138">
      <c r="A138" s="82" t="n"/>
      <c r="B138" s="82" t="n"/>
      <c r="C138" s="82" t="n"/>
      <c r="D138" s="82" t="n"/>
      <c r="E138" s="82" t="n"/>
      <c r="F138" s="82" t="n"/>
      <c r="G138" s="82" t="n"/>
    </row>
    <row r="139">
      <c r="A139" s="82" t="n"/>
      <c r="B139" s="82" t="n"/>
      <c r="C139" s="82" t="n"/>
      <c r="D139" s="82" t="n"/>
      <c r="E139" s="82" t="n"/>
      <c r="F139" s="82" t="n"/>
      <c r="G139" s="82" t="n"/>
    </row>
    <row r="140">
      <c r="A140" s="82" t="n"/>
      <c r="B140" s="82" t="n"/>
      <c r="C140" s="82" t="n"/>
      <c r="D140" s="82" t="n"/>
      <c r="E140" s="82" t="n"/>
      <c r="F140" s="82" t="n"/>
      <c r="G140" s="82" t="n"/>
    </row>
    <row r="141">
      <c r="A141" s="82" t="n"/>
      <c r="B141" s="82" t="n"/>
      <c r="C141" s="82" t="n"/>
      <c r="D141" s="82" t="n"/>
      <c r="E141" s="82" t="n"/>
      <c r="F141" s="82" t="n"/>
      <c r="G141" s="82" t="n"/>
    </row>
    <row r="142">
      <c r="A142" s="82" t="n"/>
      <c r="B142" s="82" t="n"/>
      <c r="C142" s="82" t="n"/>
      <c r="D142" s="82" t="n"/>
      <c r="E142" s="82" t="n"/>
      <c r="F142" s="82" t="n"/>
      <c r="G142" s="82" t="n"/>
    </row>
    <row r="143">
      <c r="A143" s="82" t="n"/>
      <c r="B143" s="82" t="n"/>
      <c r="C143" s="82" t="n"/>
      <c r="D143" s="82" t="n"/>
      <c r="E143" s="82" t="n"/>
      <c r="F143" s="82" t="n"/>
      <c r="G143" s="82" t="n"/>
    </row>
    <row r="144">
      <c r="A144" s="82" t="n"/>
      <c r="B144" s="82" t="n"/>
      <c r="C144" s="82" t="n"/>
      <c r="D144" s="82" t="n"/>
      <c r="E144" s="82" t="n"/>
      <c r="F144" s="82" t="n"/>
      <c r="G144" s="82" t="n"/>
    </row>
    <row r="145">
      <c r="A145" s="82" t="n"/>
      <c r="B145" s="82" t="n"/>
      <c r="C145" s="82" t="n"/>
      <c r="D145" s="82" t="n"/>
      <c r="E145" s="82" t="n"/>
      <c r="F145" s="82" t="n"/>
      <c r="G145" s="82" t="n"/>
    </row>
    <row r="146">
      <c r="A146" s="82" t="n"/>
      <c r="B146" s="82" t="n"/>
      <c r="C146" s="82" t="n"/>
      <c r="D146" s="82" t="n"/>
      <c r="E146" s="82" t="n"/>
      <c r="F146" s="82" t="n"/>
      <c r="G146" s="82" t="n"/>
    </row>
    <row r="147">
      <c r="A147" s="82" t="n"/>
      <c r="B147" s="82" t="n"/>
      <c r="C147" s="82" t="n"/>
      <c r="D147" s="82" t="n"/>
      <c r="E147" s="82" t="n"/>
      <c r="F147" s="82" t="n"/>
      <c r="G147" s="82" t="n"/>
    </row>
    <row r="148">
      <c r="A148" s="82" t="n"/>
      <c r="B148" s="82" t="n"/>
      <c r="C148" s="82" t="n"/>
      <c r="D148" s="82" t="n"/>
      <c r="E148" s="82" t="n"/>
      <c r="F148" s="82" t="n"/>
      <c r="G148" s="82" t="n"/>
    </row>
    <row r="149">
      <c r="A149" s="82" t="n"/>
      <c r="B149" s="82" t="n"/>
      <c r="C149" s="82" t="n"/>
      <c r="D149" s="82" t="n"/>
      <c r="E149" s="82" t="n"/>
      <c r="F149" s="82" t="n"/>
      <c r="G149" s="82" t="n"/>
    </row>
    <row r="150">
      <c r="A150" s="82" t="n"/>
      <c r="B150" s="82" t="n"/>
      <c r="C150" s="82" t="n"/>
      <c r="D150" s="82" t="n"/>
      <c r="E150" s="82" t="n"/>
      <c r="F150" s="82" t="n"/>
      <c r="G150" s="82" t="n"/>
    </row>
    <row r="151">
      <c r="A151" s="82" t="n"/>
      <c r="B151" s="82" t="n"/>
      <c r="C151" s="82" t="n"/>
      <c r="D151" s="82" t="n"/>
      <c r="E151" s="82" t="n"/>
      <c r="F151" s="82" t="n"/>
      <c r="G151" s="82" t="n"/>
    </row>
    <row r="152">
      <c r="A152" s="82" t="n"/>
      <c r="B152" s="82" t="n"/>
      <c r="C152" s="82" t="n"/>
      <c r="D152" s="82" t="n"/>
      <c r="E152" s="82" t="n"/>
      <c r="F152" s="82" t="n"/>
      <c r="G152" s="82" t="n"/>
    </row>
    <row r="153">
      <c r="A153" s="82" t="n"/>
      <c r="B153" s="82" t="n"/>
      <c r="C153" s="82" t="n"/>
      <c r="D153" s="82" t="n"/>
      <c r="E153" s="82" t="n"/>
      <c r="F153" s="82" t="n"/>
      <c r="G153" s="82" t="n"/>
    </row>
    <row r="154">
      <c r="A154" s="82" t="n"/>
      <c r="B154" s="82" t="n"/>
      <c r="C154" s="82" t="n"/>
      <c r="D154" s="82" t="n"/>
      <c r="E154" s="82" t="n"/>
      <c r="F154" s="82" t="n"/>
      <c r="G154" s="82" t="n"/>
    </row>
    <row r="155">
      <c r="A155" s="82" t="n"/>
      <c r="B155" s="82" t="n"/>
      <c r="C155" s="82" t="n"/>
      <c r="D155" s="82" t="n"/>
      <c r="E155" s="82" t="n"/>
      <c r="F155" s="82" t="n"/>
      <c r="G155" s="82" t="n"/>
    </row>
    <row r="156">
      <c r="A156" s="82" t="n"/>
      <c r="B156" s="82" t="n"/>
      <c r="C156" s="82" t="n"/>
      <c r="D156" s="82" t="n"/>
      <c r="E156" s="82" t="n"/>
      <c r="F156" s="82" t="n"/>
      <c r="G156" s="82" t="n"/>
    </row>
    <row r="157">
      <c r="A157" s="82" t="n"/>
      <c r="B157" s="82" t="n"/>
      <c r="C157" s="82" t="n"/>
      <c r="D157" s="82" t="n"/>
      <c r="E157" s="82" t="n"/>
      <c r="F157" s="82" t="n"/>
      <c r="G157" s="82" t="n"/>
    </row>
    <row r="158">
      <c r="A158" s="82" t="n"/>
      <c r="B158" s="82" t="n"/>
      <c r="C158" s="82" t="n"/>
      <c r="D158" s="82" t="n"/>
      <c r="E158" s="82" t="n"/>
      <c r="F158" s="82" t="n"/>
      <c r="G158" s="82" t="n"/>
    </row>
    <row r="159">
      <c r="A159" s="82" t="n"/>
      <c r="B159" s="82" t="n"/>
      <c r="C159" s="82" t="n"/>
      <c r="D159" s="82" t="n"/>
      <c r="E159" s="82" t="n"/>
      <c r="F159" s="82" t="n"/>
      <c r="G159" s="82" t="n"/>
    </row>
    <row r="160">
      <c r="A160" s="82" t="n"/>
      <c r="B160" s="82" t="n"/>
      <c r="C160" s="82" t="n"/>
      <c r="D160" s="82" t="n"/>
      <c r="E160" s="82" t="n"/>
      <c r="F160" s="82" t="n"/>
      <c r="G160" s="82" t="n"/>
    </row>
    <row r="161">
      <c r="A161" s="82" t="n"/>
      <c r="B161" s="82" t="n"/>
      <c r="C161" s="82" t="n"/>
      <c r="D161" s="82" t="n"/>
      <c r="E161" s="82" t="n"/>
      <c r="F161" s="82" t="n"/>
      <c r="G161" s="82" t="n"/>
    </row>
    <row r="162">
      <c r="A162" s="82" t="n"/>
      <c r="B162" s="82" t="n"/>
      <c r="C162" s="82" t="n"/>
      <c r="D162" s="82" t="n"/>
      <c r="E162" s="82" t="n"/>
      <c r="F162" s="82" t="n"/>
      <c r="G162" s="82" t="n"/>
    </row>
    <row r="163">
      <c r="A163" s="82" t="n"/>
      <c r="B163" s="82" t="n"/>
      <c r="C163" s="82" t="n"/>
      <c r="D163" s="82" t="n"/>
      <c r="E163" s="82" t="n"/>
      <c r="F163" s="82" t="n"/>
      <c r="G163" s="82" t="n"/>
    </row>
    <row r="164">
      <c r="A164" s="82" t="n"/>
      <c r="B164" s="82" t="n"/>
      <c r="C164" s="82" t="n"/>
      <c r="D164" s="82" t="n"/>
      <c r="E164" s="82" t="n"/>
      <c r="F164" s="82" t="n"/>
      <c r="G164" s="82" t="n"/>
    </row>
    <row r="165">
      <c r="A165" s="82" t="n"/>
      <c r="B165" s="82" t="n"/>
      <c r="C165" s="82" t="n"/>
      <c r="D165" s="82" t="n"/>
      <c r="E165" s="82" t="n"/>
      <c r="F165" s="82" t="n"/>
      <c r="G165" s="82" t="n"/>
    </row>
    <row r="166">
      <c r="A166" s="82" t="n"/>
      <c r="B166" s="82" t="n"/>
      <c r="C166" s="82" t="n"/>
      <c r="D166" s="82" t="n"/>
      <c r="E166" s="82" t="n"/>
      <c r="F166" s="82" t="n"/>
      <c r="G166" s="82" t="n"/>
    </row>
    <row r="167">
      <c r="A167" s="82" t="n"/>
      <c r="B167" s="82" t="n"/>
      <c r="C167" s="82" t="n"/>
      <c r="D167" s="82" t="n"/>
      <c r="E167" s="82" t="n"/>
      <c r="F167" s="82" t="n"/>
      <c r="G167" s="82" t="n"/>
    </row>
    <row r="168">
      <c r="A168" s="82" t="n"/>
      <c r="B168" s="82" t="n"/>
      <c r="C168" s="82" t="n"/>
      <c r="D168" s="82" t="n"/>
      <c r="E168" s="82" t="n"/>
      <c r="F168" s="82" t="n"/>
      <c r="G168" s="82" t="n"/>
    </row>
    <row r="169">
      <c r="A169" s="82" t="n"/>
      <c r="B169" s="82" t="n"/>
      <c r="C169" s="82" t="n"/>
      <c r="D169" s="82" t="n"/>
      <c r="E169" s="82" t="n"/>
      <c r="F169" s="82" t="n"/>
      <c r="G169" s="82" t="n"/>
    </row>
    <row r="170">
      <c r="A170" s="82" t="n"/>
      <c r="B170" s="82" t="n"/>
      <c r="C170" s="82" t="n"/>
      <c r="D170" s="82" t="n"/>
      <c r="E170" s="82" t="n"/>
      <c r="F170" s="82" t="n"/>
      <c r="G170" s="82" t="n"/>
    </row>
    <row r="171">
      <c r="A171" s="82" t="n"/>
      <c r="B171" s="82" t="n"/>
      <c r="C171" s="82" t="n"/>
      <c r="D171" s="82" t="n"/>
      <c r="E171" s="82" t="n"/>
      <c r="F171" s="82" t="n"/>
      <c r="G171" s="82" t="n"/>
    </row>
    <row r="172">
      <c r="A172" s="82" t="n"/>
      <c r="B172" s="82" t="n"/>
      <c r="C172" s="82" t="n"/>
      <c r="D172" s="82" t="n"/>
      <c r="E172" s="82" t="n"/>
      <c r="F172" s="82" t="n"/>
      <c r="G172" s="82" t="n"/>
    </row>
    <row r="173">
      <c r="A173" s="82" t="n"/>
      <c r="B173" s="82" t="n"/>
      <c r="C173" s="82" t="n"/>
      <c r="D173" s="82" t="n"/>
      <c r="E173" s="82" t="n"/>
      <c r="F173" s="82" t="n"/>
      <c r="G173" s="82" t="n"/>
    </row>
    <row r="174">
      <c r="A174" s="82" t="n"/>
      <c r="B174" s="82" t="n"/>
      <c r="C174" s="82" t="n"/>
      <c r="D174" s="82" t="n"/>
      <c r="E174" s="82" t="n"/>
      <c r="F174" s="82" t="n"/>
      <c r="G174" s="82" t="n"/>
    </row>
    <row r="175">
      <c r="A175" s="82" t="n"/>
      <c r="B175" s="82" t="n"/>
      <c r="C175" s="82" t="n"/>
      <c r="D175" s="82" t="n"/>
      <c r="E175" s="82" t="n"/>
      <c r="F175" s="82" t="n"/>
      <c r="G175" s="82" t="n"/>
    </row>
    <row r="176">
      <c r="A176" s="82" t="n"/>
      <c r="B176" s="82" t="n"/>
      <c r="C176" s="82" t="n"/>
      <c r="D176" s="82" t="n"/>
      <c r="E176" s="82" t="n"/>
      <c r="F176" s="82" t="n"/>
      <c r="G176" s="82" t="n"/>
    </row>
    <row r="177">
      <c r="A177" s="82" t="n"/>
      <c r="B177" s="82" t="n"/>
      <c r="C177" s="82" t="n"/>
      <c r="D177" s="82" t="n"/>
      <c r="E177" s="82" t="n"/>
      <c r="F177" s="82" t="n"/>
      <c r="G177" s="82" t="n"/>
    </row>
    <row r="178">
      <c r="A178" s="82" t="n"/>
      <c r="B178" s="82" t="n"/>
      <c r="C178" s="82" t="n"/>
      <c r="D178" s="82" t="n"/>
      <c r="E178" s="82" t="n"/>
      <c r="F178" s="82" t="n"/>
      <c r="G178" s="82" t="n"/>
    </row>
    <row r="179">
      <c r="A179" s="82" t="n"/>
      <c r="B179" s="82" t="n"/>
      <c r="C179" s="82" t="n"/>
      <c r="D179" s="82" t="n"/>
      <c r="E179" s="82" t="n"/>
      <c r="F179" s="82" t="n"/>
      <c r="G179" s="82" t="n"/>
    </row>
    <row r="180">
      <c r="A180" s="82" t="n"/>
      <c r="B180" s="82" t="n"/>
      <c r="C180" s="82" t="n"/>
      <c r="D180" s="82" t="n"/>
      <c r="E180" s="82" t="n"/>
      <c r="F180" s="82" t="n"/>
      <c r="G180" s="82" t="n"/>
    </row>
    <row r="181">
      <c r="A181" s="82" t="n"/>
      <c r="B181" s="82" t="n"/>
      <c r="C181" s="82" t="n"/>
      <c r="D181" s="82" t="n"/>
      <c r="E181" s="82" t="n"/>
      <c r="F181" s="82" t="n"/>
      <c r="G181" s="82" t="n"/>
    </row>
    <row r="182">
      <c r="A182" s="82" t="n"/>
      <c r="B182" s="82" t="n"/>
      <c r="C182" s="82" t="n"/>
      <c r="D182" s="82" t="n"/>
      <c r="E182" s="82" t="n"/>
      <c r="F182" s="82" t="n"/>
      <c r="G182" s="82" t="n"/>
    </row>
    <row r="183">
      <c r="A183" s="82" t="n"/>
      <c r="B183" s="82" t="n"/>
      <c r="C183" s="82" t="n"/>
      <c r="D183" s="82" t="n"/>
      <c r="E183" s="82" t="n"/>
      <c r="F183" s="82" t="n"/>
      <c r="G183" s="82" t="n"/>
    </row>
    <row r="184">
      <c r="A184" s="82" t="n"/>
      <c r="B184" s="82" t="n"/>
      <c r="C184" s="82" t="n"/>
      <c r="D184" s="82" t="n"/>
      <c r="E184" s="82" t="n"/>
      <c r="F184" s="82" t="n"/>
      <c r="G184" s="82" t="n"/>
    </row>
    <row r="185">
      <c r="A185" s="82" t="n"/>
      <c r="B185" s="82" t="n"/>
      <c r="C185" s="82" t="n"/>
      <c r="D185" s="82" t="n"/>
      <c r="E185" s="82" t="n"/>
      <c r="F185" s="82" t="n"/>
      <c r="G185" s="82" t="n"/>
    </row>
    <row r="186">
      <c r="A186" s="82" t="n"/>
      <c r="B186" s="82" t="n"/>
      <c r="C186" s="82" t="n"/>
      <c r="D186" s="82" t="n"/>
      <c r="E186" s="82" t="n"/>
      <c r="F186" s="82" t="n"/>
      <c r="G186" s="82" t="n"/>
    </row>
    <row r="187">
      <c r="A187" s="82" t="n"/>
      <c r="B187" s="82" t="n"/>
      <c r="C187" s="82" t="n"/>
      <c r="D187" s="82" t="n"/>
      <c r="E187" s="82" t="n"/>
      <c r="F187" s="82" t="n"/>
      <c r="G187" s="82" t="n"/>
    </row>
    <row r="188">
      <c r="A188" s="82" t="n"/>
      <c r="B188" s="82" t="n"/>
      <c r="C188" s="82" t="n"/>
      <c r="D188" s="82" t="n"/>
      <c r="E188" s="82" t="n"/>
      <c r="F188" s="82" t="n"/>
      <c r="G188" s="82" t="n"/>
    </row>
    <row r="189">
      <c r="A189" s="82" t="n"/>
      <c r="B189" s="82" t="n"/>
      <c r="C189" s="82" t="n"/>
      <c r="D189" s="82" t="n"/>
      <c r="E189" s="82" t="n"/>
      <c r="F189" s="82" t="n"/>
      <c r="G189" s="82" t="n"/>
    </row>
    <row r="190">
      <c r="A190" s="82" t="n"/>
      <c r="B190" s="82" t="n"/>
      <c r="C190" s="82" t="n"/>
      <c r="D190" s="82" t="n"/>
      <c r="E190" s="82" t="n"/>
      <c r="F190" s="82" t="n"/>
      <c r="G190" s="82" t="n"/>
    </row>
    <row r="191">
      <c r="A191" s="82" t="n"/>
      <c r="B191" s="82" t="n"/>
      <c r="C191" s="82" t="n"/>
      <c r="D191" s="82" t="n"/>
      <c r="E191" s="82" t="n"/>
      <c r="F191" s="82" t="n"/>
      <c r="G191" s="82" t="n"/>
    </row>
    <row r="192">
      <c r="A192" s="82" t="n"/>
      <c r="B192" s="82" t="n"/>
      <c r="C192" s="82" t="n"/>
      <c r="D192" s="82" t="n"/>
      <c r="E192" s="82" t="n"/>
      <c r="F192" s="82" t="n"/>
      <c r="G192" s="82" t="n"/>
    </row>
    <row r="193">
      <c r="A193" s="82" t="n"/>
      <c r="B193" s="82" t="n"/>
      <c r="C193" s="82" t="n"/>
      <c r="D193" s="82" t="n"/>
      <c r="E193" s="82" t="n"/>
      <c r="F193" s="82" t="n"/>
      <c r="G193" s="82" t="n"/>
    </row>
    <row r="194">
      <c r="A194" s="82" t="n"/>
      <c r="B194" s="82" t="n"/>
      <c r="C194" s="82" t="n"/>
      <c r="D194" s="82" t="n"/>
      <c r="E194" s="82" t="n"/>
      <c r="F194" s="82" t="n"/>
      <c r="G194" s="82" t="n"/>
    </row>
    <row r="195">
      <c r="A195" s="82" t="n"/>
      <c r="B195" s="82" t="n"/>
      <c r="C195" s="82" t="n"/>
      <c r="D195" s="82" t="n"/>
      <c r="E195" s="82" t="n"/>
      <c r="F195" s="82" t="n"/>
      <c r="G195" s="82" t="n"/>
    </row>
    <row r="196">
      <c r="A196" s="82" t="n"/>
      <c r="B196" s="82" t="n"/>
      <c r="C196" s="82" t="n"/>
      <c r="D196" s="82" t="n"/>
      <c r="E196" s="82" t="n"/>
      <c r="F196" s="82" t="n"/>
      <c r="G196" s="82" t="n"/>
    </row>
    <row r="197">
      <c r="A197" s="82" t="n"/>
      <c r="B197" s="82" t="n"/>
      <c r="C197" s="82" t="n"/>
      <c r="D197" s="82" t="n"/>
      <c r="E197" s="82" t="n"/>
      <c r="F197" s="82" t="n"/>
      <c r="G197" s="82" t="n"/>
    </row>
    <row r="198">
      <c r="A198" s="82" t="n"/>
      <c r="B198" s="82" t="n"/>
      <c r="C198" s="82" t="n"/>
      <c r="D198" s="82" t="n"/>
      <c r="E198" s="82" t="n"/>
      <c r="F198" s="82" t="n"/>
      <c r="G198" s="82" t="n"/>
    </row>
    <row r="199">
      <c r="A199" s="82" t="n"/>
      <c r="B199" s="82" t="n"/>
      <c r="C199" s="82" t="n"/>
      <c r="D199" s="82" t="n"/>
      <c r="E199" s="82" t="n"/>
      <c r="F199" s="82" t="n"/>
      <c r="G199" s="82" t="n"/>
    </row>
    <row r="200">
      <c r="A200" s="82" t="n"/>
      <c r="B200" s="82" t="n"/>
      <c r="C200" s="82" t="n"/>
      <c r="D200" s="82" t="n"/>
      <c r="E200" s="82" t="n"/>
      <c r="F200" s="82" t="n"/>
      <c r="G200" s="82" t="n"/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autoFilter ref="A4:G14"/>
  <mergeCells count="2">
    <mergeCell ref="A2:G2"/>
    <mergeCell ref="A1:G1"/>
  </mergeCells>
  <conditionalFormatting sqref="C5:C80">
    <cfRule type="expression" priority="1" dxfId="1">
      <formula>C5="Info"</formula>
    </cfRule>
    <cfRule type="expression" priority="2" dxfId="0">
      <formula>C5="Success"</formula>
    </cfRule>
    <cfRule type="expression" priority="3" dxfId="2">
      <formula>C5="Warning"</formula>
    </cfRule>
    <cfRule type="expression" priority="4" dxfId="4">
      <formula>C5="Critical"</formula>
    </cfRule>
  </conditionalFormatting>
  <pageMargins left="0.4" right="0.4" top="0.6" bottom="0.5" header="0.25" footer="0.25"/>
  <pageSetup orientation="landscape" paperSize="3" fitToHeight="0" fitToWidth="1"/>
  <headerFooter>
    <oddHeader>&amp;LNovality Store  ·  Home Renovation System&amp;RNotifications</oddHeader>
    <oddFooter>&amp;LConfidential  ·  Digital twin of the home&amp;RPage &amp;P of &amp;N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tabColor rgb="002D5C52"/>
    <outlinePr summaryBelow="1" summaryRight="1"/>
    <pageSetUpPr fitToPage="1"/>
  </sheetPr>
  <dimension ref="A1:I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8" customWidth="1" min="4" max="4"/>
    <col width="18" customWidth="1" min="5" max="5"/>
    <col width="24" customWidth="1" min="6" max="6"/>
    <col width="12" customWidth="1" min="7" max="7"/>
    <col width="14" customWidth="1" min="8" max="8"/>
    <col width="44" customWidth="1" min="9" max="9"/>
  </cols>
  <sheetData>
    <row r="1" ht="28" customHeight="1">
      <c r="A1" s="1" t="inlineStr">
        <is>
          <t>USERS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Nine roles  ·  each role sees a different dashboard in the product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4" ht="22" customHeight="1">
      <c r="A4" s="66" t="inlineStr">
        <is>
          <t>User ID</t>
        </is>
      </c>
      <c r="B4" s="66" t="inlineStr">
        <is>
          <t>Name</t>
        </is>
      </c>
      <c r="C4" s="66" t="inlineStr">
        <is>
          <t>Email</t>
        </is>
      </c>
      <c r="D4" s="66" t="inlineStr">
        <is>
          <t>Phone</t>
        </is>
      </c>
      <c r="E4" s="66" t="inlineStr">
        <is>
          <t>Role</t>
        </is>
      </c>
      <c r="F4" s="66" t="inlineStr">
        <is>
          <t>Company</t>
        </is>
      </c>
      <c r="G4" s="66" t="inlineStr">
        <is>
          <t>Status</t>
        </is>
      </c>
      <c r="H4" s="66" t="inlineStr">
        <is>
          <t>Last Login</t>
        </is>
      </c>
      <c r="I4" s="66" t="inlineStr">
        <is>
          <t>Permissions</t>
        </is>
      </c>
    </row>
    <row r="5" ht="18" customHeight="1">
      <c r="A5" s="67" t="inlineStr">
        <is>
          <t>HO-001</t>
        </is>
      </c>
      <c r="B5" s="67" t="inlineStr">
        <is>
          <t>Alex Rivera</t>
        </is>
      </c>
      <c r="C5" s="67" t="inlineStr">
        <is>
          <t>alex.rivera@email.example</t>
        </is>
      </c>
      <c r="D5" s="67" t="inlineStr">
        <is>
          <t>+1-503-555-0148</t>
        </is>
      </c>
      <c r="E5" s="68" t="inlineStr">
        <is>
          <t>Homeowner</t>
        </is>
      </c>
      <c r="F5" s="68" t="inlineStr">
        <is>
          <t>Rivera Household</t>
        </is>
      </c>
      <c r="G5" s="68" t="inlineStr">
        <is>
          <t>Active</t>
        </is>
      </c>
      <c r="H5" s="70" t="n">
        <v>46258</v>
      </c>
      <c r="I5" s="67" t="inlineStr">
        <is>
          <t>Full project visibility, approvals, payments</t>
        </is>
      </c>
    </row>
    <row r="6" ht="18" customHeight="1">
      <c r="A6" s="75" t="inlineStr">
        <is>
          <t>AD-001</t>
        </is>
      </c>
      <c r="B6" s="75" t="inlineStr">
        <is>
          <t>Morgan Ellis</t>
        </is>
      </c>
      <c r="C6" s="75" t="inlineStr">
        <is>
          <t>morgan@novalitystore.example</t>
        </is>
      </c>
      <c r="D6" s="75" t="inlineStr">
        <is>
          <t>+1-503-555-0100</t>
        </is>
      </c>
      <c r="E6" s="76" t="inlineStr">
        <is>
          <t>Admin</t>
        </is>
      </c>
      <c r="F6" s="76" t="inlineStr">
        <is>
          <t>Novality Store</t>
        </is>
      </c>
      <c r="G6" s="76" t="inlineStr">
        <is>
          <t>Active</t>
        </is>
      </c>
      <c r="H6" s="78" t="n">
        <v>46258</v>
      </c>
      <c r="I6" s="75" t="inlineStr">
        <is>
          <t>System admin, all properties</t>
        </is>
      </c>
    </row>
    <row r="7" ht="18" customHeight="1">
      <c r="A7" s="67" t="inlineStr">
        <is>
          <t>PM-001</t>
        </is>
      </c>
      <c r="B7" s="67" t="inlineStr">
        <is>
          <t>Marcus Webb</t>
        </is>
      </c>
      <c r="C7" s="67" t="inlineStr">
        <is>
          <t>marcus@ironwood.build</t>
        </is>
      </c>
      <c r="D7" s="67" t="inlineStr">
        <is>
          <t>+1-503-555-0172</t>
        </is>
      </c>
      <c r="E7" s="68" t="inlineStr">
        <is>
          <t>Project Manager</t>
        </is>
      </c>
      <c r="F7" s="68" t="inlineStr">
        <is>
          <t>Ironwood Construction</t>
        </is>
      </c>
      <c r="G7" s="68" t="inlineStr">
        <is>
          <t>Active</t>
        </is>
      </c>
      <c r="H7" s="70" t="n">
        <v>46257</v>
      </c>
      <c r="I7" s="67" t="inlineStr">
        <is>
          <t>Schedule, contractors, inspections</t>
        </is>
      </c>
    </row>
    <row r="8" ht="18" customHeight="1">
      <c r="A8" s="75" t="inlineStr">
        <is>
          <t>DS-001</t>
        </is>
      </c>
      <c r="B8" s="75" t="inlineStr">
        <is>
          <t>Sofia Alvarez</t>
        </is>
      </c>
      <c r="C8" s="75" t="inlineStr">
        <is>
          <t>sofia@lunainteriors.example</t>
        </is>
      </c>
      <c r="D8" s="75" t="inlineStr">
        <is>
          <t>+1-503-555-0194</t>
        </is>
      </c>
      <c r="E8" s="76" t="inlineStr">
        <is>
          <t>Interior Designer</t>
        </is>
      </c>
      <c r="F8" s="76" t="inlineStr">
        <is>
          <t>Luna Interiors</t>
        </is>
      </c>
      <c r="G8" s="76" t="inlineStr">
        <is>
          <t>Active</t>
        </is>
      </c>
      <c r="H8" s="78" t="n">
        <v>46256</v>
      </c>
      <c r="I8" s="75" t="inlineStr">
        <is>
          <t>Design studio, materials, mood boards</t>
        </is>
      </c>
    </row>
    <row r="9" ht="18" customHeight="1">
      <c r="A9" s="67" t="inlineStr">
        <is>
          <t>CT-001</t>
        </is>
      </c>
      <c r="B9" s="67" t="inlineStr">
        <is>
          <t>Maya Chen</t>
        </is>
      </c>
      <c r="C9" s="67" t="inlineStr">
        <is>
          <t>maya@cascadecabinets.example</t>
        </is>
      </c>
      <c r="D9" s="67" t="inlineStr">
        <is>
          <t>+1-503-555-0111</t>
        </is>
      </c>
      <c r="E9" s="68" t="inlineStr">
        <is>
          <t>Contractor</t>
        </is>
      </c>
      <c r="F9" s="68" t="inlineStr">
        <is>
          <t>Cascade Cabinets</t>
        </is>
      </c>
      <c r="G9" s="68" t="inlineStr">
        <is>
          <t>Active</t>
        </is>
      </c>
      <c r="H9" s="70" t="n">
        <v>46255</v>
      </c>
      <c r="I9" s="67" t="inlineStr">
        <is>
          <t>Kitchen millwork</t>
        </is>
      </c>
    </row>
    <row r="10" ht="18" customHeight="1">
      <c r="A10" s="75" t="inlineStr">
        <is>
          <t>SC-001</t>
        </is>
      </c>
      <c r="B10" s="75" t="inlineStr">
        <is>
          <t>Devon Ruiz</t>
        </is>
      </c>
      <c r="C10" s="75" t="inlineStr">
        <is>
          <t>devon@nw-electric.example</t>
        </is>
      </c>
      <c r="D10" s="75" t="inlineStr">
        <is>
          <t>+1-503-555-0133</t>
        </is>
      </c>
      <c r="E10" s="76" t="inlineStr">
        <is>
          <t>Subcontractor</t>
        </is>
      </c>
      <c r="F10" s="76" t="inlineStr">
        <is>
          <t>Northwest Electric</t>
        </is>
      </c>
      <c r="G10" s="76" t="inlineStr">
        <is>
          <t>Active</t>
        </is>
      </c>
      <c r="H10" s="78" t="n">
        <v>46254</v>
      </c>
      <c r="I10" s="75" t="inlineStr">
        <is>
          <t>Electrical rough and finish</t>
        </is>
      </c>
    </row>
    <row r="11" ht="18" customHeight="1">
      <c r="A11" s="67" t="inlineStr">
        <is>
          <t>SU-001</t>
        </is>
      </c>
      <c r="B11" s="67" t="inlineStr">
        <is>
          <t>Harper Quinn</t>
        </is>
      </c>
      <c r="C11" s="67" t="inlineStr">
        <is>
          <t>orders@tileandtimber.example</t>
        </is>
      </c>
      <c r="D11" s="67" t="inlineStr">
        <is>
          <t>+1-503-555-0160</t>
        </is>
      </c>
      <c r="E11" s="68" t="inlineStr">
        <is>
          <t>Supplier</t>
        </is>
      </c>
      <c r="F11" s="68" t="inlineStr">
        <is>
          <t>Tile &amp; Timber Co.</t>
        </is>
      </c>
      <c r="G11" s="68" t="inlineStr">
        <is>
          <t>Active</t>
        </is>
      </c>
      <c r="H11" s="70" t="n">
        <v>46252</v>
      </c>
      <c r="I11" s="67" t="inlineStr">
        <is>
          <t>Materials, lead times</t>
        </is>
      </c>
    </row>
    <row r="12" ht="18" customHeight="1">
      <c r="A12" s="75" t="inlineStr">
        <is>
          <t>IN-001</t>
        </is>
      </c>
      <c r="B12" s="75" t="inlineStr">
        <is>
          <t>Riley Grant</t>
        </is>
      </c>
      <c r="C12" s="75" t="inlineStr">
        <is>
          <t>r.grant@portland.gov.example</t>
        </is>
      </c>
      <c r="D12" s="75" t="inlineStr">
        <is>
          <t>+1-503-555-0188</t>
        </is>
      </c>
      <c r="E12" s="76" t="inlineStr">
        <is>
          <t>Inspector</t>
        </is>
      </c>
      <c r="F12" s="76" t="inlineStr">
        <is>
          <t>City of Portland</t>
        </is>
      </c>
      <c r="G12" s="76" t="inlineStr">
        <is>
          <t>Active</t>
        </is>
      </c>
      <c r="H12" s="78" t="n">
        <v>46246</v>
      </c>
      <c r="I12" s="75" t="inlineStr">
        <is>
          <t>Building, electrical, plumbing</t>
        </is>
      </c>
    </row>
    <row r="13" ht="18" customHeight="1">
      <c r="A13" s="67" t="inlineStr">
        <is>
          <t>AC-001</t>
        </is>
      </c>
      <c r="B13" s="67" t="inlineStr">
        <is>
          <t>Jamie Cole</t>
        </is>
      </c>
      <c r="C13" s="67" t="inlineStr">
        <is>
          <t>jamie@novalitystore.example</t>
        </is>
      </c>
      <c r="D13" s="67" t="inlineStr">
        <is>
          <t>+1-503-555-0108</t>
        </is>
      </c>
      <c r="E13" s="68" t="inlineStr">
        <is>
          <t>Accountant</t>
        </is>
      </c>
      <c r="F13" s="68" t="inlineStr">
        <is>
          <t>Novality Store</t>
        </is>
      </c>
      <c r="G13" s="68" t="inlineStr">
        <is>
          <t>Active</t>
        </is>
      </c>
      <c r="H13" s="70" t="n">
        <v>46258</v>
      </c>
      <c r="I13" s="67" t="inlineStr">
        <is>
          <t>Invoices, tax, payments</t>
        </is>
      </c>
    </row>
    <row r="14">
      <c r="A14" s="82" t="n"/>
      <c r="B14" s="82" t="n"/>
      <c r="C14" s="82" t="n"/>
      <c r="D14" s="82" t="n"/>
      <c r="E14" s="82" t="n"/>
      <c r="F14" s="82" t="n"/>
      <c r="G14" s="82" t="n"/>
      <c r="H14" s="82" t="n"/>
      <c r="I14" s="82" t="n"/>
    </row>
    <row r="15">
      <c r="A15" s="82" t="n"/>
      <c r="B15" s="82" t="n"/>
      <c r="C15" s="82" t="n"/>
      <c r="D15" s="82" t="n"/>
      <c r="E15" s="82" t="n"/>
      <c r="F15" s="82" t="n"/>
      <c r="G15" s="82" t="n"/>
      <c r="H15" s="82" t="n"/>
      <c r="I15" s="82" t="n"/>
    </row>
    <row r="16">
      <c r="A16" s="82" t="n"/>
      <c r="B16" s="82" t="n"/>
      <c r="C16" s="82" t="n"/>
      <c r="D16" s="82" t="n"/>
      <c r="E16" s="82" t="n"/>
      <c r="F16" s="82" t="n"/>
      <c r="G16" s="82" t="n"/>
      <c r="H16" s="82" t="n"/>
      <c r="I16" s="82" t="n"/>
    </row>
    <row r="17">
      <c r="A17" s="82" t="n"/>
      <c r="B17" s="82" t="n"/>
      <c r="C17" s="82" t="n"/>
      <c r="D17" s="82" t="n"/>
      <c r="E17" s="82" t="n"/>
      <c r="F17" s="82" t="n"/>
      <c r="G17" s="82" t="n"/>
      <c r="H17" s="82" t="n"/>
      <c r="I17" s="82" t="n"/>
    </row>
    <row r="18">
      <c r="A18" s="82" t="n"/>
      <c r="B18" s="82" t="n"/>
      <c r="C18" s="82" t="n"/>
      <c r="D18" s="82" t="n"/>
      <c r="E18" s="82" t="n"/>
      <c r="F18" s="82" t="n"/>
      <c r="G18" s="82" t="n"/>
      <c r="H18" s="82" t="n"/>
      <c r="I18" s="82" t="n"/>
    </row>
    <row r="19">
      <c r="A19" s="82" t="n"/>
      <c r="B19" s="82" t="n"/>
      <c r="C19" s="82" t="n"/>
      <c r="D19" s="82" t="n"/>
      <c r="E19" s="82" t="n"/>
      <c r="F19" s="82" t="n"/>
      <c r="G19" s="82" t="n"/>
      <c r="H19" s="82" t="n"/>
      <c r="I19" s="82" t="n"/>
    </row>
    <row r="20">
      <c r="A20" s="82" t="n"/>
      <c r="B20" s="82" t="n"/>
      <c r="C20" s="82" t="n"/>
      <c r="D20" s="82" t="n"/>
      <c r="E20" s="82" t="n"/>
      <c r="F20" s="82" t="n"/>
      <c r="G20" s="82" t="n"/>
      <c r="H20" s="82" t="n"/>
      <c r="I20" s="82" t="n"/>
    </row>
    <row r="21">
      <c r="A21" s="82" t="n"/>
      <c r="B21" s="82" t="n"/>
      <c r="C21" s="82" t="n"/>
      <c r="D21" s="82" t="n"/>
      <c r="E21" s="82" t="n"/>
      <c r="F21" s="82" t="n"/>
      <c r="G21" s="82" t="n"/>
      <c r="H21" s="82" t="n"/>
      <c r="I21" s="82" t="n"/>
    </row>
    <row r="22">
      <c r="A22" s="82" t="n"/>
      <c r="B22" s="82" t="n"/>
      <c r="C22" s="82" t="n"/>
      <c r="D22" s="82" t="n"/>
      <c r="E22" s="82" t="n"/>
      <c r="F22" s="82" t="n"/>
      <c r="G22" s="82" t="n"/>
      <c r="H22" s="82" t="n"/>
      <c r="I22" s="82" t="n"/>
    </row>
    <row r="23">
      <c r="A23" s="82" t="n"/>
      <c r="B23" s="82" t="n"/>
      <c r="C23" s="82" t="n"/>
      <c r="D23" s="82" t="n"/>
      <c r="E23" s="82" t="n"/>
      <c r="F23" s="82" t="n"/>
      <c r="G23" s="82" t="n"/>
      <c r="H23" s="82" t="n"/>
      <c r="I23" s="82" t="n"/>
    </row>
    <row r="24">
      <c r="A24" s="82" t="n"/>
      <c r="B24" s="82" t="n"/>
      <c r="C24" s="82" t="n"/>
      <c r="D24" s="82" t="n"/>
      <c r="E24" s="82" t="n"/>
      <c r="F24" s="82" t="n"/>
      <c r="G24" s="82" t="n"/>
      <c r="H24" s="82" t="n"/>
      <c r="I24" s="82" t="n"/>
    </row>
    <row r="25">
      <c r="A25" s="82" t="n"/>
      <c r="B25" s="82" t="n"/>
      <c r="C25" s="82" t="n"/>
      <c r="D25" s="82" t="n"/>
      <c r="E25" s="82" t="n"/>
      <c r="F25" s="82" t="n"/>
      <c r="G25" s="82" t="n"/>
      <c r="H25" s="82" t="n"/>
      <c r="I25" s="82" t="n"/>
    </row>
    <row r="26">
      <c r="A26" s="82" t="n"/>
      <c r="B26" s="82" t="n"/>
      <c r="C26" s="82" t="n"/>
      <c r="D26" s="82" t="n"/>
      <c r="E26" s="82" t="n"/>
      <c r="F26" s="82" t="n"/>
      <c r="G26" s="82" t="n"/>
      <c r="H26" s="82" t="n"/>
      <c r="I26" s="82" t="n"/>
    </row>
    <row r="27">
      <c r="A27" s="82" t="n"/>
      <c r="B27" s="82" t="n"/>
      <c r="C27" s="82" t="n"/>
      <c r="D27" s="82" t="n"/>
      <c r="E27" s="82" t="n"/>
      <c r="F27" s="82" t="n"/>
      <c r="G27" s="82" t="n"/>
      <c r="H27" s="82" t="n"/>
      <c r="I27" s="82" t="n"/>
    </row>
    <row r="28">
      <c r="A28" s="82" t="n"/>
      <c r="B28" s="82" t="n"/>
      <c r="C28" s="82" t="n"/>
      <c r="D28" s="82" t="n"/>
      <c r="E28" s="82" t="n"/>
      <c r="F28" s="82" t="n"/>
      <c r="G28" s="82" t="n"/>
      <c r="H28" s="82" t="n"/>
      <c r="I28" s="82" t="n"/>
    </row>
    <row r="29">
      <c r="A29" s="82" t="n"/>
      <c r="B29" s="82" t="n"/>
      <c r="C29" s="82" t="n"/>
      <c r="D29" s="82" t="n"/>
      <c r="E29" s="82" t="n"/>
      <c r="F29" s="82" t="n"/>
      <c r="G29" s="82" t="n"/>
      <c r="H29" s="82" t="n"/>
      <c r="I29" s="82" t="n"/>
    </row>
    <row r="30">
      <c r="A30" s="82" t="n"/>
      <c r="B30" s="82" t="n"/>
      <c r="C30" s="82" t="n"/>
      <c r="D30" s="82" t="n"/>
      <c r="E30" s="82" t="n"/>
      <c r="F30" s="82" t="n"/>
      <c r="G30" s="82" t="n"/>
      <c r="H30" s="82" t="n"/>
      <c r="I30" s="82" t="n"/>
    </row>
    <row r="31">
      <c r="A31" s="82" t="n"/>
      <c r="B31" s="82" t="n"/>
      <c r="C31" s="82" t="n"/>
      <c r="D31" s="82" t="n"/>
      <c r="E31" s="82" t="n"/>
      <c r="F31" s="82" t="n"/>
      <c r="G31" s="82" t="n"/>
      <c r="H31" s="82" t="n"/>
      <c r="I31" s="82" t="n"/>
    </row>
    <row r="32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</row>
    <row r="33">
      <c r="A33" s="82" t="n"/>
      <c r="B33" s="82" t="n"/>
      <c r="C33" s="82" t="n"/>
      <c r="D33" s="82" t="n"/>
      <c r="E33" s="82" t="n"/>
      <c r="F33" s="82" t="n"/>
      <c r="G33" s="82" t="n"/>
      <c r="H33" s="82" t="n"/>
      <c r="I33" s="82" t="n"/>
    </row>
    <row r="34">
      <c r="A34" s="82" t="n"/>
      <c r="B34" s="82" t="n"/>
      <c r="C34" s="82" t="n"/>
      <c r="D34" s="82" t="n"/>
      <c r="E34" s="82" t="n"/>
      <c r="F34" s="82" t="n"/>
      <c r="G34" s="82" t="n"/>
      <c r="H34" s="82" t="n"/>
      <c r="I34" s="82" t="n"/>
    </row>
    <row r="35">
      <c r="A35" s="82" t="n"/>
      <c r="B35" s="82" t="n"/>
      <c r="C35" s="82" t="n"/>
      <c r="D35" s="82" t="n"/>
      <c r="E35" s="82" t="n"/>
      <c r="F35" s="82" t="n"/>
      <c r="G35" s="82" t="n"/>
      <c r="H35" s="82" t="n"/>
      <c r="I35" s="82" t="n"/>
    </row>
    <row r="36">
      <c r="A36" s="82" t="n"/>
      <c r="B36" s="82" t="n"/>
      <c r="C36" s="82" t="n"/>
      <c r="D36" s="82" t="n"/>
      <c r="E36" s="82" t="n"/>
      <c r="F36" s="82" t="n"/>
      <c r="G36" s="82" t="n"/>
      <c r="H36" s="82" t="n"/>
      <c r="I36" s="82" t="n"/>
    </row>
    <row r="37">
      <c r="A37" s="82" t="n"/>
      <c r="B37" s="82" t="n"/>
      <c r="C37" s="82" t="n"/>
      <c r="D37" s="82" t="n"/>
      <c r="E37" s="82" t="n"/>
      <c r="F37" s="82" t="n"/>
      <c r="G37" s="82" t="n"/>
      <c r="H37" s="82" t="n"/>
      <c r="I37" s="82" t="n"/>
    </row>
    <row r="38">
      <c r="A38" s="82" t="n"/>
      <c r="B38" s="82" t="n"/>
      <c r="C38" s="82" t="n"/>
      <c r="D38" s="82" t="n"/>
      <c r="E38" s="82" t="n"/>
      <c r="F38" s="82" t="n"/>
      <c r="G38" s="82" t="n"/>
      <c r="H38" s="82" t="n"/>
      <c r="I38" s="82" t="n"/>
    </row>
    <row r="39">
      <c r="A39" s="82" t="n"/>
      <c r="B39" s="82" t="n"/>
      <c r="C39" s="82" t="n"/>
      <c r="D39" s="82" t="n"/>
      <c r="E39" s="82" t="n"/>
      <c r="F39" s="82" t="n"/>
      <c r="G39" s="82" t="n"/>
      <c r="H39" s="82" t="n"/>
      <c r="I39" s="82" t="n"/>
    </row>
    <row r="40">
      <c r="A40" s="82" t="n"/>
      <c r="B40" s="82" t="n"/>
      <c r="C40" s="82" t="n"/>
      <c r="D40" s="82" t="n"/>
      <c r="E40" s="82" t="n"/>
      <c r="F40" s="82" t="n"/>
      <c r="G40" s="82" t="n"/>
      <c r="H40" s="82" t="n"/>
      <c r="I40" s="82" t="n"/>
    </row>
    <row r="41">
      <c r="A41" s="82" t="n"/>
      <c r="B41" s="82" t="n"/>
      <c r="C41" s="82" t="n"/>
      <c r="D41" s="82" t="n"/>
      <c r="E41" s="82" t="n"/>
      <c r="F41" s="82" t="n"/>
      <c r="G41" s="82" t="n"/>
      <c r="H41" s="82" t="n"/>
      <c r="I41" s="82" t="n"/>
    </row>
    <row r="42">
      <c r="A42" s="82" t="n"/>
      <c r="B42" s="82" t="n"/>
      <c r="C42" s="82" t="n"/>
      <c r="D42" s="82" t="n"/>
      <c r="E42" s="82" t="n"/>
      <c r="F42" s="82" t="n"/>
      <c r="G42" s="82" t="n"/>
      <c r="H42" s="82" t="n"/>
      <c r="I42" s="82" t="n"/>
    </row>
    <row r="43">
      <c r="A43" s="82" t="n"/>
      <c r="B43" s="82" t="n"/>
      <c r="C43" s="82" t="n"/>
      <c r="D43" s="82" t="n"/>
      <c r="E43" s="82" t="n"/>
      <c r="F43" s="82" t="n"/>
      <c r="G43" s="82" t="n"/>
      <c r="H43" s="82" t="n"/>
      <c r="I43" s="82" t="n"/>
    </row>
    <row r="44">
      <c r="A44" s="82" t="n"/>
      <c r="B44" s="82" t="n"/>
      <c r="C44" s="82" t="n"/>
      <c r="D44" s="82" t="n"/>
      <c r="E44" s="82" t="n"/>
      <c r="F44" s="82" t="n"/>
      <c r="G44" s="82" t="n"/>
      <c r="H44" s="82" t="n"/>
      <c r="I44" s="82" t="n"/>
    </row>
    <row r="45">
      <c r="A45" s="82" t="n"/>
      <c r="B45" s="82" t="n"/>
      <c r="C45" s="82" t="n"/>
      <c r="D45" s="82" t="n"/>
      <c r="E45" s="82" t="n"/>
      <c r="F45" s="82" t="n"/>
      <c r="G45" s="82" t="n"/>
      <c r="H45" s="82" t="n"/>
      <c r="I45" s="82" t="n"/>
    </row>
    <row r="46">
      <c r="A46" s="82" t="n"/>
      <c r="B46" s="82" t="n"/>
      <c r="C46" s="82" t="n"/>
      <c r="D46" s="82" t="n"/>
      <c r="E46" s="82" t="n"/>
      <c r="F46" s="82" t="n"/>
      <c r="G46" s="82" t="n"/>
      <c r="H46" s="82" t="n"/>
      <c r="I46" s="82" t="n"/>
    </row>
    <row r="47">
      <c r="A47" s="82" t="n"/>
      <c r="B47" s="82" t="n"/>
      <c r="C47" s="82" t="n"/>
      <c r="D47" s="82" t="n"/>
      <c r="E47" s="82" t="n"/>
      <c r="F47" s="82" t="n"/>
      <c r="G47" s="82" t="n"/>
      <c r="H47" s="82" t="n"/>
      <c r="I47" s="82" t="n"/>
    </row>
    <row r="48">
      <c r="A48" s="82" t="n"/>
      <c r="B48" s="82" t="n"/>
      <c r="C48" s="82" t="n"/>
      <c r="D48" s="82" t="n"/>
      <c r="E48" s="82" t="n"/>
      <c r="F48" s="82" t="n"/>
      <c r="G48" s="82" t="n"/>
      <c r="H48" s="82" t="n"/>
      <c r="I48" s="82" t="n"/>
    </row>
    <row r="49">
      <c r="A49" s="82" t="n"/>
      <c r="B49" s="82" t="n"/>
      <c r="C49" s="82" t="n"/>
      <c r="D49" s="82" t="n"/>
      <c r="E49" s="82" t="n"/>
      <c r="F49" s="82" t="n"/>
      <c r="G49" s="82" t="n"/>
      <c r="H49" s="82" t="n"/>
      <c r="I49" s="82" t="n"/>
    </row>
    <row r="50">
      <c r="A50" s="82" t="n"/>
      <c r="B50" s="82" t="n"/>
      <c r="C50" s="82" t="n"/>
      <c r="D50" s="82" t="n"/>
      <c r="E50" s="82" t="n"/>
      <c r="F50" s="82" t="n"/>
      <c r="G50" s="82" t="n"/>
      <c r="H50" s="82" t="n"/>
      <c r="I50" s="82" t="n"/>
    </row>
    <row r="51">
      <c r="A51" s="82" t="n"/>
      <c r="B51" s="82" t="n"/>
      <c r="C51" s="82" t="n"/>
      <c r="D51" s="82" t="n"/>
      <c r="E51" s="82" t="n"/>
      <c r="F51" s="82" t="n"/>
      <c r="G51" s="82" t="n"/>
      <c r="H51" s="82" t="n"/>
      <c r="I51" s="82" t="n"/>
    </row>
    <row r="52">
      <c r="A52" s="82" t="n"/>
      <c r="B52" s="82" t="n"/>
      <c r="C52" s="82" t="n"/>
      <c r="D52" s="82" t="n"/>
      <c r="E52" s="82" t="n"/>
      <c r="F52" s="82" t="n"/>
      <c r="G52" s="82" t="n"/>
      <c r="H52" s="82" t="n"/>
      <c r="I52" s="82" t="n"/>
    </row>
    <row r="53">
      <c r="A53" s="82" t="n"/>
      <c r="B53" s="82" t="n"/>
      <c r="C53" s="82" t="n"/>
      <c r="D53" s="82" t="n"/>
      <c r="E53" s="82" t="n"/>
      <c r="F53" s="82" t="n"/>
      <c r="G53" s="82" t="n"/>
      <c r="H53" s="82" t="n"/>
      <c r="I53" s="82" t="n"/>
    </row>
    <row r="54">
      <c r="A54" s="82" t="n"/>
      <c r="B54" s="82" t="n"/>
      <c r="C54" s="82" t="n"/>
      <c r="D54" s="82" t="n"/>
      <c r="E54" s="82" t="n"/>
      <c r="F54" s="82" t="n"/>
      <c r="G54" s="82" t="n"/>
      <c r="H54" s="82" t="n"/>
      <c r="I54" s="82" t="n"/>
    </row>
    <row r="55">
      <c r="A55" s="82" t="n"/>
      <c r="B55" s="82" t="n"/>
      <c r="C55" s="82" t="n"/>
      <c r="D55" s="82" t="n"/>
      <c r="E55" s="82" t="n"/>
      <c r="F55" s="82" t="n"/>
      <c r="G55" s="82" t="n"/>
      <c r="H55" s="82" t="n"/>
      <c r="I55" s="82" t="n"/>
    </row>
    <row r="56">
      <c r="A56" s="82" t="n"/>
      <c r="B56" s="82" t="n"/>
      <c r="C56" s="82" t="n"/>
      <c r="D56" s="82" t="n"/>
      <c r="E56" s="82" t="n"/>
      <c r="F56" s="82" t="n"/>
      <c r="G56" s="82" t="n"/>
      <c r="H56" s="82" t="n"/>
      <c r="I56" s="82" t="n"/>
    </row>
    <row r="57">
      <c r="A57" s="82" t="n"/>
      <c r="B57" s="82" t="n"/>
      <c r="C57" s="82" t="n"/>
      <c r="D57" s="82" t="n"/>
      <c r="E57" s="82" t="n"/>
      <c r="F57" s="82" t="n"/>
      <c r="G57" s="82" t="n"/>
      <c r="H57" s="82" t="n"/>
      <c r="I57" s="82" t="n"/>
    </row>
    <row r="58">
      <c r="A58" s="82" t="n"/>
      <c r="B58" s="82" t="n"/>
      <c r="C58" s="82" t="n"/>
      <c r="D58" s="82" t="n"/>
      <c r="E58" s="82" t="n"/>
      <c r="F58" s="82" t="n"/>
      <c r="G58" s="82" t="n"/>
      <c r="H58" s="82" t="n"/>
      <c r="I58" s="82" t="n"/>
    </row>
    <row r="59">
      <c r="A59" s="82" t="n"/>
      <c r="B59" s="82" t="n"/>
      <c r="C59" s="82" t="n"/>
      <c r="D59" s="82" t="n"/>
      <c r="E59" s="82" t="n"/>
      <c r="F59" s="82" t="n"/>
      <c r="G59" s="82" t="n"/>
      <c r="H59" s="82" t="n"/>
      <c r="I59" s="82" t="n"/>
    </row>
    <row r="60">
      <c r="A60" s="82" t="n"/>
      <c r="B60" s="82" t="n"/>
      <c r="C60" s="82" t="n"/>
      <c r="D60" s="82" t="n"/>
      <c r="E60" s="82" t="n"/>
      <c r="F60" s="82" t="n"/>
      <c r="G60" s="82" t="n"/>
      <c r="H60" s="82" t="n"/>
      <c r="I60" s="82" t="n"/>
    </row>
    <row r="61">
      <c r="A61" s="82" t="n"/>
      <c r="B61" s="82" t="n"/>
      <c r="C61" s="82" t="n"/>
      <c r="D61" s="82" t="n"/>
      <c r="E61" s="82" t="n"/>
      <c r="F61" s="82" t="n"/>
      <c r="G61" s="82" t="n"/>
      <c r="H61" s="82" t="n"/>
      <c r="I61" s="82" t="n"/>
    </row>
    <row r="62">
      <c r="A62" s="82" t="n"/>
      <c r="B62" s="82" t="n"/>
      <c r="C62" s="82" t="n"/>
      <c r="D62" s="82" t="n"/>
      <c r="E62" s="82" t="n"/>
      <c r="F62" s="82" t="n"/>
      <c r="G62" s="82" t="n"/>
      <c r="H62" s="82" t="n"/>
      <c r="I62" s="82" t="n"/>
    </row>
    <row r="63">
      <c r="A63" s="82" t="n"/>
      <c r="B63" s="82" t="n"/>
      <c r="C63" s="82" t="n"/>
      <c r="D63" s="82" t="n"/>
      <c r="E63" s="82" t="n"/>
      <c r="F63" s="82" t="n"/>
      <c r="G63" s="82" t="n"/>
      <c r="H63" s="82" t="n"/>
      <c r="I63" s="82" t="n"/>
    </row>
    <row r="64">
      <c r="A64" s="82" t="n"/>
      <c r="B64" s="82" t="n"/>
      <c r="C64" s="82" t="n"/>
      <c r="D64" s="82" t="n"/>
      <c r="E64" s="82" t="n"/>
      <c r="F64" s="82" t="n"/>
      <c r="G64" s="82" t="n"/>
      <c r="H64" s="82" t="n"/>
      <c r="I64" s="82" t="n"/>
    </row>
    <row r="65">
      <c r="A65" s="82" t="n"/>
      <c r="B65" s="82" t="n"/>
      <c r="C65" s="82" t="n"/>
      <c r="D65" s="82" t="n"/>
      <c r="E65" s="82" t="n"/>
      <c r="F65" s="82" t="n"/>
      <c r="G65" s="82" t="n"/>
      <c r="H65" s="82" t="n"/>
      <c r="I65" s="82" t="n"/>
    </row>
    <row r="66">
      <c r="A66" s="82" t="n"/>
      <c r="B66" s="82" t="n"/>
      <c r="C66" s="82" t="n"/>
      <c r="D66" s="82" t="n"/>
      <c r="E66" s="82" t="n"/>
      <c r="F66" s="82" t="n"/>
      <c r="G66" s="82" t="n"/>
      <c r="H66" s="82" t="n"/>
      <c r="I66" s="82" t="n"/>
    </row>
    <row r="67">
      <c r="A67" s="82" t="n"/>
      <c r="B67" s="82" t="n"/>
      <c r="C67" s="82" t="n"/>
      <c r="D67" s="82" t="n"/>
      <c r="E67" s="82" t="n"/>
      <c r="F67" s="82" t="n"/>
      <c r="G67" s="82" t="n"/>
      <c r="H67" s="82" t="n"/>
      <c r="I67" s="82" t="n"/>
    </row>
    <row r="68">
      <c r="A68" s="82" t="n"/>
      <c r="B68" s="82" t="n"/>
      <c r="C68" s="82" t="n"/>
      <c r="D68" s="82" t="n"/>
      <c r="E68" s="82" t="n"/>
      <c r="F68" s="82" t="n"/>
      <c r="G68" s="82" t="n"/>
      <c r="H68" s="82" t="n"/>
      <c r="I68" s="82" t="n"/>
    </row>
    <row r="69">
      <c r="A69" s="82" t="n"/>
      <c r="B69" s="82" t="n"/>
      <c r="C69" s="82" t="n"/>
      <c r="D69" s="82" t="n"/>
      <c r="E69" s="82" t="n"/>
      <c r="F69" s="82" t="n"/>
      <c r="G69" s="82" t="n"/>
      <c r="H69" s="82" t="n"/>
      <c r="I69" s="82" t="n"/>
    </row>
    <row r="70">
      <c r="A70" s="82" t="n"/>
      <c r="B70" s="82" t="n"/>
      <c r="C70" s="82" t="n"/>
      <c r="D70" s="82" t="n"/>
      <c r="E70" s="82" t="n"/>
      <c r="F70" s="82" t="n"/>
      <c r="G70" s="82" t="n"/>
      <c r="H70" s="82" t="n"/>
      <c r="I70" s="82" t="n"/>
    </row>
    <row r="71">
      <c r="A71" s="82" t="n"/>
      <c r="B71" s="82" t="n"/>
      <c r="C71" s="82" t="n"/>
      <c r="D71" s="82" t="n"/>
      <c r="E71" s="82" t="n"/>
      <c r="F71" s="82" t="n"/>
      <c r="G71" s="82" t="n"/>
      <c r="H71" s="82" t="n"/>
      <c r="I71" s="82" t="n"/>
    </row>
    <row r="72">
      <c r="A72" s="82" t="n"/>
      <c r="B72" s="82" t="n"/>
      <c r="C72" s="82" t="n"/>
      <c r="D72" s="82" t="n"/>
      <c r="E72" s="82" t="n"/>
      <c r="F72" s="82" t="n"/>
      <c r="G72" s="82" t="n"/>
      <c r="H72" s="82" t="n"/>
      <c r="I72" s="82" t="n"/>
    </row>
    <row r="73">
      <c r="A73" s="82" t="n"/>
      <c r="B73" s="82" t="n"/>
      <c r="C73" s="82" t="n"/>
      <c r="D73" s="82" t="n"/>
      <c r="E73" s="82" t="n"/>
      <c r="F73" s="82" t="n"/>
      <c r="G73" s="82" t="n"/>
      <c r="H73" s="82" t="n"/>
      <c r="I73" s="82" t="n"/>
    </row>
    <row r="74">
      <c r="A74" s="82" t="n"/>
      <c r="B74" s="82" t="n"/>
      <c r="C74" s="82" t="n"/>
      <c r="D74" s="82" t="n"/>
      <c r="E74" s="82" t="n"/>
      <c r="F74" s="82" t="n"/>
      <c r="G74" s="82" t="n"/>
      <c r="H74" s="82" t="n"/>
      <c r="I74" s="82" t="n"/>
    </row>
    <row r="75">
      <c r="A75" s="82" t="n"/>
      <c r="B75" s="82" t="n"/>
      <c r="C75" s="82" t="n"/>
      <c r="D75" s="82" t="n"/>
      <c r="E75" s="82" t="n"/>
      <c r="F75" s="82" t="n"/>
      <c r="G75" s="82" t="n"/>
      <c r="H75" s="82" t="n"/>
      <c r="I75" s="82" t="n"/>
    </row>
    <row r="76">
      <c r="A76" s="82" t="n"/>
      <c r="B76" s="82" t="n"/>
      <c r="C76" s="82" t="n"/>
      <c r="D76" s="82" t="n"/>
      <c r="E76" s="82" t="n"/>
      <c r="F76" s="82" t="n"/>
      <c r="G76" s="82" t="n"/>
      <c r="H76" s="82" t="n"/>
      <c r="I76" s="82" t="n"/>
    </row>
    <row r="77">
      <c r="A77" s="82" t="n"/>
      <c r="B77" s="82" t="n"/>
      <c r="C77" s="82" t="n"/>
      <c r="D77" s="82" t="n"/>
      <c r="E77" s="82" t="n"/>
      <c r="F77" s="82" t="n"/>
      <c r="G77" s="82" t="n"/>
      <c r="H77" s="82" t="n"/>
      <c r="I77" s="82" t="n"/>
    </row>
    <row r="78">
      <c r="A78" s="82" t="n"/>
      <c r="B78" s="82" t="n"/>
      <c r="C78" s="82" t="n"/>
      <c r="D78" s="82" t="n"/>
      <c r="E78" s="82" t="n"/>
      <c r="F78" s="82" t="n"/>
      <c r="G78" s="82" t="n"/>
      <c r="H78" s="82" t="n"/>
      <c r="I78" s="82" t="n"/>
    </row>
    <row r="79">
      <c r="A79" s="82" t="n"/>
      <c r="B79" s="82" t="n"/>
      <c r="C79" s="82" t="n"/>
      <c r="D79" s="82" t="n"/>
      <c r="E79" s="82" t="n"/>
      <c r="F79" s="82" t="n"/>
      <c r="G79" s="82" t="n"/>
      <c r="H79" s="82" t="n"/>
      <c r="I79" s="82" t="n"/>
    </row>
    <row r="80">
      <c r="A80" s="82" t="n"/>
      <c r="B80" s="82" t="n"/>
      <c r="C80" s="82" t="n"/>
      <c r="D80" s="82" t="n"/>
      <c r="E80" s="82" t="n"/>
      <c r="F80" s="82" t="n"/>
      <c r="G80" s="82" t="n"/>
      <c r="H80" s="82" t="n"/>
      <c r="I80" s="82" t="n"/>
    </row>
    <row r="81">
      <c r="A81" s="82" t="n"/>
      <c r="B81" s="82" t="n"/>
      <c r="C81" s="82" t="n"/>
      <c r="D81" s="82" t="n"/>
      <c r="E81" s="82" t="n"/>
      <c r="F81" s="82" t="n"/>
      <c r="G81" s="82" t="n"/>
      <c r="H81" s="82" t="n"/>
      <c r="I81" s="82" t="n"/>
    </row>
    <row r="82">
      <c r="A82" s="82" t="n"/>
      <c r="B82" s="82" t="n"/>
      <c r="C82" s="82" t="n"/>
      <c r="D82" s="82" t="n"/>
      <c r="E82" s="82" t="n"/>
      <c r="F82" s="82" t="n"/>
      <c r="G82" s="82" t="n"/>
      <c r="H82" s="82" t="n"/>
      <c r="I82" s="82" t="n"/>
    </row>
    <row r="83">
      <c r="A83" s="82" t="n"/>
      <c r="B83" s="82" t="n"/>
      <c r="C83" s="82" t="n"/>
      <c r="D83" s="82" t="n"/>
      <c r="E83" s="82" t="n"/>
      <c r="F83" s="82" t="n"/>
      <c r="G83" s="82" t="n"/>
      <c r="H83" s="82" t="n"/>
      <c r="I83" s="82" t="n"/>
    </row>
    <row r="84">
      <c r="A84" s="82" t="n"/>
      <c r="B84" s="82" t="n"/>
      <c r="C84" s="82" t="n"/>
      <c r="D84" s="82" t="n"/>
      <c r="E84" s="82" t="n"/>
      <c r="F84" s="82" t="n"/>
      <c r="G84" s="82" t="n"/>
      <c r="H84" s="82" t="n"/>
      <c r="I84" s="82" t="n"/>
    </row>
    <row r="85">
      <c r="A85" s="82" t="n"/>
      <c r="B85" s="82" t="n"/>
      <c r="C85" s="82" t="n"/>
      <c r="D85" s="82" t="n"/>
      <c r="E85" s="82" t="n"/>
      <c r="F85" s="82" t="n"/>
      <c r="G85" s="82" t="n"/>
      <c r="H85" s="82" t="n"/>
      <c r="I85" s="82" t="n"/>
    </row>
    <row r="86">
      <c r="A86" s="82" t="n"/>
      <c r="B86" s="82" t="n"/>
      <c r="C86" s="82" t="n"/>
      <c r="D86" s="82" t="n"/>
      <c r="E86" s="82" t="n"/>
      <c r="F86" s="82" t="n"/>
      <c r="G86" s="82" t="n"/>
      <c r="H86" s="82" t="n"/>
      <c r="I86" s="82" t="n"/>
    </row>
    <row r="87">
      <c r="A87" s="82" t="n"/>
      <c r="B87" s="82" t="n"/>
      <c r="C87" s="82" t="n"/>
      <c r="D87" s="82" t="n"/>
      <c r="E87" s="82" t="n"/>
      <c r="F87" s="82" t="n"/>
      <c r="G87" s="82" t="n"/>
      <c r="H87" s="82" t="n"/>
      <c r="I87" s="82" t="n"/>
    </row>
    <row r="88">
      <c r="A88" s="82" t="n"/>
      <c r="B88" s="82" t="n"/>
      <c r="C88" s="82" t="n"/>
      <c r="D88" s="82" t="n"/>
      <c r="E88" s="82" t="n"/>
      <c r="F88" s="82" t="n"/>
      <c r="G88" s="82" t="n"/>
      <c r="H88" s="82" t="n"/>
      <c r="I88" s="82" t="n"/>
    </row>
    <row r="89">
      <c r="A89" s="82" t="n"/>
      <c r="B89" s="82" t="n"/>
      <c r="C89" s="82" t="n"/>
      <c r="D89" s="82" t="n"/>
      <c r="E89" s="82" t="n"/>
      <c r="F89" s="82" t="n"/>
      <c r="G89" s="82" t="n"/>
      <c r="H89" s="82" t="n"/>
      <c r="I89" s="82" t="n"/>
    </row>
    <row r="90">
      <c r="A90" s="82" t="n"/>
      <c r="B90" s="82" t="n"/>
      <c r="C90" s="82" t="n"/>
      <c r="D90" s="82" t="n"/>
      <c r="E90" s="82" t="n"/>
      <c r="F90" s="82" t="n"/>
      <c r="G90" s="82" t="n"/>
      <c r="H90" s="82" t="n"/>
      <c r="I90" s="82" t="n"/>
    </row>
    <row r="91">
      <c r="A91" s="82" t="n"/>
      <c r="B91" s="82" t="n"/>
      <c r="C91" s="82" t="n"/>
      <c r="D91" s="82" t="n"/>
      <c r="E91" s="82" t="n"/>
      <c r="F91" s="82" t="n"/>
      <c r="G91" s="82" t="n"/>
      <c r="H91" s="82" t="n"/>
      <c r="I91" s="82" t="n"/>
    </row>
    <row r="92">
      <c r="A92" s="82" t="n"/>
      <c r="B92" s="82" t="n"/>
      <c r="C92" s="82" t="n"/>
      <c r="D92" s="82" t="n"/>
      <c r="E92" s="82" t="n"/>
      <c r="F92" s="82" t="n"/>
      <c r="G92" s="82" t="n"/>
      <c r="H92" s="82" t="n"/>
      <c r="I92" s="82" t="n"/>
    </row>
    <row r="93">
      <c r="A93" s="82" t="n"/>
      <c r="B93" s="82" t="n"/>
      <c r="C93" s="82" t="n"/>
      <c r="D93" s="82" t="n"/>
      <c r="E93" s="82" t="n"/>
      <c r="F93" s="82" t="n"/>
      <c r="G93" s="82" t="n"/>
      <c r="H93" s="82" t="n"/>
      <c r="I93" s="82" t="n"/>
    </row>
    <row r="94">
      <c r="A94" s="82" t="n"/>
      <c r="B94" s="82" t="n"/>
      <c r="C94" s="82" t="n"/>
      <c r="D94" s="82" t="n"/>
      <c r="E94" s="82" t="n"/>
      <c r="F94" s="82" t="n"/>
      <c r="G94" s="82" t="n"/>
      <c r="H94" s="82" t="n"/>
      <c r="I94" s="82" t="n"/>
    </row>
    <row r="95">
      <c r="A95" s="82" t="n"/>
      <c r="B95" s="82" t="n"/>
      <c r="C95" s="82" t="n"/>
      <c r="D95" s="82" t="n"/>
      <c r="E95" s="82" t="n"/>
      <c r="F95" s="82" t="n"/>
      <c r="G95" s="82" t="n"/>
      <c r="H95" s="82" t="n"/>
      <c r="I95" s="82" t="n"/>
    </row>
    <row r="96">
      <c r="A96" s="82" t="n"/>
      <c r="B96" s="82" t="n"/>
      <c r="C96" s="82" t="n"/>
      <c r="D96" s="82" t="n"/>
      <c r="E96" s="82" t="n"/>
      <c r="F96" s="82" t="n"/>
      <c r="G96" s="82" t="n"/>
      <c r="H96" s="82" t="n"/>
      <c r="I96" s="82" t="n"/>
    </row>
    <row r="97">
      <c r="A97" s="82" t="n"/>
      <c r="B97" s="82" t="n"/>
      <c r="C97" s="82" t="n"/>
      <c r="D97" s="82" t="n"/>
      <c r="E97" s="82" t="n"/>
      <c r="F97" s="82" t="n"/>
      <c r="G97" s="82" t="n"/>
      <c r="H97" s="82" t="n"/>
      <c r="I97" s="82" t="n"/>
    </row>
    <row r="98">
      <c r="A98" s="82" t="n"/>
      <c r="B98" s="82" t="n"/>
      <c r="C98" s="82" t="n"/>
      <c r="D98" s="82" t="n"/>
      <c r="E98" s="82" t="n"/>
      <c r="F98" s="82" t="n"/>
      <c r="G98" s="82" t="n"/>
      <c r="H98" s="82" t="n"/>
      <c r="I98" s="82" t="n"/>
    </row>
    <row r="99">
      <c r="A99" s="82" t="n"/>
      <c r="B99" s="82" t="n"/>
      <c r="C99" s="82" t="n"/>
      <c r="D99" s="82" t="n"/>
      <c r="E99" s="82" t="n"/>
      <c r="F99" s="82" t="n"/>
      <c r="G99" s="82" t="n"/>
      <c r="H99" s="82" t="n"/>
      <c r="I99" s="82" t="n"/>
    </row>
    <row r="100">
      <c r="A100" s="82" t="n"/>
      <c r="B100" s="82" t="n"/>
      <c r="C100" s="82" t="n"/>
      <c r="D100" s="82" t="n"/>
      <c r="E100" s="82" t="n"/>
      <c r="F100" s="82" t="n"/>
      <c r="G100" s="82" t="n"/>
      <c r="H100" s="82" t="n"/>
      <c r="I100" s="82" t="n"/>
    </row>
    <row r="101">
      <c r="A101" s="82" t="n"/>
      <c r="B101" s="82" t="n"/>
      <c r="C101" s="82" t="n"/>
      <c r="D101" s="82" t="n"/>
      <c r="E101" s="82" t="n"/>
      <c r="F101" s="82" t="n"/>
      <c r="G101" s="82" t="n"/>
      <c r="H101" s="82" t="n"/>
      <c r="I101" s="82" t="n"/>
    </row>
    <row r="102">
      <c r="A102" s="82" t="n"/>
      <c r="B102" s="82" t="n"/>
      <c r="C102" s="82" t="n"/>
      <c r="D102" s="82" t="n"/>
      <c r="E102" s="82" t="n"/>
      <c r="F102" s="82" t="n"/>
      <c r="G102" s="82" t="n"/>
      <c r="H102" s="82" t="n"/>
      <c r="I102" s="82" t="n"/>
    </row>
    <row r="103">
      <c r="A103" s="82" t="n"/>
      <c r="B103" s="82" t="n"/>
      <c r="C103" s="82" t="n"/>
      <c r="D103" s="82" t="n"/>
      <c r="E103" s="82" t="n"/>
      <c r="F103" s="82" t="n"/>
      <c r="G103" s="82" t="n"/>
      <c r="H103" s="82" t="n"/>
      <c r="I103" s="82" t="n"/>
    </row>
    <row r="104">
      <c r="A104" s="82" t="n"/>
      <c r="B104" s="82" t="n"/>
      <c r="C104" s="82" t="n"/>
      <c r="D104" s="82" t="n"/>
      <c r="E104" s="82" t="n"/>
      <c r="F104" s="82" t="n"/>
      <c r="G104" s="82" t="n"/>
      <c r="H104" s="82" t="n"/>
      <c r="I104" s="82" t="n"/>
    </row>
    <row r="105">
      <c r="A105" s="82" t="n"/>
      <c r="B105" s="82" t="n"/>
      <c r="C105" s="82" t="n"/>
      <c r="D105" s="82" t="n"/>
      <c r="E105" s="82" t="n"/>
      <c r="F105" s="82" t="n"/>
      <c r="G105" s="82" t="n"/>
      <c r="H105" s="82" t="n"/>
      <c r="I105" s="82" t="n"/>
    </row>
    <row r="106">
      <c r="A106" s="82" t="n"/>
      <c r="B106" s="82" t="n"/>
      <c r="C106" s="82" t="n"/>
      <c r="D106" s="82" t="n"/>
      <c r="E106" s="82" t="n"/>
      <c r="F106" s="82" t="n"/>
      <c r="G106" s="82" t="n"/>
      <c r="H106" s="82" t="n"/>
      <c r="I106" s="82" t="n"/>
    </row>
    <row r="107">
      <c r="A107" s="82" t="n"/>
      <c r="B107" s="82" t="n"/>
      <c r="C107" s="82" t="n"/>
      <c r="D107" s="82" t="n"/>
      <c r="E107" s="82" t="n"/>
      <c r="F107" s="82" t="n"/>
      <c r="G107" s="82" t="n"/>
      <c r="H107" s="82" t="n"/>
      <c r="I107" s="82" t="n"/>
    </row>
    <row r="108">
      <c r="A108" s="82" t="n"/>
      <c r="B108" s="82" t="n"/>
      <c r="C108" s="82" t="n"/>
      <c r="D108" s="82" t="n"/>
      <c r="E108" s="82" t="n"/>
      <c r="F108" s="82" t="n"/>
      <c r="G108" s="82" t="n"/>
      <c r="H108" s="82" t="n"/>
      <c r="I108" s="82" t="n"/>
    </row>
    <row r="109">
      <c r="A109" s="82" t="n"/>
      <c r="B109" s="82" t="n"/>
      <c r="C109" s="82" t="n"/>
      <c r="D109" s="82" t="n"/>
      <c r="E109" s="82" t="n"/>
      <c r="F109" s="82" t="n"/>
      <c r="G109" s="82" t="n"/>
      <c r="H109" s="82" t="n"/>
      <c r="I109" s="82" t="n"/>
    </row>
    <row r="110">
      <c r="A110" s="82" t="n"/>
      <c r="B110" s="82" t="n"/>
      <c r="C110" s="82" t="n"/>
      <c r="D110" s="82" t="n"/>
      <c r="E110" s="82" t="n"/>
      <c r="F110" s="82" t="n"/>
      <c r="G110" s="82" t="n"/>
      <c r="H110" s="82" t="n"/>
      <c r="I110" s="82" t="n"/>
    </row>
    <row r="111">
      <c r="A111" s="82" t="n"/>
      <c r="B111" s="82" t="n"/>
      <c r="C111" s="82" t="n"/>
      <c r="D111" s="82" t="n"/>
      <c r="E111" s="82" t="n"/>
      <c r="F111" s="82" t="n"/>
      <c r="G111" s="82" t="n"/>
      <c r="H111" s="82" t="n"/>
      <c r="I111" s="82" t="n"/>
    </row>
    <row r="112">
      <c r="A112" s="82" t="n"/>
      <c r="B112" s="82" t="n"/>
      <c r="C112" s="82" t="n"/>
      <c r="D112" s="82" t="n"/>
      <c r="E112" s="82" t="n"/>
      <c r="F112" s="82" t="n"/>
      <c r="G112" s="82" t="n"/>
      <c r="H112" s="82" t="n"/>
      <c r="I112" s="82" t="n"/>
    </row>
    <row r="113">
      <c r="A113" s="82" t="n"/>
      <c r="B113" s="82" t="n"/>
      <c r="C113" s="82" t="n"/>
      <c r="D113" s="82" t="n"/>
      <c r="E113" s="82" t="n"/>
      <c r="F113" s="82" t="n"/>
      <c r="G113" s="82" t="n"/>
      <c r="H113" s="82" t="n"/>
      <c r="I113" s="82" t="n"/>
    </row>
    <row r="114">
      <c r="A114" s="82" t="n"/>
      <c r="B114" s="82" t="n"/>
      <c r="C114" s="82" t="n"/>
      <c r="D114" s="82" t="n"/>
      <c r="E114" s="82" t="n"/>
      <c r="F114" s="82" t="n"/>
      <c r="G114" s="82" t="n"/>
      <c r="H114" s="82" t="n"/>
      <c r="I114" s="82" t="n"/>
    </row>
    <row r="115">
      <c r="A115" s="82" t="n"/>
      <c r="B115" s="82" t="n"/>
      <c r="C115" s="82" t="n"/>
      <c r="D115" s="82" t="n"/>
      <c r="E115" s="82" t="n"/>
      <c r="F115" s="82" t="n"/>
      <c r="G115" s="82" t="n"/>
      <c r="H115" s="82" t="n"/>
      <c r="I115" s="82" t="n"/>
    </row>
    <row r="116">
      <c r="A116" s="82" t="n"/>
      <c r="B116" s="82" t="n"/>
      <c r="C116" s="82" t="n"/>
      <c r="D116" s="82" t="n"/>
      <c r="E116" s="82" t="n"/>
      <c r="F116" s="82" t="n"/>
      <c r="G116" s="82" t="n"/>
      <c r="H116" s="82" t="n"/>
      <c r="I116" s="82" t="n"/>
    </row>
    <row r="117">
      <c r="A117" s="82" t="n"/>
      <c r="B117" s="82" t="n"/>
      <c r="C117" s="82" t="n"/>
      <c r="D117" s="82" t="n"/>
      <c r="E117" s="82" t="n"/>
      <c r="F117" s="82" t="n"/>
      <c r="G117" s="82" t="n"/>
      <c r="H117" s="82" t="n"/>
      <c r="I117" s="82" t="n"/>
    </row>
    <row r="118">
      <c r="A118" s="82" t="n"/>
      <c r="B118" s="82" t="n"/>
      <c r="C118" s="82" t="n"/>
      <c r="D118" s="82" t="n"/>
      <c r="E118" s="82" t="n"/>
      <c r="F118" s="82" t="n"/>
      <c r="G118" s="82" t="n"/>
      <c r="H118" s="82" t="n"/>
      <c r="I118" s="82" t="n"/>
    </row>
    <row r="119">
      <c r="A119" s="82" t="n"/>
      <c r="B119" s="82" t="n"/>
      <c r="C119" s="82" t="n"/>
      <c r="D119" s="82" t="n"/>
      <c r="E119" s="82" t="n"/>
      <c r="F119" s="82" t="n"/>
      <c r="G119" s="82" t="n"/>
      <c r="H119" s="82" t="n"/>
      <c r="I119" s="82" t="n"/>
    </row>
    <row r="120">
      <c r="A120" s="82" t="n"/>
      <c r="B120" s="82" t="n"/>
      <c r="C120" s="82" t="n"/>
      <c r="D120" s="82" t="n"/>
      <c r="E120" s="82" t="n"/>
      <c r="F120" s="82" t="n"/>
      <c r="G120" s="82" t="n"/>
      <c r="H120" s="82" t="n"/>
      <c r="I120" s="82" t="n"/>
    </row>
    <row r="121">
      <c r="A121" s="82" t="n"/>
      <c r="B121" s="82" t="n"/>
      <c r="C121" s="82" t="n"/>
      <c r="D121" s="82" t="n"/>
      <c r="E121" s="82" t="n"/>
      <c r="F121" s="82" t="n"/>
      <c r="G121" s="82" t="n"/>
      <c r="H121" s="82" t="n"/>
      <c r="I121" s="82" t="n"/>
    </row>
    <row r="122">
      <c r="A122" s="82" t="n"/>
      <c r="B122" s="82" t="n"/>
      <c r="C122" s="82" t="n"/>
      <c r="D122" s="82" t="n"/>
      <c r="E122" s="82" t="n"/>
      <c r="F122" s="82" t="n"/>
      <c r="G122" s="82" t="n"/>
      <c r="H122" s="82" t="n"/>
      <c r="I122" s="82" t="n"/>
    </row>
    <row r="123">
      <c r="A123" s="82" t="n"/>
      <c r="B123" s="82" t="n"/>
      <c r="C123" s="82" t="n"/>
      <c r="D123" s="82" t="n"/>
      <c r="E123" s="82" t="n"/>
      <c r="F123" s="82" t="n"/>
      <c r="G123" s="82" t="n"/>
      <c r="H123" s="82" t="n"/>
      <c r="I123" s="82" t="n"/>
    </row>
    <row r="124">
      <c r="A124" s="82" t="n"/>
      <c r="B124" s="82" t="n"/>
      <c r="C124" s="82" t="n"/>
      <c r="D124" s="82" t="n"/>
      <c r="E124" s="82" t="n"/>
      <c r="F124" s="82" t="n"/>
      <c r="G124" s="82" t="n"/>
      <c r="H124" s="82" t="n"/>
      <c r="I124" s="82" t="n"/>
    </row>
    <row r="125">
      <c r="A125" s="82" t="n"/>
      <c r="B125" s="82" t="n"/>
      <c r="C125" s="82" t="n"/>
      <c r="D125" s="82" t="n"/>
      <c r="E125" s="82" t="n"/>
      <c r="F125" s="82" t="n"/>
      <c r="G125" s="82" t="n"/>
      <c r="H125" s="82" t="n"/>
      <c r="I125" s="82" t="n"/>
    </row>
    <row r="126">
      <c r="A126" s="82" t="n"/>
      <c r="B126" s="82" t="n"/>
      <c r="C126" s="82" t="n"/>
      <c r="D126" s="82" t="n"/>
      <c r="E126" s="82" t="n"/>
      <c r="F126" s="82" t="n"/>
      <c r="G126" s="82" t="n"/>
      <c r="H126" s="82" t="n"/>
      <c r="I126" s="82" t="n"/>
    </row>
    <row r="127">
      <c r="A127" s="82" t="n"/>
      <c r="B127" s="82" t="n"/>
      <c r="C127" s="82" t="n"/>
      <c r="D127" s="82" t="n"/>
      <c r="E127" s="82" t="n"/>
      <c r="F127" s="82" t="n"/>
      <c r="G127" s="82" t="n"/>
      <c r="H127" s="82" t="n"/>
      <c r="I127" s="82" t="n"/>
    </row>
    <row r="128">
      <c r="A128" s="82" t="n"/>
      <c r="B128" s="82" t="n"/>
      <c r="C128" s="82" t="n"/>
      <c r="D128" s="82" t="n"/>
      <c r="E128" s="82" t="n"/>
      <c r="F128" s="82" t="n"/>
      <c r="G128" s="82" t="n"/>
      <c r="H128" s="82" t="n"/>
      <c r="I128" s="82" t="n"/>
    </row>
    <row r="129">
      <c r="A129" s="82" t="n"/>
      <c r="B129" s="82" t="n"/>
      <c r="C129" s="82" t="n"/>
      <c r="D129" s="82" t="n"/>
      <c r="E129" s="82" t="n"/>
      <c r="F129" s="82" t="n"/>
      <c r="G129" s="82" t="n"/>
      <c r="H129" s="82" t="n"/>
      <c r="I129" s="82" t="n"/>
    </row>
    <row r="130">
      <c r="A130" s="82" t="n"/>
      <c r="B130" s="82" t="n"/>
      <c r="C130" s="82" t="n"/>
      <c r="D130" s="82" t="n"/>
      <c r="E130" s="82" t="n"/>
      <c r="F130" s="82" t="n"/>
      <c r="G130" s="82" t="n"/>
      <c r="H130" s="82" t="n"/>
      <c r="I130" s="82" t="n"/>
    </row>
    <row r="131">
      <c r="A131" s="82" t="n"/>
      <c r="B131" s="82" t="n"/>
      <c r="C131" s="82" t="n"/>
      <c r="D131" s="82" t="n"/>
      <c r="E131" s="82" t="n"/>
      <c r="F131" s="82" t="n"/>
      <c r="G131" s="82" t="n"/>
      <c r="H131" s="82" t="n"/>
      <c r="I131" s="82" t="n"/>
    </row>
    <row r="132">
      <c r="A132" s="82" t="n"/>
      <c r="B132" s="82" t="n"/>
      <c r="C132" s="82" t="n"/>
      <c r="D132" s="82" t="n"/>
      <c r="E132" s="82" t="n"/>
      <c r="F132" s="82" t="n"/>
      <c r="G132" s="82" t="n"/>
      <c r="H132" s="82" t="n"/>
      <c r="I132" s="82" t="n"/>
    </row>
    <row r="133">
      <c r="A133" s="82" t="n"/>
      <c r="B133" s="82" t="n"/>
      <c r="C133" s="82" t="n"/>
      <c r="D133" s="82" t="n"/>
      <c r="E133" s="82" t="n"/>
      <c r="F133" s="82" t="n"/>
      <c r="G133" s="82" t="n"/>
      <c r="H133" s="82" t="n"/>
      <c r="I133" s="82" t="n"/>
    </row>
    <row r="134">
      <c r="A134" s="82" t="n"/>
      <c r="B134" s="82" t="n"/>
      <c r="C134" s="82" t="n"/>
      <c r="D134" s="82" t="n"/>
      <c r="E134" s="82" t="n"/>
      <c r="F134" s="82" t="n"/>
      <c r="G134" s="82" t="n"/>
      <c r="H134" s="82" t="n"/>
      <c r="I134" s="82" t="n"/>
    </row>
    <row r="135">
      <c r="A135" s="82" t="n"/>
      <c r="B135" s="82" t="n"/>
      <c r="C135" s="82" t="n"/>
      <c r="D135" s="82" t="n"/>
      <c r="E135" s="82" t="n"/>
      <c r="F135" s="82" t="n"/>
      <c r="G135" s="82" t="n"/>
      <c r="H135" s="82" t="n"/>
      <c r="I135" s="82" t="n"/>
    </row>
    <row r="136">
      <c r="A136" s="82" t="n"/>
      <c r="B136" s="82" t="n"/>
      <c r="C136" s="82" t="n"/>
      <c r="D136" s="82" t="n"/>
      <c r="E136" s="82" t="n"/>
      <c r="F136" s="82" t="n"/>
      <c r="G136" s="82" t="n"/>
      <c r="H136" s="82" t="n"/>
      <c r="I136" s="82" t="n"/>
    </row>
    <row r="137">
      <c r="A137" s="82" t="n"/>
      <c r="B137" s="82" t="n"/>
      <c r="C137" s="82" t="n"/>
      <c r="D137" s="82" t="n"/>
      <c r="E137" s="82" t="n"/>
      <c r="F137" s="82" t="n"/>
      <c r="G137" s="82" t="n"/>
      <c r="H137" s="82" t="n"/>
      <c r="I137" s="82" t="n"/>
    </row>
    <row r="138">
      <c r="A138" s="82" t="n"/>
      <c r="B138" s="82" t="n"/>
      <c r="C138" s="82" t="n"/>
      <c r="D138" s="82" t="n"/>
      <c r="E138" s="82" t="n"/>
      <c r="F138" s="82" t="n"/>
      <c r="G138" s="82" t="n"/>
      <c r="H138" s="82" t="n"/>
      <c r="I138" s="82" t="n"/>
    </row>
    <row r="139">
      <c r="A139" s="82" t="n"/>
      <c r="B139" s="82" t="n"/>
      <c r="C139" s="82" t="n"/>
      <c r="D139" s="82" t="n"/>
      <c r="E139" s="82" t="n"/>
      <c r="F139" s="82" t="n"/>
      <c r="G139" s="82" t="n"/>
      <c r="H139" s="82" t="n"/>
      <c r="I139" s="82" t="n"/>
    </row>
    <row r="140">
      <c r="A140" s="82" t="n"/>
      <c r="B140" s="82" t="n"/>
      <c r="C140" s="82" t="n"/>
      <c r="D140" s="82" t="n"/>
      <c r="E140" s="82" t="n"/>
      <c r="F140" s="82" t="n"/>
      <c r="G140" s="82" t="n"/>
      <c r="H140" s="82" t="n"/>
      <c r="I140" s="82" t="n"/>
    </row>
    <row r="141">
      <c r="A141" s="82" t="n"/>
      <c r="B141" s="82" t="n"/>
      <c r="C141" s="82" t="n"/>
      <c r="D141" s="82" t="n"/>
      <c r="E141" s="82" t="n"/>
      <c r="F141" s="82" t="n"/>
      <c r="G141" s="82" t="n"/>
      <c r="H141" s="82" t="n"/>
      <c r="I141" s="82" t="n"/>
    </row>
    <row r="142">
      <c r="A142" s="82" t="n"/>
      <c r="B142" s="82" t="n"/>
      <c r="C142" s="82" t="n"/>
      <c r="D142" s="82" t="n"/>
      <c r="E142" s="82" t="n"/>
      <c r="F142" s="82" t="n"/>
      <c r="G142" s="82" t="n"/>
      <c r="H142" s="82" t="n"/>
      <c r="I142" s="82" t="n"/>
    </row>
    <row r="143">
      <c r="A143" s="82" t="n"/>
      <c r="B143" s="82" t="n"/>
      <c r="C143" s="82" t="n"/>
      <c r="D143" s="82" t="n"/>
      <c r="E143" s="82" t="n"/>
      <c r="F143" s="82" t="n"/>
      <c r="G143" s="82" t="n"/>
      <c r="H143" s="82" t="n"/>
      <c r="I143" s="82" t="n"/>
    </row>
    <row r="144">
      <c r="A144" s="82" t="n"/>
      <c r="B144" s="82" t="n"/>
      <c r="C144" s="82" t="n"/>
      <c r="D144" s="82" t="n"/>
      <c r="E144" s="82" t="n"/>
      <c r="F144" s="82" t="n"/>
      <c r="G144" s="82" t="n"/>
      <c r="H144" s="82" t="n"/>
      <c r="I144" s="82" t="n"/>
    </row>
    <row r="145">
      <c r="A145" s="82" t="n"/>
      <c r="B145" s="82" t="n"/>
      <c r="C145" s="82" t="n"/>
      <c r="D145" s="82" t="n"/>
      <c r="E145" s="82" t="n"/>
      <c r="F145" s="82" t="n"/>
      <c r="G145" s="82" t="n"/>
      <c r="H145" s="82" t="n"/>
      <c r="I145" s="82" t="n"/>
    </row>
    <row r="146">
      <c r="A146" s="82" t="n"/>
      <c r="B146" s="82" t="n"/>
      <c r="C146" s="82" t="n"/>
      <c r="D146" s="82" t="n"/>
      <c r="E146" s="82" t="n"/>
      <c r="F146" s="82" t="n"/>
      <c r="G146" s="82" t="n"/>
      <c r="H146" s="82" t="n"/>
      <c r="I146" s="82" t="n"/>
    </row>
    <row r="147">
      <c r="A147" s="82" t="n"/>
      <c r="B147" s="82" t="n"/>
      <c r="C147" s="82" t="n"/>
      <c r="D147" s="82" t="n"/>
      <c r="E147" s="82" t="n"/>
      <c r="F147" s="82" t="n"/>
      <c r="G147" s="82" t="n"/>
      <c r="H147" s="82" t="n"/>
      <c r="I147" s="82" t="n"/>
    </row>
    <row r="148">
      <c r="A148" s="82" t="n"/>
      <c r="B148" s="82" t="n"/>
      <c r="C148" s="82" t="n"/>
      <c r="D148" s="82" t="n"/>
      <c r="E148" s="82" t="n"/>
      <c r="F148" s="82" t="n"/>
      <c r="G148" s="82" t="n"/>
      <c r="H148" s="82" t="n"/>
      <c r="I148" s="82" t="n"/>
    </row>
    <row r="149">
      <c r="A149" s="82" t="n"/>
      <c r="B149" s="82" t="n"/>
      <c r="C149" s="82" t="n"/>
      <c r="D149" s="82" t="n"/>
      <c r="E149" s="82" t="n"/>
      <c r="F149" s="82" t="n"/>
      <c r="G149" s="82" t="n"/>
      <c r="H149" s="82" t="n"/>
      <c r="I149" s="82" t="n"/>
    </row>
    <row r="150">
      <c r="A150" s="82" t="n"/>
      <c r="B150" s="82" t="n"/>
      <c r="C150" s="82" t="n"/>
      <c r="D150" s="82" t="n"/>
      <c r="E150" s="82" t="n"/>
      <c r="F150" s="82" t="n"/>
      <c r="G150" s="82" t="n"/>
      <c r="H150" s="82" t="n"/>
      <c r="I150" s="82" t="n"/>
    </row>
    <row r="151">
      <c r="A151" s="82" t="n"/>
      <c r="B151" s="82" t="n"/>
      <c r="C151" s="82" t="n"/>
      <c r="D151" s="82" t="n"/>
      <c r="E151" s="82" t="n"/>
      <c r="F151" s="82" t="n"/>
      <c r="G151" s="82" t="n"/>
      <c r="H151" s="82" t="n"/>
      <c r="I151" s="82" t="n"/>
    </row>
    <row r="152">
      <c r="A152" s="82" t="n"/>
      <c r="B152" s="82" t="n"/>
      <c r="C152" s="82" t="n"/>
      <c r="D152" s="82" t="n"/>
      <c r="E152" s="82" t="n"/>
      <c r="F152" s="82" t="n"/>
      <c r="G152" s="82" t="n"/>
      <c r="H152" s="82" t="n"/>
      <c r="I152" s="82" t="n"/>
    </row>
    <row r="153">
      <c r="A153" s="82" t="n"/>
      <c r="B153" s="82" t="n"/>
      <c r="C153" s="82" t="n"/>
      <c r="D153" s="82" t="n"/>
      <c r="E153" s="82" t="n"/>
      <c r="F153" s="82" t="n"/>
      <c r="G153" s="82" t="n"/>
      <c r="H153" s="82" t="n"/>
      <c r="I153" s="82" t="n"/>
    </row>
    <row r="154">
      <c r="A154" s="82" t="n"/>
      <c r="B154" s="82" t="n"/>
      <c r="C154" s="82" t="n"/>
      <c r="D154" s="82" t="n"/>
      <c r="E154" s="82" t="n"/>
      <c r="F154" s="82" t="n"/>
      <c r="G154" s="82" t="n"/>
      <c r="H154" s="82" t="n"/>
      <c r="I154" s="82" t="n"/>
    </row>
    <row r="155">
      <c r="A155" s="82" t="n"/>
      <c r="B155" s="82" t="n"/>
      <c r="C155" s="82" t="n"/>
      <c r="D155" s="82" t="n"/>
      <c r="E155" s="82" t="n"/>
      <c r="F155" s="82" t="n"/>
      <c r="G155" s="82" t="n"/>
      <c r="H155" s="82" t="n"/>
      <c r="I155" s="82" t="n"/>
    </row>
    <row r="156">
      <c r="A156" s="82" t="n"/>
      <c r="B156" s="82" t="n"/>
      <c r="C156" s="82" t="n"/>
      <c r="D156" s="82" t="n"/>
      <c r="E156" s="82" t="n"/>
      <c r="F156" s="82" t="n"/>
      <c r="G156" s="82" t="n"/>
      <c r="H156" s="82" t="n"/>
      <c r="I156" s="82" t="n"/>
    </row>
    <row r="157">
      <c r="A157" s="82" t="n"/>
      <c r="B157" s="82" t="n"/>
      <c r="C157" s="82" t="n"/>
      <c r="D157" s="82" t="n"/>
      <c r="E157" s="82" t="n"/>
      <c r="F157" s="82" t="n"/>
      <c r="G157" s="82" t="n"/>
      <c r="H157" s="82" t="n"/>
      <c r="I157" s="82" t="n"/>
    </row>
    <row r="158">
      <c r="A158" s="82" t="n"/>
      <c r="B158" s="82" t="n"/>
      <c r="C158" s="82" t="n"/>
      <c r="D158" s="82" t="n"/>
      <c r="E158" s="82" t="n"/>
      <c r="F158" s="82" t="n"/>
      <c r="G158" s="82" t="n"/>
      <c r="H158" s="82" t="n"/>
      <c r="I158" s="82" t="n"/>
    </row>
    <row r="159">
      <c r="A159" s="82" t="n"/>
      <c r="B159" s="82" t="n"/>
      <c r="C159" s="82" t="n"/>
      <c r="D159" s="82" t="n"/>
      <c r="E159" s="82" t="n"/>
      <c r="F159" s="82" t="n"/>
      <c r="G159" s="82" t="n"/>
      <c r="H159" s="82" t="n"/>
      <c r="I159" s="82" t="n"/>
    </row>
    <row r="160">
      <c r="A160" s="82" t="n"/>
      <c r="B160" s="82" t="n"/>
      <c r="C160" s="82" t="n"/>
      <c r="D160" s="82" t="n"/>
      <c r="E160" s="82" t="n"/>
      <c r="F160" s="82" t="n"/>
      <c r="G160" s="82" t="n"/>
      <c r="H160" s="82" t="n"/>
      <c r="I160" s="82" t="n"/>
    </row>
    <row r="161">
      <c r="A161" s="82" t="n"/>
      <c r="B161" s="82" t="n"/>
      <c r="C161" s="82" t="n"/>
      <c r="D161" s="82" t="n"/>
      <c r="E161" s="82" t="n"/>
      <c r="F161" s="82" t="n"/>
      <c r="G161" s="82" t="n"/>
      <c r="H161" s="82" t="n"/>
      <c r="I161" s="82" t="n"/>
    </row>
    <row r="162">
      <c r="A162" s="82" t="n"/>
      <c r="B162" s="82" t="n"/>
      <c r="C162" s="82" t="n"/>
      <c r="D162" s="82" t="n"/>
      <c r="E162" s="82" t="n"/>
      <c r="F162" s="82" t="n"/>
      <c r="G162" s="82" t="n"/>
      <c r="H162" s="82" t="n"/>
      <c r="I162" s="82" t="n"/>
    </row>
    <row r="163">
      <c r="A163" s="82" t="n"/>
      <c r="B163" s="82" t="n"/>
      <c r="C163" s="82" t="n"/>
      <c r="D163" s="82" t="n"/>
      <c r="E163" s="82" t="n"/>
      <c r="F163" s="82" t="n"/>
      <c r="G163" s="82" t="n"/>
      <c r="H163" s="82" t="n"/>
      <c r="I163" s="82" t="n"/>
    </row>
    <row r="164">
      <c r="A164" s="82" t="n"/>
      <c r="B164" s="82" t="n"/>
      <c r="C164" s="82" t="n"/>
      <c r="D164" s="82" t="n"/>
      <c r="E164" s="82" t="n"/>
      <c r="F164" s="82" t="n"/>
      <c r="G164" s="82" t="n"/>
      <c r="H164" s="82" t="n"/>
      <c r="I164" s="82" t="n"/>
    </row>
    <row r="165">
      <c r="A165" s="82" t="n"/>
      <c r="B165" s="82" t="n"/>
      <c r="C165" s="82" t="n"/>
      <c r="D165" s="82" t="n"/>
      <c r="E165" s="82" t="n"/>
      <c r="F165" s="82" t="n"/>
      <c r="G165" s="82" t="n"/>
      <c r="H165" s="82" t="n"/>
      <c r="I165" s="82" t="n"/>
    </row>
    <row r="166">
      <c r="A166" s="82" t="n"/>
      <c r="B166" s="82" t="n"/>
      <c r="C166" s="82" t="n"/>
      <c r="D166" s="82" t="n"/>
      <c r="E166" s="82" t="n"/>
      <c r="F166" s="82" t="n"/>
      <c r="G166" s="82" t="n"/>
      <c r="H166" s="82" t="n"/>
      <c r="I166" s="82" t="n"/>
    </row>
    <row r="167">
      <c r="A167" s="82" t="n"/>
      <c r="B167" s="82" t="n"/>
      <c r="C167" s="82" t="n"/>
      <c r="D167" s="82" t="n"/>
      <c r="E167" s="82" t="n"/>
      <c r="F167" s="82" t="n"/>
      <c r="G167" s="82" t="n"/>
      <c r="H167" s="82" t="n"/>
      <c r="I167" s="82" t="n"/>
    </row>
    <row r="168">
      <c r="A168" s="82" t="n"/>
      <c r="B168" s="82" t="n"/>
      <c r="C168" s="82" t="n"/>
      <c r="D168" s="82" t="n"/>
      <c r="E168" s="82" t="n"/>
      <c r="F168" s="82" t="n"/>
      <c r="G168" s="82" t="n"/>
      <c r="H168" s="82" t="n"/>
      <c r="I168" s="82" t="n"/>
    </row>
    <row r="169">
      <c r="A169" s="82" t="n"/>
      <c r="B169" s="82" t="n"/>
      <c r="C169" s="82" t="n"/>
      <c r="D169" s="82" t="n"/>
      <c r="E169" s="82" t="n"/>
      <c r="F169" s="82" t="n"/>
      <c r="G169" s="82" t="n"/>
      <c r="H169" s="82" t="n"/>
      <c r="I169" s="82" t="n"/>
    </row>
    <row r="170">
      <c r="A170" s="82" t="n"/>
      <c r="B170" s="82" t="n"/>
      <c r="C170" s="82" t="n"/>
      <c r="D170" s="82" t="n"/>
      <c r="E170" s="82" t="n"/>
      <c r="F170" s="82" t="n"/>
      <c r="G170" s="82" t="n"/>
      <c r="H170" s="82" t="n"/>
      <c r="I170" s="82" t="n"/>
    </row>
    <row r="171">
      <c r="A171" s="82" t="n"/>
      <c r="B171" s="82" t="n"/>
      <c r="C171" s="82" t="n"/>
      <c r="D171" s="82" t="n"/>
      <c r="E171" s="82" t="n"/>
      <c r="F171" s="82" t="n"/>
      <c r="G171" s="82" t="n"/>
      <c r="H171" s="82" t="n"/>
      <c r="I171" s="82" t="n"/>
    </row>
    <row r="172">
      <c r="A172" s="82" t="n"/>
      <c r="B172" s="82" t="n"/>
      <c r="C172" s="82" t="n"/>
      <c r="D172" s="82" t="n"/>
      <c r="E172" s="82" t="n"/>
      <c r="F172" s="82" t="n"/>
      <c r="G172" s="82" t="n"/>
      <c r="H172" s="82" t="n"/>
      <c r="I172" s="82" t="n"/>
    </row>
    <row r="173">
      <c r="A173" s="82" t="n"/>
      <c r="B173" s="82" t="n"/>
      <c r="C173" s="82" t="n"/>
      <c r="D173" s="82" t="n"/>
      <c r="E173" s="82" t="n"/>
      <c r="F173" s="82" t="n"/>
      <c r="G173" s="82" t="n"/>
      <c r="H173" s="82" t="n"/>
      <c r="I173" s="82" t="n"/>
    </row>
    <row r="174">
      <c r="A174" s="82" t="n"/>
      <c r="B174" s="82" t="n"/>
      <c r="C174" s="82" t="n"/>
      <c r="D174" s="82" t="n"/>
      <c r="E174" s="82" t="n"/>
      <c r="F174" s="82" t="n"/>
      <c r="G174" s="82" t="n"/>
      <c r="H174" s="82" t="n"/>
      <c r="I174" s="82" t="n"/>
    </row>
    <row r="175">
      <c r="A175" s="82" t="n"/>
      <c r="B175" s="82" t="n"/>
      <c r="C175" s="82" t="n"/>
      <c r="D175" s="82" t="n"/>
      <c r="E175" s="82" t="n"/>
      <c r="F175" s="82" t="n"/>
      <c r="G175" s="82" t="n"/>
      <c r="H175" s="82" t="n"/>
      <c r="I175" s="82" t="n"/>
    </row>
    <row r="176">
      <c r="A176" s="82" t="n"/>
      <c r="B176" s="82" t="n"/>
      <c r="C176" s="82" t="n"/>
      <c r="D176" s="82" t="n"/>
      <c r="E176" s="82" t="n"/>
      <c r="F176" s="82" t="n"/>
      <c r="G176" s="82" t="n"/>
      <c r="H176" s="82" t="n"/>
      <c r="I176" s="82" t="n"/>
    </row>
    <row r="177">
      <c r="A177" s="82" t="n"/>
      <c r="B177" s="82" t="n"/>
      <c r="C177" s="82" t="n"/>
      <c r="D177" s="82" t="n"/>
      <c r="E177" s="82" t="n"/>
      <c r="F177" s="82" t="n"/>
      <c r="G177" s="82" t="n"/>
      <c r="H177" s="82" t="n"/>
      <c r="I177" s="82" t="n"/>
    </row>
    <row r="178">
      <c r="A178" s="82" t="n"/>
      <c r="B178" s="82" t="n"/>
      <c r="C178" s="82" t="n"/>
      <c r="D178" s="82" t="n"/>
      <c r="E178" s="82" t="n"/>
      <c r="F178" s="82" t="n"/>
      <c r="G178" s="82" t="n"/>
      <c r="H178" s="82" t="n"/>
      <c r="I178" s="82" t="n"/>
    </row>
    <row r="179">
      <c r="A179" s="82" t="n"/>
      <c r="B179" s="82" t="n"/>
      <c r="C179" s="82" t="n"/>
      <c r="D179" s="82" t="n"/>
      <c r="E179" s="82" t="n"/>
      <c r="F179" s="82" t="n"/>
      <c r="G179" s="82" t="n"/>
      <c r="H179" s="82" t="n"/>
      <c r="I179" s="82" t="n"/>
    </row>
    <row r="180">
      <c r="A180" s="82" t="n"/>
      <c r="B180" s="82" t="n"/>
      <c r="C180" s="82" t="n"/>
      <c r="D180" s="82" t="n"/>
      <c r="E180" s="82" t="n"/>
      <c r="F180" s="82" t="n"/>
      <c r="G180" s="82" t="n"/>
      <c r="H180" s="82" t="n"/>
      <c r="I180" s="82" t="n"/>
    </row>
    <row r="181">
      <c r="A181" s="82" t="n"/>
      <c r="B181" s="82" t="n"/>
      <c r="C181" s="82" t="n"/>
      <c r="D181" s="82" t="n"/>
      <c r="E181" s="82" t="n"/>
      <c r="F181" s="82" t="n"/>
      <c r="G181" s="82" t="n"/>
      <c r="H181" s="82" t="n"/>
      <c r="I181" s="82" t="n"/>
    </row>
    <row r="182">
      <c r="A182" s="82" t="n"/>
      <c r="B182" s="82" t="n"/>
      <c r="C182" s="82" t="n"/>
      <c r="D182" s="82" t="n"/>
      <c r="E182" s="82" t="n"/>
      <c r="F182" s="82" t="n"/>
      <c r="G182" s="82" t="n"/>
      <c r="H182" s="82" t="n"/>
      <c r="I182" s="82" t="n"/>
    </row>
    <row r="183">
      <c r="A183" s="82" t="n"/>
      <c r="B183" s="82" t="n"/>
      <c r="C183" s="82" t="n"/>
      <c r="D183" s="82" t="n"/>
      <c r="E183" s="82" t="n"/>
      <c r="F183" s="82" t="n"/>
      <c r="G183" s="82" t="n"/>
      <c r="H183" s="82" t="n"/>
      <c r="I183" s="82" t="n"/>
    </row>
    <row r="184">
      <c r="A184" s="82" t="n"/>
      <c r="B184" s="82" t="n"/>
      <c r="C184" s="82" t="n"/>
      <c r="D184" s="82" t="n"/>
      <c r="E184" s="82" t="n"/>
      <c r="F184" s="82" t="n"/>
      <c r="G184" s="82" t="n"/>
      <c r="H184" s="82" t="n"/>
      <c r="I184" s="82" t="n"/>
    </row>
    <row r="185">
      <c r="A185" s="82" t="n"/>
      <c r="B185" s="82" t="n"/>
      <c r="C185" s="82" t="n"/>
      <c r="D185" s="82" t="n"/>
      <c r="E185" s="82" t="n"/>
      <c r="F185" s="82" t="n"/>
      <c r="G185" s="82" t="n"/>
      <c r="H185" s="82" t="n"/>
      <c r="I185" s="82" t="n"/>
    </row>
    <row r="186">
      <c r="A186" s="82" t="n"/>
      <c r="B186" s="82" t="n"/>
      <c r="C186" s="82" t="n"/>
      <c r="D186" s="82" t="n"/>
      <c r="E186" s="82" t="n"/>
      <c r="F186" s="82" t="n"/>
      <c r="G186" s="82" t="n"/>
      <c r="H186" s="82" t="n"/>
      <c r="I186" s="82" t="n"/>
    </row>
    <row r="187">
      <c r="A187" s="82" t="n"/>
      <c r="B187" s="82" t="n"/>
      <c r="C187" s="82" t="n"/>
      <c r="D187" s="82" t="n"/>
      <c r="E187" s="82" t="n"/>
      <c r="F187" s="82" t="n"/>
      <c r="G187" s="82" t="n"/>
      <c r="H187" s="82" t="n"/>
      <c r="I187" s="82" t="n"/>
    </row>
    <row r="188">
      <c r="A188" s="82" t="n"/>
      <c r="B188" s="82" t="n"/>
      <c r="C188" s="82" t="n"/>
      <c r="D188" s="82" t="n"/>
      <c r="E188" s="82" t="n"/>
      <c r="F188" s="82" t="n"/>
      <c r="G188" s="82" t="n"/>
      <c r="H188" s="82" t="n"/>
      <c r="I188" s="82" t="n"/>
    </row>
    <row r="189">
      <c r="A189" s="82" t="n"/>
      <c r="B189" s="82" t="n"/>
      <c r="C189" s="82" t="n"/>
      <c r="D189" s="82" t="n"/>
      <c r="E189" s="82" t="n"/>
      <c r="F189" s="82" t="n"/>
      <c r="G189" s="82" t="n"/>
      <c r="H189" s="82" t="n"/>
      <c r="I189" s="82" t="n"/>
    </row>
    <row r="190">
      <c r="A190" s="82" t="n"/>
      <c r="B190" s="82" t="n"/>
      <c r="C190" s="82" t="n"/>
      <c r="D190" s="82" t="n"/>
      <c r="E190" s="82" t="n"/>
      <c r="F190" s="82" t="n"/>
      <c r="G190" s="82" t="n"/>
      <c r="H190" s="82" t="n"/>
      <c r="I190" s="82" t="n"/>
    </row>
    <row r="191">
      <c r="A191" s="82" t="n"/>
      <c r="B191" s="82" t="n"/>
      <c r="C191" s="82" t="n"/>
      <c r="D191" s="82" t="n"/>
      <c r="E191" s="82" t="n"/>
      <c r="F191" s="82" t="n"/>
      <c r="G191" s="82" t="n"/>
      <c r="H191" s="82" t="n"/>
      <c r="I191" s="82" t="n"/>
    </row>
    <row r="192">
      <c r="A192" s="82" t="n"/>
      <c r="B192" s="82" t="n"/>
      <c r="C192" s="82" t="n"/>
      <c r="D192" s="82" t="n"/>
      <c r="E192" s="82" t="n"/>
      <c r="F192" s="82" t="n"/>
      <c r="G192" s="82" t="n"/>
      <c r="H192" s="82" t="n"/>
      <c r="I192" s="82" t="n"/>
    </row>
    <row r="193">
      <c r="A193" s="82" t="n"/>
      <c r="B193" s="82" t="n"/>
      <c r="C193" s="82" t="n"/>
      <c r="D193" s="82" t="n"/>
      <c r="E193" s="82" t="n"/>
      <c r="F193" s="82" t="n"/>
      <c r="G193" s="82" t="n"/>
      <c r="H193" s="82" t="n"/>
      <c r="I193" s="82" t="n"/>
    </row>
    <row r="194">
      <c r="A194" s="82" t="n"/>
      <c r="B194" s="82" t="n"/>
      <c r="C194" s="82" t="n"/>
      <c r="D194" s="82" t="n"/>
      <c r="E194" s="82" t="n"/>
      <c r="F194" s="82" t="n"/>
      <c r="G194" s="82" t="n"/>
      <c r="H194" s="82" t="n"/>
      <c r="I194" s="82" t="n"/>
    </row>
    <row r="195">
      <c r="A195" s="82" t="n"/>
      <c r="B195" s="82" t="n"/>
      <c r="C195" s="82" t="n"/>
      <c r="D195" s="82" t="n"/>
      <c r="E195" s="82" t="n"/>
      <c r="F195" s="82" t="n"/>
      <c r="G195" s="82" t="n"/>
      <c r="H195" s="82" t="n"/>
      <c r="I195" s="82" t="n"/>
    </row>
    <row r="196">
      <c r="A196" s="82" t="n"/>
      <c r="B196" s="82" t="n"/>
      <c r="C196" s="82" t="n"/>
      <c r="D196" s="82" t="n"/>
      <c r="E196" s="82" t="n"/>
      <c r="F196" s="82" t="n"/>
      <c r="G196" s="82" t="n"/>
      <c r="H196" s="82" t="n"/>
      <c r="I196" s="82" t="n"/>
    </row>
    <row r="197">
      <c r="A197" s="82" t="n"/>
      <c r="B197" s="82" t="n"/>
      <c r="C197" s="82" t="n"/>
      <c r="D197" s="82" t="n"/>
      <c r="E197" s="82" t="n"/>
      <c r="F197" s="82" t="n"/>
      <c r="G197" s="82" t="n"/>
      <c r="H197" s="82" t="n"/>
      <c r="I197" s="82" t="n"/>
    </row>
    <row r="198">
      <c r="A198" s="82" t="n"/>
      <c r="B198" s="82" t="n"/>
      <c r="C198" s="82" t="n"/>
      <c r="D198" s="82" t="n"/>
      <c r="E198" s="82" t="n"/>
      <c r="F198" s="82" t="n"/>
      <c r="G198" s="82" t="n"/>
      <c r="H198" s="82" t="n"/>
      <c r="I198" s="82" t="n"/>
    </row>
    <row r="199">
      <c r="A199" s="82" t="n"/>
      <c r="B199" s="82" t="n"/>
      <c r="C199" s="82" t="n"/>
      <c r="D199" s="82" t="n"/>
      <c r="E199" s="82" t="n"/>
      <c r="F199" s="82" t="n"/>
      <c r="G199" s="82" t="n"/>
      <c r="H199" s="82" t="n"/>
      <c r="I199" s="82" t="n"/>
    </row>
    <row r="200">
      <c r="A200" s="82" t="n"/>
      <c r="B200" s="82" t="n"/>
      <c r="C200" s="82" t="n"/>
      <c r="D200" s="82" t="n"/>
      <c r="E200" s="82" t="n"/>
      <c r="F200" s="82" t="n"/>
      <c r="G200" s="82" t="n"/>
      <c r="H200" s="82" t="n"/>
      <c r="I200" s="82" t="n"/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autoFilter ref="A4:I13"/>
  <mergeCells count="2">
    <mergeCell ref="A1:I1"/>
    <mergeCell ref="A2:I2"/>
  </mergeCells>
  <conditionalFormatting sqref="G5:G80">
    <cfRule type="expression" priority="1" dxfId="0">
      <formula>G5="Active"</formula>
    </cfRule>
    <cfRule type="expression" priority="2" dxfId="8">
      <formula>G5="Inactive"</formula>
    </cfRule>
  </conditionalFormatting>
  <dataValidations count="1">
    <dataValidation sqref="E5:E80" showDropDown="0" showInputMessage="0" showErrorMessage="1" allowBlank="1" errorTitle="Invalid value" error="Pick a value from the list." type="list">
      <formula1>=Role</formula1>
    </dataValidation>
  </dataValidations>
  <pageMargins left="0.4" right="0.4" top="0.6" bottom="0.5" header="0.25" footer="0.25"/>
  <pageSetup orientation="landscape" paperSize="3" fitToHeight="0" fitToWidth="1"/>
  <headerFooter>
    <oddHeader>&amp;LNovality Store  ·  Home Renovation System&amp;RUsers</oddHeader>
    <oddFooter>&amp;LConfidential  ·  Digital twin of the home&amp;RPage &amp;P of &amp;N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tabColor rgb="001F4A42"/>
    <outlinePr summaryBelow="1" summaryRight="1"/>
    <pageSetUpPr fitToPage="1"/>
  </sheetPr>
  <dimension ref="A1:R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14" customWidth="1" min="4" max="4"/>
    <col width="8" customWidth="1" min="5" max="5"/>
    <col width="10" customWidth="1" min="6" max="6"/>
    <col width="10" customWidth="1" min="7" max="7"/>
    <col width="14" customWidth="1" min="8" max="8"/>
    <col width="12" customWidth="1" min="9" max="9"/>
    <col width="10" customWidth="1" min="10" max="10"/>
    <col width="10" customWidth="1" min="11" max="11"/>
    <col width="8" customWidth="1" min="12" max="12"/>
    <col width="8" customWidth="1" min="13" max="13"/>
    <col width="16" customWidth="1" min="14" max="14"/>
    <col width="14" customWidth="1" min="15" max="15"/>
    <col width="20" customWidth="1" min="16" max="16"/>
    <col width="14" customWidth="1" min="17" max="17"/>
    <col width="46" customWidth="1" min="18" max="18"/>
  </cols>
  <sheetData>
    <row r="1" ht="28" customHeight="1">
      <c r="A1" s="1" t="inlineStr">
        <is>
          <t>PROPERTIES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" customHeight="1">
      <c r="A2" s="3" t="inlineStr">
        <is>
          <t>Multi-property digital twin  ·  one row per home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</row>
    <row r="4" ht="22" customHeight="1">
      <c r="A4" s="66" t="inlineStr">
        <is>
          <t>Property ID</t>
        </is>
      </c>
      <c r="B4" s="66" t="inlineStr">
        <is>
          <t>Name</t>
        </is>
      </c>
      <c r="C4" s="66" t="inlineStr">
        <is>
          <t>Street</t>
        </is>
      </c>
      <c r="D4" s="66" t="inlineStr">
        <is>
          <t>City</t>
        </is>
      </c>
      <c r="E4" s="66" t="inlineStr">
        <is>
          <t>State</t>
        </is>
      </c>
      <c r="F4" s="66" t="inlineStr">
        <is>
          <t>Postal</t>
        </is>
      </c>
      <c r="G4" s="66" t="inlineStr">
        <is>
          <t>Country</t>
        </is>
      </c>
      <c r="H4" s="66" t="inlineStr">
        <is>
          <t>Type</t>
        </is>
      </c>
      <c r="I4" s="66" t="inlineStr">
        <is>
          <t>Year Built</t>
        </is>
      </c>
      <c r="J4" s="66" t="inlineStr">
        <is>
          <t>Sq Ft</t>
        </is>
      </c>
      <c r="K4" s="66" t="inlineStr">
        <is>
          <t>Stories</t>
        </is>
      </c>
      <c r="L4" s="66" t="inlineStr">
        <is>
          <t>Beds</t>
        </is>
      </c>
      <c r="M4" s="66" t="inlineStr">
        <is>
          <t>Baths</t>
        </is>
      </c>
      <c r="N4" s="66" t="inlineStr">
        <is>
          <t>Owner</t>
        </is>
      </c>
      <c r="O4" s="66" t="inlineStr">
        <is>
          <t>Owner User ID</t>
        </is>
      </c>
      <c r="P4" s="66" t="inlineStr">
        <is>
          <t>Insurance Policy</t>
        </is>
      </c>
      <c r="Q4" s="66" t="inlineStr">
        <is>
          <t>Insurance Year</t>
        </is>
      </c>
      <c r="R4" s="66" t="inlineStr">
        <is>
          <t>Notes</t>
        </is>
      </c>
    </row>
    <row r="5" ht="18" customHeight="1">
      <c r="A5" s="67" t="inlineStr">
        <is>
          <t>PROP-001</t>
        </is>
      </c>
      <c r="B5" s="67" t="inlineStr">
        <is>
          <t>Maplewood Residence</t>
        </is>
      </c>
      <c r="C5" s="67" t="inlineStr">
        <is>
          <t>1847 Maplewood Drive</t>
        </is>
      </c>
      <c r="D5" s="67" t="inlineStr">
        <is>
          <t>Portland</t>
        </is>
      </c>
      <c r="E5" s="68" t="inlineStr">
        <is>
          <t>OR</t>
        </is>
      </c>
      <c r="F5" s="68" t="inlineStr">
        <is>
          <t>97214</t>
        </is>
      </c>
      <c r="G5" s="68" t="inlineStr">
        <is>
          <t>USA</t>
        </is>
      </c>
      <c r="H5" s="67" t="inlineStr">
        <is>
          <t>Single Family</t>
        </is>
      </c>
      <c r="I5" s="67" t="n">
        <v>1928</v>
      </c>
      <c r="J5" s="67" t="n">
        <v>2480</v>
      </c>
      <c r="K5" s="68" t="n">
        <v>2</v>
      </c>
      <c r="L5" s="68" t="n">
        <v>4</v>
      </c>
      <c r="M5" s="67" t="n">
        <v>2.5</v>
      </c>
      <c r="N5" s="67" t="inlineStr">
        <is>
          <t>Alex Rivera</t>
        </is>
      </c>
      <c r="O5" s="67" t="inlineStr">
        <is>
          <t>HO-001</t>
        </is>
      </c>
      <c r="P5" s="68" t="inlineStr">
        <is>
          <t>State Farm HO-34821</t>
        </is>
      </c>
      <c r="Q5" s="68" t="n">
        <v>2027</v>
      </c>
      <c r="R5" s="67" t="inlineStr">
        <is>
          <t>Craftsman with later additions. Knob-and-tube mostly retired.</t>
        </is>
      </c>
    </row>
    <row r="6" ht="18" customHeight="1">
      <c r="A6" s="75" t="inlineStr">
        <is>
          <t>PROP-002</t>
        </is>
      </c>
      <c r="B6" s="75" t="inlineStr">
        <is>
          <t>Columbia Gorge Cabin</t>
        </is>
      </c>
      <c r="C6" s="75" t="inlineStr">
        <is>
          <t>88 Ridge Trail</t>
        </is>
      </c>
      <c r="D6" s="75" t="inlineStr">
        <is>
          <t>Hood River</t>
        </is>
      </c>
      <c r="E6" s="76" t="inlineStr">
        <is>
          <t>OR</t>
        </is>
      </c>
      <c r="F6" s="76" t="inlineStr">
        <is>
          <t>97031</t>
        </is>
      </c>
      <c r="G6" s="76" t="inlineStr">
        <is>
          <t>USA</t>
        </is>
      </c>
      <c r="H6" s="75" t="inlineStr">
        <is>
          <t>Cabin</t>
        </is>
      </c>
      <c r="I6" s="75" t="n">
        <v>1998</v>
      </c>
      <c r="J6" s="75" t="n">
        <v>980</v>
      </c>
      <c r="K6" s="76" t="n">
        <v>1</v>
      </c>
      <c r="L6" s="76" t="n">
        <v>2</v>
      </c>
      <c r="M6" s="75" t="n">
        <v>1</v>
      </c>
      <c r="N6" s="75" t="inlineStr">
        <is>
          <t>Alex Rivera</t>
        </is>
      </c>
      <c r="O6" s="75" t="inlineStr">
        <is>
          <t>HO-001</t>
        </is>
      </c>
      <c r="P6" s="76" t="inlineStr">
        <is>
          <t>State Farm HO-34822</t>
        </is>
      </c>
      <c r="Q6" s="76" t="n">
        <v>2027</v>
      </c>
      <c r="R6" s="75" t="inlineStr">
        <is>
          <t>Weekend cabin. Bath refresh only.</t>
        </is>
      </c>
    </row>
    <row r="7">
      <c r="A7" s="81" t="n"/>
      <c r="B7" s="81" t="n"/>
      <c r="C7" s="81" t="n"/>
      <c r="D7" s="81" t="n"/>
      <c r="E7" s="81" t="n"/>
      <c r="F7" s="81" t="n"/>
      <c r="G7" s="81" t="n"/>
      <c r="H7" s="81" t="n"/>
      <c r="I7" s="81" t="n"/>
      <c r="J7" s="81" t="n"/>
      <c r="K7" s="81" t="n"/>
      <c r="L7" s="81" t="n"/>
      <c r="M7" s="81" t="n"/>
      <c r="N7" s="81" t="n"/>
      <c r="O7" s="81" t="n"/>
      <c r="P7" s="81" t="n"/>
      <c r="Q7" s="81" t="n"/>
      <c r="R7" s="81" t="n"/>
    </row>
    <row r="8">
      <c r="A8" s="81" t="n"/>
      <c r="B8" s="81" t="n"/>
      <c r="C8" s="81" t="n"/>
      <c r="D8" s="81" t="n"/>
      <c r="E8" s="81" t="n"/>
      <c r="F8" s="81" t="n"/>
      <c r="G8" s="81" t="n"/>
      <c r="H8" s="81" t="n"/>
      <c r="I8" s="81" t="n"/>
      <c r="J8" s="81" t="n"/>
      <c r="K8" s="81" t="n"/>
      <c r="L8" s="81" t="n"/>
      <c r="M8" s="81" t="n"/>
      <c r="N8" s="81" t="n"/>
      <c r="O8" s="81" t="n"/>
      <c r="P8" s="81" t="n"/>
      <c r="Q8" s="81" t="n"/>
      <c r="R8" s="81" t="n"/>
    </row>
    <row r="9">
      <c r="A9" s="82" t="n"/>
      <c r="B9" s="82" t="n"/>
      <c r="C9" s="82" t="n"/>
      <c r="D9" s="82" t="n"/>
      <c r="E9" s="82" t="n"/>
      <c r="F9" s="82" t="n"/>
      <c r="G9" s="82" t="n"/>
      <c r="H9" s="82" t="n"/>
      <c r="I9" s="82" t="n"/>
      <c r="J9" s="82" t="n"/>
      <c r="K9" s="82" t="n"/>
      <c r="L9" s="82" t="n"/>
      <c r="M9" s="82" t="n"/>
      <c r="N9" s="82" t="n"/>
      <c r="O9" s="82" t="n"/>
      <c r="P9" s="82" t="n"/>
      <c r="Q9" s="82" t="n"/>
      <c r="R9" s="82" t="n"/>
    </row>
    <row r="10">
      <c r="A10" s="82" t="n"/>
      <c r="B10" s="82" t="n"/>
      <c r="C10" s="82" t="n"/>
      <c r="D10" s="82" t="n"/>
      <c r="E10" s="82" t="n"/>
      <c r="F10" s="82" t="n"/>
      <c r="G10" s="82" t="n"/>
      <c r="H10" s="82" t="n"/>
      <c r="I10" s="82" t="n"/>
      <c r="J10" s="82" t="n"/>
      <c r="K10" s="82" t="n"/>
      <c r="L10" s="82" t="n"/>
      <c r="M10" s="82" t="n"/>
      <c r="N10" s="82" t="n"/>
      <c r="O10" s="82" t="n"/>
      <c r="P10" s="82" t="n"/>
      <c r="Q10" s="82" t="n"/>
      <c r="R10" s="82" t="n"/>
    </row>
    <row r="11">
      <c r="A11" s="82" t="n"/>
      <c r="B11" s="82" t="n"/>
      <c r="C11" s="82" t="n"/>
      <c r="D11" s="82" t="n"/>
      <c r="E11" s="82" t="n"/>
      <c r="F11" s="82" t="n"/>
      <c r="G11" s="82" t="n"/>
      <c r="H11" s="82" t="n"/>
      <c r="I11" s="82" t="n"/>
      <c r="J11" s="82" t="n"/>
      <c r="K11" s="82" t="n"/>
      <c r="L11" s="82" t="n"/>
      <c r="M11" s="82" t="n"/>
      <c r="N11" s="82" t="n"/>
      <c r="O11" s="82" t="n"/>
      <c r="P11" s="82" t="n"/>
      <c r="Q11" s="82" t="n"/>
      <c r="R11" s="82" t="n"/>
    </row>
    <row r="12">
      <c r="A12" s="82" t="n"/>
      <c r="B12" s="82" t="n"/>
      <c r="C12" s="82" t="n"/>
      <c r="D12" s="82" t="n"/>
      <c r="E12" s="82" t="n"/>
      <c r="F12" s="82" t="n"/>
      <c r="G12" s="82" t="n"/>
      <c r="H12" s="82" t="n"/>
      <c r="I12" s="82" t="n"/>
      <c r="J12" s="82" t="n"/>
      <c r="K12" s="82" t="n"/>
      <c r="L12" s="82" t="n"/>
      <c r="M12" s="82" t="n"/>
      <c r="N12" s="82" t="n"/>
      <c r="O12" s="82" t="n"/>
      <c r="P12" s="82" t="n"/>
      <c r="Q12" s="82" t="n"/>
      <c r="R12" s="82" t="n"/>
    </row>
    <row r="13">
      <c r="A13" s="82" t="n"/>
      <c r="B13" s="82" t="n"/>
      <c r="C13" s="82" t="n"/>
      <c r="D13" s="82" t="n"/>
      <c r="E13" s="82" t="n"/>
      <c r="F13" s="82" t="n"/>
      <c r="G13" s="82" t="n"/>
      <c r="H13" s="82" t="n"/>
      <c r="I13" s="82" t="n"/>
      <c r="J13" s="82" t="n"/>
      <c r="K13" s="82" t="n"/>
      <c r="L13" s="82" t="n"/>
      <c r="M13" s="82" t="n"/>
      <c r="N13" s="82" t="n"/>
      <c r="O13" s="82" t="n"/>
      <c r="P13" s="82" t="n"/>
      <c r="Q13" s="82" t="n"/>
      <c r="R13" s="82" t="n"/>
    </row>
    <row r="14">
      <c r="A14" s="82" t="n"/>
      <c r="B14" s="82" t="n"/>
      <c r="C14" s="82" t="n"/>
      <c r="D14" s="82" t="n"/>
      <c r="E14" s="82" t="n"/>
      <c r="F14" s="82" t="n"/>
      <c r="G14" s="82" t="n"/>
      <c r="H14" s="82" t="n"/>
      <c r="I14" s="82" t="n"/>
      <c r="J14" s="82" t="n"/>
      <c r="K14" s="82" t="n"/>
      <c r="L14" s="82" t="n"/>
      <c r="M14" s="82" t="n"/>
      <c r="N14" s="82" t="n"/>
      <c r="O14" s="82" t="n"/>
      <c r="P14" s="82" t="n"/>
      <c r="Q14" s="82" t="n"/>
      <c r="R14" s="82" t="n"/>
    </row>
    <row r="15">
      <c r="A15" s="82" t="n"/>
      <c r="B15" s="82" t="n"/>
      <c r="C15" s="82" t="n"/>
      <c r="D15" s="82" t="n"/>
      <c r="E15" s="82" t="n"/>
      <c r="F15" s="82" t="n"/>
      <c r="G15" s="82" t="n"/>
      <c r="H15" s="82" t="n"/>
      <c r="I15" s="82" t="n"/>
      <c r="J15" s="82" t="n"/>
      <c r="K15" s="82" t="n"/>
      <c r="L15" s="82" t="n"/>
      <c r="M15" s="82" t="n"/>
      <c r="N15" s="82" t="n"/>
      <c r="O15" s="82" t="n"/>
      <c r="P15" s="82" t="n"/>
      <c r="Q15" s="82" t="n"/>
      <c r="R15" s="82" t="n"/>
    </row>
    <row r="16">
      <c r="A16" s="82" t="n"/>
      <c r="B16" s="82" t="n"/>
      <c r="C16" s="82" t="n"/>
      <c r="D16" s="82" t="n"/>
      <c r="E16" s="82" t="n"/>
      <c r="F16" s="82" t="n"/>
      <c r="G16" s="82" t="n"/>
      <c r="H16" s="82" t="n"/>
      <c r="I16" s="82" t="n"/>
      <c r="J16" s="82" t="n"/>
      <c r="K16" s="82" t="n"/>
      <c r="L16" s="82" t="n"/>
      <c r="M16" s="82" t="n"/>
      <c r="N16" s="82" t="n"/>
      <c r="O16" s="82" t="n"/>
      <c r="P16" s="82" t="n"/>
      <c r="Q16" s="82" t="n"/>
      <c r="R16" s="82" t="n"/>
    </row>
    <row r="17">
      <c r="A17" s="82" t="n"/>
      <c r="B17" s="82" t="n"/>
      <c r="C17" s="82" t="n"/>
      <c r="D17" s="82" t="n"/>
      <c r="E17" s="82" t="n"/>
      <c r="F17" s="82" t="n"/>
      <c r="G17" s="82" t="n"/>
      <c r="H17" s="82" t="n"/>
      <c r="I17" s="82" t="n"/>
      <c r="J17" s="82" t="n"/>
      <c r="K17" s="82" t="n"/>
      <c r="L17" s="82" t="n"/>
      <c r="M17" s="82" t="n"/>
      <c r="N17" s="82" t="n"/>
      <c r="O17" s="82" t="n"/>
      <c r="P17" s="82" t="n"/>
      <c r="Q17" s="82" t="n"/>
      <c r="R17" s="82" t="n"/>
    </row>
    <row r="18">
      <c r="A18" s="82" t="n"/>
      <c r="B18" s="82" t="n"/>
      <c r="C18" s="82" t="n"/>
      <c r="D18" s="82" t="n"/>
      <c r="E18" s="82" t="n"/>
      <c r="F18" s="82" t="n"/>
      <c r="G18" s="82" t="n"/>
      <c r="H18" s="82" t="n"/>
      <c r="I18" s="82" t="n"/>
      <c r="J18" s="82" t="n"/>
      <c r="K18" s="82" t="n"/>
      <c r="L18" s="82" t="n"/>
      <c r="M18" s="82" t="n"/>
      <c r="N18" s="82" t="n"/>
      <c r="O18" s="82" t="n"/>
      <c r="P18" s="82" t="n"/>
      <c r="Q18" s="82" t="n"/>
      <c r="R18" s="82" t="n"/>
    </row>
    <row r="19">
      <c r="A19" s="82" t="n"/>
      <c r="B19" s="82" t="n"/>
      <c r="C19" s="82" t="n"/>
      <c r="D19" s="82" t="n"/>
      <c r="E19" s="82" t="n"/>
      <c r="F19" s="82" t="n"/>
      <c r="G19" s="82" t="n"/>
      <c r="H19" s="82" t="n"/>
      <c r="I19" s="82" t="n"/>
      <c r="J19" s="82" t="n"/>
      <c r="K19" s="82" t="n"/>
      <c r="L19" s="82" t="n"/>
      <c r="M19" s="82" t="n"/>
      <c r="N19" s="82" t="n"/>
      <c r="O19" s="82" t="n"/>
      <c r="P19" s="82" t="n"/>
      <c r="Q19" s="82" t="n"/>
      <c r="R19" s="82" t="n"/>
    </row>
    <row r="20">
      <c r="A20" s="82" t="n"/>
      <c r="B20" s="82" t="n"/>
      <c r="C20" s="82" t="n"/>
      <c r="D20" s="82" t="n"/>
      <c r="E20" s="82" t="n"/>
      <c r="F20" s="82" t="n"/>
      <c r="G20" s="82" t="n"/>
      <c r="H20" s="82" t="n"/>
      <c r="I20" s="82" t="n"/>
      <c r="J20" s="82" t="n"/>
      <c r="K20" s="82" t="n"/>
      <c r="L20" s="82" t="n"/>
      <c r="M20" s="82" t="n"/>
      <c r="N20" s="82" t="n"/>
      <c r="O20" s="82" t="n"/>
      <c r="P20" s="82" t="n"/>
      <c r="Q20" s="82" t="n"/>
      <c r="R20" s="82" t="n"/>
    </row>
    <row r="21">
      <c r="A21" s="82" t="n"/>
      <c r="B21" s="82" t="n"/>
      <c r="C21" s="82" t="n"/>
      <c r="D21" s="82" t="n"/>
      <c r="E21" s="82" t="n"/>
      <c r="F21" s="82" t="n"/>
      <c r="G21" s="82" t="n"/>
      <c r="H21" s="82" t="n"/>
      <c r="I21" s="82" t="n"/>
      <c r="J21" s="82" t="n"/>
      <c r="K21" s="82" t="n"/>
      <c r="L21" s="82" t="n"/>
      <c r="M21" s="82" t="n"/>
      <c r="N21" s="82" t="n"/>
      <c r="O21" s="82" t="n"/>
      <c r="P21" s="82" t="n"/>
      <c r="Q21" s="82" t="n"/>
      <c r="R21" s="82" t="n"/>
    </row>
    <row r="22">
      <c r="A22" s="82" t="n"/>
      <c r="B22" s="82" t="n"/>
      <c r="C22" s="82" t="n"/>
      <c r="D22" s="82" t="n"/>
      <c r="E22" s="82" t="n"/>
      <c r="F22" s="82" t="n"/>
      <c r="G22" s="82" t="n"/>
      <c r="H22" s="82" t="n"/>
      <c r="I22" s="82" t="n"/>
      <c r="J22" s="82" t="n"/>
      <c r="K22" s="82" t="n"/>
      <c r="L22" s="82" t="n"/>
      <c r="M22" s="82" t="n"/>
      <c r="N22" s="82" t="n"/>
      <c r="O22" s="82" t="n"/>
      <c r="P22" s="82" t="n"/>
      <c r="Q22" s="82" t="n"/>
      <c r="R22" s="82" t="n"/>
    </row>
    <row r="23">
      <c r="A23" s="82" t="n"/>
      <c r="B23" s="82" t="n"/>
      <c r="C23" s="82" t="n"/>
      <c r="D23" s="82" t="n"/>
      <c r="E23" s="82" t="n"/>
      <c r="F23" s="82" t="n"/>
      <c r="G23" s="82" t="n"/>
      <c r="H23" s="82" t="n"/>
      <c r="I23" s="82" t="n"/>
      <c r="J23" s="82" t="n"/>
      <c r="K23" s="82" t="n"/>
      <c r="L23" s="82" t="n"/>
      <c r="M23" s="82" t="n"/>
      <c r="N23" s="82" t="n"/>
      <c r="O23" s="82" t="n"/>
      <c r="P23" s="82" t="n"/>
      <c r="Q23" s="82" t="n"/>
      <c r="R23" s="82" t="n"/>
    </row>
    <row r="24">
      <c r="A24" s="82" t="n"/>
      <c r="B24" s="82" t="n"/>
      <c r="C24" s="82" t="n"/>
      <c r="D24" s="82" t="n"/>
      <c r="E24" s="82" t="n"/>
      <c r="F24" s="82" t="n"/>
      <c r="G24" s="82" t="n"/>
      <c r="H24" s="82" t="n"/>
      <c r="I24" s="82" t="n"/>
      <c r="J24" s="82" t="n"/>
      <c r="K24" s="82" t="n"/>
      <c r="L24" s="82" t="n"/>
      <c r="M24" s="82" t="n"/>
      <c r="N24" s="82" t="n"/>
      <c r="O24" s="82" t="n"/>
      <c r="P24" s="82" t="n"/>
      <c r="Q24" s="82" t="n"/>
      <c r="R24" s="82" t="n"/>
    </row>
    <row r="25">
      <c r="A25" s="82" t="n"/>
      <c r="B25" s="82" t="n"/>
      <c r="C25" s="82" t="n"/>
      <c r="D25" s="82" t="n"/>
      <c r="E25" s="82" t="n"/>
      <c r="F25" s="82" t="n"/>
      <c r="G25" s="82" t="n"/>
      <c r="H25" s="82" t="n"/>
      <c r="I25" s="82" t="n"/>
      <c r="J25" s="82" t="n"/>
      <c r="K25" s="82" t="n"/>
      <c r="L25" s="82" t="n"/>
      <c r="M25" s="82" t="n"/>
      <c r="N25" s="82" t="n"/>
      <c r="O25" s="82" t="n"/>
      <c r="P25" s="82" t="n"/>
      <c r="Q25" s="82" t="n"/>
      <c r="R25" s="82" t="n"/>
    </row>
    <row r="26">
      <c r="A26" s="82" t="n"/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  <c r="L26" s="82" t="n"/>
      <c r="M26" s="82" t="n"/>
      <c r="N26" s="82" t="n"/>
      <c r="O26" s="82" t="n"/>
      <c r="P26" s="82" t="n"/>
      <c r="Q26" s="82" t="n"/>
      <c r="R26" s="82" t="n"/>
    </row>
    <row r="27">
      <c r="A27" s="82" t="n"/>
      <c r="B27" s="82" t="n"/>
      <c r="C27" s="82" t="n"/>
      <c r="D27" s="82" t="n"/>
      <c r="E27" s="82" t="n"/>
      <c r="F27" s="82" t="n"/>
      <c r="G27" s="82" t="n"/>
      <c r="H27" s="82" t="n"/>
      <c r="I27" s="82" t="n"/>
      <c r="J27" s="82" t="n"/>
      <c r="K27" s="82" t="n"/>
      <c r="L27" s="82" t="n"/>
      <c r="M27" s="82" t="n"/>
      <c r="N27" s="82" t="n"/>
      <c r="O27" s="82" t="n"/>
      <c r="P27" s="82" t="n"/>
      <c r="Q27" s="82" t="n"/>
      <c r="R27" s="82" t="n"/>
    </row>
    <row r="28">
      <c r="A28" s="82" t="n"/>
      <c r="B28" s="82" t="n"/>
      <c r="C28" s="82" t="n"/>
      <c r="D28" s="82" t="n"/>
      <c r="E28" s="82" t="n"/>
      <c r="F28" s="82" t="n"/>
      <c r="G28" s="82" t="n"/>
      <c r="H28" s="82" t="n"/>
      <c r="I28" s="82" t="n"/>
      <c r="J28" s="82" t="n"/>
      <c r="K28" s="82" t="n"/>
      <c r="L28" s="82" t="n"/>
      <c r="M28" s="82" t="n"/>
      <c r="N28" s="82" t="n"/>
      <c r="O28" s="82" t="n"/>
      <c r="P28" s="82" t="n"/>
      <c r="Q28" s="82" t="n"/>
      <c r="R28" s="82" t="n"/>
    </row>
    <row r="29">
      <c r="A29" s="82" t="n"/>
      <c r="B29" s="82" t="n"/>
      <c r="C29" s="82" t="n"/>
      <c r="D29" s="82" t="n"/>
      <c r="E29" s="82" t="n"/>
      <c r="F29" s="82" t="n"/>
      <c r="G29" s="82" t="n"/>
      <c r="H29" s="82" t="n"/>
      <c r="I29" s="82" t="n"/>
      <c r="J29" s="82" t="n"/>
      <c r="K29" s="82" t="n"/>
      <c r="L29" s="82" t="n"/>
      <c r="M29" s="82" t="n"/>
      <c r="N29" s="82" t="n"/>
      <c r="O29" s="82" t="n"/>
      <c r="P29" s="82" t="n"/>
      <c r="Q29" s="82" t="n"/>
      <c r="R29" s="82" t="n"/>
    </row>
    <row r="30">
      <c r="A30" s="82" t="n"/>
      <c r="B30" s="82" t="n"/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  <c r="M30" s="82" t="n"/>
      <c r="N30" s="82" t="n"/>
      <c r="O30" s="82" t="n"/>
      <c r="P30" s="82" t="n"/>
      <c r="Q30" s="82" t="n"/>
      <c r="R30" s="82" t="n"/>
    </row>
    <row r="31">
      <c r="A31" s="82" t="n"/>
      <c r="B31" s="82" t="n"/>
      <c r="C31" s="82" t="n"/>
      <c r="D31" s="82" t="n"/>
      <c r="E31" s="82" t="n"/>
      <c r="F31" s="82" t="n"/>
      <c r="G31" s="82" t="n"/>
      <c r="H31" s="82" t="n"/>
      <c r="I31" s="82" t="n"/>
      <c r="J31" s="82" t="n"/>
      <c r="K31" s="82" t="n"/>
      <c r="L31" s="82" t="n"/>
      <c r="M31" s="82" t="n"/>
      <c r="N31" s="82" t="n"/>
      <c r="O31" s="82" t="n"/>
      <c r="P31" s="82" t="n"/>
      <c r="Q31" s="82" t="n"/>
      <c r="R31" s="82" t="n"/>
    </row>
    <row r="32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  <c r="L32" s="82" t="n"/>
      <c r="M32" s="82" t="n"/>
      <c r="N32" s="82" t="n"/>
      <c r="O32" s="82" t="n"/>
      <c r="P32" s="82" t="n"/>
      <c r="Q32" s="82" t="n"/>
      <c r="R32" s="82" t="n"/>
    </row>
    <row r="33">
      <c r="A33" s="82" t="n"/>
      <c r="B33" s="82" t="n"/>
      <c r="C33" s="82" t="n"/>
      <c r="D33" s="82" t="n"/>
      <c r="E33" s="82" t="n"/>
      <c r="F33" s="82" t="n"/>
      <c r="G33" s="82" t="n"/>
      <c r="H33" s="82" t="n"/>
      <c r="I33" s="82" t="n"/>
      <c r="J33" s="82" t="n"/>
      <c r="K33" s="82" t="n"/>
      <c r="L33" s="82" t="n"/>
      <c r="M33" s="82" t="n"/>
      <c r="N33" s="82" t="n"/>
      <c r="O33" s="82" t="n"/>
      <c r="P33" s="82" t="n"/>
      <c r="Q33" s="82" t="n"/>
      <c r="R33" s="82" t="n"/>
    </row>
    <row r="34">
      <c r="A34" s="82" t="n"/>
      <c r="B34" s="82" t="n"/>
      <c r="C34" s="82" t="n"/>
      <c r="D34" s="82" t="n"/>
      <c r="E34" s="82" t="n"/>
      <c r="F34" s="82" t="n"/>
      <c r="G34" s="82" t="n"/>
      <c r="H34" s="82" t="n"/>
      <c r="I34" s="82" t="n"/>
      <c r="J34" s="82" t="n"/>
      <c r="K34" s="82" t="n"/>
      <c r="L34" s="82" t="n"/>
      <c r="M34" s="82" t="n"/>
      <c r="N34" s="82" t="n"/>
      <c r="O34" s="82" t="n"/>
      <c r="P34" s="82" t="n"/>
      <c r="Q34" s="82" t="n"/>
      <c r="R34" s="82" t="n"/>
    </row>
    <row r="35">
      <c r="A35" s="82" t="n"/>
      <c r="B35" s="82" t="n"/>
      <c r="C35" s="82" t="n"/>
      <c r="D35" s="82" t="n"/>
      <c r="E35" s="82" t="n"/>
      <c r="F35" s="82" t="n"/>
      <c r="G35" s="82" t="n"/>
      <c r="H35" s="82" t="n"/>
      <c r="I35" s="82" t="n"/>
      <c r="J35" s="82" t="n"/>
      <c r="K35" s="82" t="n"/>
      <c r="L35" s="82" t="n"/>
      <c r="M35" s="82" t="n"/>
      <c r="N35" s="82" t="n"/>
      <c r="O35" s="82" t="n"/>
      <c r="P35" s="82" t="n"/>
      <c r="Q35" s="82" t="n"/>
      <c r="R35" s="82" t="n"/>
    </row>
    <row r="36">
      <c r="A36" s="82" t="n"/>
      <c r="B36" s="82" t="n"/>
      <c r="C36" s="82" t="n"/>
      <c r="D36" s="82" t="n"/>
      <c r="E36" s="82" t="n"/>
      <c r="F36" s="82" t="n"/>
      <c r="G36" s="82" t="n"/>
      <c r="H36" s="82" t="n"/>
      <c r="I36" s="82" t="n"/>
      <c r="J36" s="82" t="n"/>
      <c r="K36" s="82" t="n"/>
      <c r="L36" s="82" t="n"/>
      <c r="M36" s="82" t="n"/>
      <c r="N36" s="82" t="n"/>
      <c r="O36" s="82" t="n"/>
      <c r="P36" s="82" t="n"/>
      <c r="Q36" s="82" t="n"/>
      <c r="R36" s="82" t="n"/>
    </row>
    <row r="37">
      <c r="A37" s="82" t="n"/>
      <c r="B37" s="82" t="n"/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  <c r="L37" s="82" t="n"/>
      <c r="M37" s="82" t="n"/>
      <c r="N37" s="82" t="n"/>
      <c r="O37" s="82" t="n"/>
      <c r="P37" s="82" t="n"/>
      <c r="Q37" s="82" t="n"/>
      <c r="R37" s="82" t="n"/>
    </row>
    <row r="38">
      <c r="A38" s="82" t="n"/>
      <c r="B38" s="82" t="n"/>
      <c r="C38" s="82" t="n"/>
      <c r="D38" s="82" t="n"/>
      <c r="E38" s="82" t="n"/>
      <c r="F38" s="82" t="n"/>
      <c r="G38" s="82" t="n"/>
      <c r="H38" s="82" t="n"/>
      <c r="I38" s="82" t="n"/>
      <c r="J38" s="82" t="n"/>
      <c r="K38" s="82" t="n"/>
      <c r="L38" s="82" t="n"/>
      <c r="M38" s="82" t="n"/>
      <c r="N38" s="82" t="n"/>
      <c r="O38" s="82" t="n"/>
      <c r="P38" s="82" t="n"/>
      <c r="Q38" s="82" t="n"/>
      <c r="R38" s="82" t="n"/>
    </row>
    <row r="39">
      <c r="A39" s="82" t="n"/>
      <c r="B39" s="82" t="n"/>
      <c r="C39" s="82" t="n"/>
      <c r="D39" s="82" t="n"/>
      <c r="E39" s="82" t="n"/>
      <c r="F39" s="82" t="n"/>
      <c r="G39" s="82" t="n"/>
      <c r="H39" s="82" t="n"/>
      <c r="I39" s="82" t="n"/>
      <c r="J39" s="82" t="n"/>
      <c r="K39" s="82" t="n"/>
      <c r="L39" s="82" t="n"/>
      <c r="M39" s="82" t="n"/>
      <c r="N39" s="82" t="n"/>
      <c r="O39" s="82" t="n"/>
      <c r="P39" s="82" t="n"/>
      <c r="Q39" s="82" t="n"/>
      <c r="R39" s="82" t="n"/>
    </row>
    <row r="40">
      <c r="A40" s="82" t="n"/>
      <c r="B40" s="82" t="n"/>
      <c r="C40" s="82" t="n"/>
      <c r="D40" s="82" t="n"/>
      <c r="E40" s="82" t="n"/>
      <c r="F40" s="82" t="n"/>
      <c r="G40" s="82" t="n"/>
      <c r="H40" s="82" t="n"/>
      <c r="I40" s="82" t="n"/>
      <c r="J40" s="82" t="n"/>
      <c r="K40" s="82" t="n"/>
      <c r="L40" s="82" t="n"/>
      <c r="M40" s="82" t="n"/>
      <c r="N40" s="82" t="n"/>
      <c r="O40" s="82" t="n"/>
      <c r="P40" s="82" t="n"/>
      <c r="Q40" s="82" t="n"/>
      <c r="R40" s="82" t="n"/>
    </row>
    <row r="41">
      <c r="A41" s="82" t="n"/>
      <c r="B41" s="82" t="n"/>
      <c r="C41" s="82" t="n"/>
      <c r="D41" s="82" t="n"/>
      <c r="E41" s="82" t="n"/>
      <c r="F41" s="82" t="n"/>
      <c r="G41" s="82" t="n"/>
      <c r="H41" s="82" t="n"/>
      <c r="I41" s="82" t="n"/>
      <c r="J41" s="82" t="n"/>
      <c r="K41" s="82" t="n"/>
      <c r="L41" s="82" t="n"/>
      <c r="M41" s="82" t="n"/>
      <c r="N41" s="82" t="n"/>
      <c r="O41" s="82" t="n"/>
      <c r="P41" s="82" t="n"/>
      <c r="Q41" s="82" t="n"/>
      <c r="R41" s="82" t="n"/>
    </row>
    <row r="42">
      <c r="A42" s="82" t="n"/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  <c r="L42" s="82" t="n"/>
      <c r="M42" s="82" t="n"/>
      <c r="N42" s="82" t="n"/>
      <c r="O42" s="82" t="n"/>
      <c r="P42" s="82" t="n"/>
      <c r="Q42" s="82" t="n"/>
      <c r="R42" s="82" t="n"/>
    </row>
    <row r="43">
      <c r="A43" s="82" t="n"/>
      <c r="B43" s="82" t="n"/>
      <c r="C43" s="82" t="n"/>
      <c r="D43" s="82" t="n"/>
      <c r="E43" s="82" t="n"/>
      <c r="F43" s="82" t="n"/>
      <c r="G43" s="82" t="n"/>
      <c r="H43" s="82" t="n"/>
      <c r="I43" s="82" t="n"/>
      <c r="J43" s="82" t="n"/>
      <c r="K43" s="82" t="n"/>
      <c r="L43" s="82" t="n"/>
      <c r="M43" s="82" t="n"/>
      <c r="N43" s="82" t="n"/>
      <c r="O43" s="82" t="n"/>
      <c r="P43" s="82" t="n"/>
      <c r="Q43" s="82" t="n"/>
      <c r="R43" s="82" t="n"/>
    </row>
    <row r="44">
      <c r="A44" s="82" t="n"/>
      <c r="B44" s="82" t="n"/>
      <c r="C44" s="82" t="n"/>
      <c r="D44" s="82" t="n"/>
      <c r="E44" s="82" t="n"/>
      <c r="F44" s="82" t="n"/>
      <c r="G44" s="82" t="n"/>
      <c r="H44" s="82" t="n"/>
      <c r="I44" s="82" t="n"/>
      <c r="J44" s="82" t="n"/>
      <c r="K44" s="82" t="n"/>
      <c r="L44" s="82" t="n"/>
      <c r="M44" s="82" t="n"/>
      <c r="N44" s="82" t="n"/>
      <c r="O44" s="82" t="n"/>
      <c r="P44" s="82" t="n"/>
      <c r="Q44" s="82" t="n"/>
      <c r="R44" s="82" t="n"/>
    </row>
    <row r="45">
      <c r="A45" s="82" t="n"/>
      <c r="B45" s="82" t="n"/>
      <c r="C45" s="82" t="n"/>
      <c r="D45" s="82" t="n"/>
      <c r="E45" s="82" t="n"/>
      <c r="F45" s="82" t="n"/>
      <c r="G45" s="82" t="n"/>
      <c r="H45" s="82" t="n"/>
      <c r="I45" s="82" t="n"/>
      <c r="J45" s="82" t="n"/>
      <c r="K45" s="82" t="n"/>
      <c r="L45" s="82" t="n"/>
      <c r="M45" s="82" t="n"/>
      <c r="N45" s="82" t="n"/>
      <c r="O45" s="82" t="n"/>
      <c r="P45" s="82" t="n"/>
      <c r="Q45" s="82" t="n"/>
      <c r="R45" s="82" t="n"/>
    </row>
    <row r="46">
      <c r="A46" s="82" t="n"/>
      <c r="B46" s="82" t="n"/>
      <c r="C46" s="82" t="n"/>
      <c r="D46" s="82" t="n"/>
      <c r="E46" s="82" t="n"/>
      <c r="F46" s="82" t="n"/>
      <c r="G46" s="82" t="n"/>
      <c r="H46" s="82" t="n"/>
      <c r="I46" s="82" t="n"/>
      <c r="J46" s="82" t="n"/>
      <c r="K46" s="82" t="n"/>
      <c r="L46" s="82" t="n"/>
      <c r="M46" s="82" t="n"/>
      <c r="N46" s="82" t="n"/>
      <c r="O46" s="82" t="n"/>
      <c r="P46" s="82" t="n"/>
      <c r="Q46" s="82" t="n"/>
      <c r="R46" s="82" t="n"/>
    </row>
    <row r="47">
      <c r="A47" s="82" t="n"/>
      <c r="B47" s="82" t="n"/>
      <c r="C47" s="82" t="n"/>
      <c r="D47" s="82" t="n"/>
      <c r="E47" s="82" t="n"/>
      <c r="F47" s="82" t="n"/>
      <c r="G47" s="82" t="n"/>
      <c r="H47" s="82" t="n"/>
      <c r="I47" s="82" t="n"/>
      <c r="J47" s="82" t="n"/>
      <c r="K47" s="82" t="n"/>
      <c r="L47" s="82" t="n"/>
      <c r="M47" s="82" t="n"/>
      <c r="N47" s="82" t="n"/>
      <c r="O47" s="82" t="n"/>
      <c r="P47" s="82" t="n"/>
      <c r="Q47" s="82" t="n"/>
      <c r="R47" s="82" t="n"/>
    </row>
    <row r="48">
      <c r="A48" s="82" t="n"/>
      <c r="B48" s="82" t="n"/>
      <c r="C48" s="82" t="n"/>
      <c r="D48" s="82" t="n"/>
      <c r="E48" s="82" t="n"/>
      <c r="F48" s="82" t="n"/>
      <c r="G48" s="82" t="n"/>
      <c r="H48" s="82" t="n"/>
      <c r="I48" s="82" t="n"/>
      <c r="J48" s="82" t="n"/>
      <c r="K48" s="82" t="n"/>
      <c r="L48" s="82" t="n"/>
      <c r="M48" s="82" t="n"/>
      <c r="N48" s="82" t="n"/>
      <c r="O48" s="82" t="n"/>
      <c r="P48" s="82" t="n"/>
      <c r="Q48" s="82" t="n"/>
      <c r="R48" s="82" t="n"/>
    </row>
    <row r="49">
      <c r="A49" s="82" t="n"/>
      <c r="B49" s="82" t="n"/>
      <c r="C49" s="82" t="n"/>
      <c r="D49" s="82" t="n"/>
      <c r="E49" s="82" t="n"/>
      <c r="F49" s="82" t="n"/>
      <c r="G49" s="82" t="n"/>
      <c r="H49" s="82" t="n"/>
      <c r="I49" s="82" t="n"/>
      <c r="J49" s="82" t="n"/>
      <c r="K49" s="82" t="n"/>
      <c r="L49" s="82" t="n"/>
      <c r="M49" s="82" t="n"/>
      <c r="N49" s="82" t="n"/>
      <c r="O49" s="82" t="n"/>
      <c r="P49" s="82" t="n"/>
      <c r="Q49" s="82" t="n"/>
      <c r="R49" s="82" t="n"/>
    </row>
    <row r="50">
      <c r="A50" s="82" t="n"/>
      <c r="B50" s="82" t="n"/>
      <c r="C50" s="82" t="n"/>
      <c r="D50" s="82" t="n"/>
      <c r="E50" s="82" t="n"/>
      <c r="F50" s="82" t="n"/>
      <c r="G50" s="82" t="n"/>
      <c r="H50" s="82" t="n"/>
      <c r="I50" s="82" t="n"/>
      <c r="J50" s="82" t="n"/>
      <c r="K50" s="82" t="n"/>
      <c r="L50" s="82" t="n"/>
      <c r="M50" s="82" t="n"/>
      <c r="N50" s="82" t="n"/>
      <c r="O50" s="82" t="n"/>
      <c r="P50" s="82" t="n"/>
      <c r="Q50" s="82" t="n"/>
      <c r="R50" s="82" t="n"/>
    </row>
    <row r="51">
      <c r="A51" s="82" t="n"/>
      <c r="B51" s="82" t="n"/>
      <c r="C51" s="82" t="n"/>
      <c r="D51" s="82" t="n"/>
      <c r="E51" s="82" t="n"/>
      <c r="F51" s="82" t="n"/>
      <c r="G51" s="82" t="n"/>
      <c r="H51" s="82" t="n"/>
      <c r="I51" s="82" t="n"/>
      <c r="J51" s="82" t="n"/>
      <c r="K51" s="82" t="n"/>
      <c r="L51" s="82" t="n"/>
      <c r="M51" s="82" t="n"/>
      <c r="N51" s="82" t="n"/>
      <c r="O51" s="82" t="n"/>
      <c r="P51" s="82" t="n"/>
      <c r="Q51" s="82" t="n"/>
      <c r="R51" s="82" t="n"/>
    </row>
    <row r="52">
      <c r="A52" s="82" t="n"/>
      <c r="B52" s="82" t="n"/>
      <c r="C52" s="82" t="n"/>
      <c r="D52" s="82" t="n"/>
      <c r="E52" s="82" t="n"/>
      <c r="F52" s="82" t="n"/>
      <c r="G52" s="82" t="n"/>
      <c r="H52" s="82" t="n"/>
      <c r="I52" s="82" t="n"/>
      <c r="J52" s="82" t="n"/>
      <c r="K52" s="82" t="n"/>
      <c r="L52" s="82" t="n"/>
      <c r="M52" s="82" t="n"/>
      <c r="N52" s="82" t="n"/>
      <c r="O52" s="82" t="n"/>
      <c r="P52" s="82" t="n"/>
      <c r="Q52" s="82" t="n"/>
      <c r="R52" s="82" t="n"/>
    </row>
    <row r="53">
      <c r="A53" s="82" t="n"/>
      <c r="B53" s="82" t="n"/>
      <c r="C53" s="82" t="n"/>
      <c r="D53" s="82" t="n"/>
      <c r="E53" s="82" t="n"/>
      <c r="F53" s="82" t="n"/>
      <c r="G53" s="82" t="n"/>
      <c r="H53" s="82" t="n"/>
      <c r="I53" s="82" t="n"/>
      <c r="J53" s="82" t="n"/>
      <c r="K53" s="82" t="n"/>
      <c r="L53" s="82" t="n"/>
      <c r="M53" s="82" t="n"/>
      <c r="N53" s="82" t="n"/>
      <c r="O53" s="82" t="n"/>
      <c r="P53" s="82" t="n"/>
      <c r="Q53" s="82" t="n"/>
      <c r="R53" s="82" t="n"/>
    </row>
    <row r="54">
      <c r="A54" s="82" t="n"/>
      <c r="B54" s="82" t="n"/>
      <c r="C54" s="82" t="n"/>
      <c r="D54" s="82" t="n"/>
      <c r="E54" s="82" t="n"/>
      <c r="F54" s="82" t="n"/>
      <c r="G54" s="82" t="n"/>
      <c r="H54" s="82" t="n"/>
      <c r="I54" s="82" t="n"/>
      <c r="J54" s="82" t="n"/>
      <c r="K54" s="82" t="n"/>
      <c r="L54" s="82" t="n"/>
      <c r="M54" s="82" t="n"/>
      <c r="N54" s="82" t="n"/>
      <c r="O54" s="82" t="n"/>
      <c r="P54" s="82" t="n"/>
      <c r="Q54" s="82" t="n"/>
      <c r="R54" s="82" t="n"/>
    </row>
    <row r="55">
      <c r="A55" s="82" t="n"/>
      <c r="B55" s="82" t="n"/>
      <c r="C55" s="82" t="n"/>
      <c r="D55" s="82" t="n"/>
      <c r="E55" s="82" t="n"/>
      <c r="F55" s="82" t="n"/>
      <c r="G55" s="82" t="n"/>
      <c r="H55" s="82" t="n"/>
      <c r="I55" s="82" t="n"/>
      <c r="J55" s="82" t="n"/>
      <c r="K55" s="82" t="n"/>
      <c r="L55" s="82" t="n"/>
      <c r="M55" s="82" t="n"/>
      <c r="N55" s="82" t="n"/>
      <c r="O55" s="82" t="n"/>
      <c r="P55" s="82" t="n"/>
      <c r="Q55" s="82" t="n"/>
      <c r="R55" s="82" t="n"/>
    </row>
    <row r="56">
      <c r="A56" s="82" t="n"/>
      <c r="B56" s="82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2" t="n"/>
      <c r="L56" s="82" t="n"/>
      <c r="M56" s="82" t="n"/>
      <c r="N56" s="82" t="n"/>
      <c r="O56" s="82" t="n"/>
      <c r="P56" s="82" t="n"/>
      <c r="Q56" s="82" t="n"/>
      <c r="R56" s="82" t="n"/>
    </row>
    <row r="57">
      <c r="A57" s="82" t="n"/>
      <c r="B57" s="82" t="n"/>
      <c r="C57" s="82" t="n"/>
      <c r="D57" s="82" t="n"/>
      <c r="E57" s="82" t="n"/>
      <c r="F57" s="82" t="n"/>
      <c r="G57" s="82" t="n"/>
      <c r="H57" s="82" t="n"/>
      <c r="I57" s="82" t="n"/>
      <c r="J57" s="82" t="n"/>
      <c r="K57" s="82" t="n"/>
      <c r="L57" s="82" t="n"/>
      <c r="M57" s="82" t="n"/>
      <c r="N57" s="82" t="n"/>
      <c r="O57" s="82" t="n"/>
      <c r="P57" s="82" t="n"/>
      <c r="Q57" s="82" t="n"/>
      <c r="R57" s="82" t="n"/>
    </row>
    <row r="58">
      <c r="A58" s="82" t="n"/>
      <c r="B58" s="82" t="n"/>
      <c r="C58" s="82" t="n"/>
      <c r="D58" s="82" t="n"/>
      <c r="E58" s="82" t="n"/>
      <c r="F58" s="82" t="n"/>
      <c r="G58" s="82" t="n"/>
      <c r="H58" s="82" t="n"/>
      <c r="I58" s="82" t="n"/>
      <c r="J58" s="82" t="n"/>
      <c r="K58" s="82" t="n"/>
      <c r="L58" s="82" t="n"/>
      <c r="M58" s="82" t="n"/>
      <c r="N58" s="82" t="n"/>
      <c r="O58" s="82" t="n"/>
      <c r="P58" s="82" t="n"/>
      <c r="Q58" s="82" t="n"/>
      <c r="R58" s="82" t="n"/>
    </row>
    <row r="59">
      <c r="A59" s="82" t="n"/>
      <c r="B59" s="82" t="n"/>
      <c r="C59" s="82" t="n"/>
      <c r="D59" s="82" t="n"/>
      <c r="E59" s="82" t="n"/>
      <c r="F59" s="82" t="n"/>
      <c r="G59" s="82" t="n"/>
      <c r="H59" s="82" t="n"/>
      <c r="I59" s="82" t="n"/>
      <c r="J59" s="82" t="n"/>
      <c r="K59" s="82" t="n"/>
      <c r="L59" s="82" t="n"/>
      <c r="M59" s="82" t="n"/>
      <c r="N59" s="82" t="n"/>
      <c r="O59" s="82" t="n"/>
      <c r="P59" s="82" t="n"/>
      <c r="Q59" s="82" t="n"/>
      <c r="R59" s="82" t="n"/>
    </row>
    <row r="60">
      <c r="A60" s="82" t="n"/>
      <c r="B60" s="82" t="n"/>
      <c r="C60" s="82" t="n"/>
      <c r="D60" s="82" t="n"/>
      <c r="E60" s="82" t="n"/>
      <c r="F60" s="82" t="n"/>
      <c r="G60" s="82" t="n"/>
      <c r="H60" s="82" t="n"/>
      <c r="I60" s="82" t="n"/>
      <c r="J60" s="82" t="n"/>
      <c r="K60" s="82" t="n"/>
      <c r="L60" s="82" t="n"/>
      <c r="M60" s="82" t="n"/>
      <c r="N60" s="82" t="n"/>
      <c r="O60" s="82" t="n"/>
      <c r="P60" s="82" t="n"/>
      <c r="Q60" s="82" t="n"/>
      <c r="R60" s="82" t="n"/>
    </row>
    <row r="61">
      <c r="A61" s="82" t="n"/>
      <c r="B61" s="82" t="n"/>
      <c r="C61" s="82" t="n"/>
      <c r="D61" s="82" t="n"/>
      <c r="E61" s="82" t="n"/>
      <c r="F61" s="82" t="n"/>
      <c r="G61" s="82" t="n"/>
      <c r="H61" s="82" t="n"/>
      <c r="I61" s="82" t="n"/>
      <c r="J61" s="82" t="n"/>
      <c r="K61" s="82" t="n"/>
      <c r="L61" s="82" t="n"/>
      <c r="M61" s="82" t="n"/>
      <c r="N61" s="82" t="n"/>
      <c r="O61" s="82" t="n"/>
      <c r="P61" s="82" t="n"/>
      <c r="Q61" s="82" t="n"/>
      <c r="R61" s="82" t="n"/>
    </row>
    <row r="62">
      <c r="A62" s="82" t="n"/>
      <c r="B62" s="82" t="n"/>
      <c r="C62" s="82" t="n"/>
      <c r="D62" s="82" t="n"/>
      <c r="E62" s="82" t="n"/>
      <c r="F62" s="82" t="n"/>
      <c r="G62" s="82" t="n"/>
      <c r="H62" s="82" t="n"/>
      <c r="I62" s="82" t="n"/>
      <c r="J62" s="82" t="n"/>
      <c r="K62" s="82" t="n"/>
      <c r="L62" s="82" t="n"/>
      <c r="M62" s="82" t="n"/>
      <c r="N62" s="82" t="n"/>
      <c r="O62" s="82" t="n"/>
      <c r="P62" s="82" t="n"/>
      <c r="Q62" s="82" t="n"/>
      <c r="R62" s="82" t="n"/>
    </row>
    <row r="63">
      <c r="A63" s="82" t="n"/>
      <c r="B63" s="82" t="n"/>
      <c r="C63" s="82" t="n"/>
      <c r="D63" s="82" t="n"/>
      <c r="E63" s="82" t="n"/>
      <c r="F63" s="82" t="n"/>
      <c r="G63" s="82" t="n"/>
      <c r="H63" s="82" t="n"/>
      <c r="I63" s="82" t="n"/>
      <c r="J63" s="82" t="n"/>
      <c r="K63" s="82" t="n"/>
      <c r="L63" s="82" t="n"/>
      <c r="M63" s="82" t="n"/>
      <c r="N63" s="82" t="n"/>
      <c r="O63" s="82" t="n"/>
      <c r="P63" s="82" t="n"/>
      <c r="Q63" s="82" t="n"/>
      <c r="R63" s="82" t="n"/>
    </row>
    <row r="64">
      <c r="A64" s="82" t="n"/>
      <c r="B64" s="82" t="n"/>
      <c r="C64" s="82" t="n"/>
      <c r="D64" s="82" t="n"/>
      <c r="E64" s="82" t="n"/>
      <c r="F64" s="82" t="n"/>
      <c r="G64" s="82" t="n"/>
      <c r="H64" s="82" t="n"/>
      <c r="I64" s="82" t="n"/>
      <c r="J64" s="82" t="n"/>
      <c r="K64" s="82" t="n"/>
      <c r="L64" s="82" t="n"/>
      <c r="M64" s="82" t="n"/>
      <c r="N64" s="82" t="n"/>
      <c r="O64" s="82" t="n"/>
      <c r="P64" s="82" t="n"/>
      <c r="Q64" s="82" t="n"/>
      <c r="R64" s="82" t="n"/>
    </row>
    <row r="65">
      <c r="A65" s="82" t="n"/>
      <c r="B65" s="82" t="n"/>
      <c r="C65" s="82" t="n"/>
      <c r="D65" s="82" t="n"/>
      <c r="E65" s="82" t="n"/>
      <c r="F65" s="82" t="n"/>
      <c r="G65" s="82" t="n"/>
      <c r="H65" s="82" t="n"/>
      <c r="I65" s="82" t="n"/>
      <c r="J65" s="82" t="n"/>
      <c r="K65" s="82" t="n"/>
      <c r="L65" s="82" t="n"/>
      <c r="M65" s="82" t="n"/>
      <c r="N65" s="82" t="n"/>
      <c r="O65" s="82" t="n"/>
      <c r="P65" s="82" t="n"/>
      <c r="Q65" s="82" t="n"/>
      <c r="R65" s="82" t="n"/>
    </row>
    <row r="66">
      <c r="A66" s="82" t="n"/>
      <c r="B66" s="82" t="n"/>
      <c r="C66" s="82" t="n"/>
      <c r="D66" s="82" t="n"/>
      <c r="E66" s="82" t="n"/>
      <c r="F66" s="82" t="n"/>
      <c r="G66" s="82" t="n"/>
      <c r="H66" s="82" t="n"/>
      <c r="I66" s="82" t="n"/>
      <c r="J66" s="82" t="n"/>
      <c r="K66" s="82" t="n"/>
      <c r="L66" s="82" t="n"/>
      <c r="M66" s="82" t="n"/>
      <c r="N66" s="82" t="n"/>
      <c r="O66" s="82" t="n"/>
      <c r="P66" s="82" t="n"/>
      <c r="Q66" s="82" t="n"/>
      <c r="R66" s="82" t="n"/>
    </row>
    <row r="67">
      <c r="A67" s="82" t="n"/>
      <c r="B67" s="82" t="n"/>
      <c r="C67" s="82" t="n"/>
      <c r="D67" s="82" t="n"/>
      <c r="E67" s="82" t="n"/>
      <c r="F67" s="82" t="n"/>
      <c r="G67" s="82" t="n"/>
      <c r="H67" s="82" t="n"/>
      <c r="I67" s="82" t="n"/>
      <c r="J67" s="82" t="n"/>
      <c r="K67" s="82" t="n"/>
      <c r="L67" s="82" t="n"/>
      <c r="M67" s="82" t="n"/>
      <c r="N67" s="82" t="n"/>
      <c r="O67" s="82" t="n"/>
      <c r="P67" s="82" t="n"/>
      <c r="Q67" s="82" t="n"/>
      <c r="R67" s="82" t="n"/>
    </row>
    <row r="68">
      <c r="A68" s="82" t="n"/>
      <c r="B68" s="82" t="n"/>
      <c r="C68" s="82" t="n"/>
      <c r="D68" s="82" t="n"/>
      <c r="E68" s="82" t="n"/>
      <c r="F68" s="82" t="n"/>
      <c r="G68" s="82" t="n"/>
      <c r="H68" s="82" t="n"/>
      <c r="I68" s="82" t="n"/>
      <c r="J68" s="82" t="n"/>
      <c r="K68" s="82" t="n"/>
      <c r="L68" s="82" t="n"/>
      <c r="M68" s="82" t="n"/>
      <c r="N68" s="82" t="n"/>
      <c r="O68" s="82" t="n"/>
      <c r="P68" s="82" t="n"/>
      <c r="Q68" s="82" t="n"/>
      <c r="R68" s="82" t="n"/>
    </row>
    <row r="69">
      <c r="A69" s="82" t="n"/>
      <c r="B69" s="82" t="n"/>
      <c r="C69" s="82" t="n"/>
      <c r="D69" s="82" t="n"/>
      <c r="E69" s="82" t="n"/>
      <c r="F69" s="82" t="n"/>
      <c r="G69" s="82" t="n"/>
      <c r="H69" s="82" t="n"/>
      <c r="I69" s="82" t="n"/>
      <c r="J69" s="82" t="n"/>
      <c r="K69" s="82" t="n"/>
      <c r="L69" s="82" t="n"/>
      <c r="M69" s="82" t="n"/>
      <c r="N69" s="82" t="n"/>
      <c r="O69" s="82" t="n"/>
      <c r="P69" s="82" t="n"/>
      <c r="Q69" s="82" t="n"/>
      <c r="R69" s="82" t="n"/>
    </row>
    <row r="70">
      <c r="A70" s="82" t="n"/>
      <c r="B70" s="82" t="n"/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  <c r="N70" s="82" t="n"/>
      <c r="O70" s="82" t="n"/>
      <c r="P70" s="82" t="n"/>
      <c r="Q70" s="82" t="n"/>
      <c r="R70" s="82" t="n"/>
    </row>
    <row r="71">
      <c r="A71" s="82" t="n"/>
      <c r="B71" s="82" t="n"/>
      <c r="C71" s="82" t="n"/>
      <c r="D71" s="82" t="n"/>
      <c r="E71" s="82" t="n"/>
      <c r="F71" s="82" t="n"/>
      <c r="G71" s="82" t="n"/>
      <c r="H71" s="82" t="n"/>
      <c r="I71" s="82" t="n"/>
      <c r="J71" s="82" t="n"/>
      <c r="K71" s="82" t="n"/>
      <c r="L71" s="82" t="n"/>
      <c r="M71" s="82" t="n"/>
      <c r="N71" s="82" t="n"/>
      <c r="O71" s="82" t="n"/>
      <c r="P71" s="82" t="n"/>
      <c r="Q71" s="82" t="n"/>
      <c r="R71" s="82" t="n"/>
    </row>
    <row r="72">
      <c r="A72" s="82" t="n"/>
      <c r="B72" s="82" t="n"/>
      <c r="C72" s="82" t="n"/>
      <c r="D72" s="82" t="n"/>
      <c r="E72" s="82" t="n"/>
      <c r="F72" s="82" t="n"/>
      <c r="G72" s="82" t="n"/>
      <c r="H72" s="82" t="n"/>
      <c r="I72" s="82" t="n"/>
      <c r="J72" s="82" t="n"/>
      <c r="K72" s="82" t="n"/>
      <c r="L72" s="82" t="n"/>
      <c r="M72" s="82" t="n"/>
      <c r="N72" s="82" t="n"/>
      <c r="O72" s="82" t="n"/>
      <c r="P72" s="82" t="n"/>
      <c r="Q72" s="82" t="n"/>
      <c r="R72" s="82" t="n"/>
    </row>
    <row r="73">
      <c r="A73" s="82" t="n"/>
      <c r="B73" s="82" t="n"/>
      <c r="C73" s="82" t="n"/>
      <c r="D73" s="82" t="n"/>
      <c r="E73" s="82" t="n"/>
      <c r="F73" s="82" t="n"/>
      <c r="G73" s="82" t="n"/>
      <c r="H73" s="82" t="n"/>
      <c r="I73" s="82" t="n"/>
      <c r="J73" s="82" t="n"/>
      <c r="K73" s="82" t="n"/>
      <c r="L73" s="82" t="n"/>
      <c r="M73" s="82" t="n"/>
      <c r="N73" s="82" t="n"/>
      <c r="O73" s="82" t="n"/>
      <c r="P73" s="82" t="n"/>
      <c r="Q73" s="82" t="n"/>
      <c r="R73" s="82" t="n"/>
    </row>
    <row r="74">
      <c r="A74" s="82" t="n"/>
      <c r="B74" s="82" t="n"/>
      <c r="C74" s="82" t="n"/>
      <c r="D74" s="82" t="n"/>
      <c r="E74" s="82" t="n"/>
      <c r="F74" s="82" t="n"/>
      <c r="G74" s="82" t="n"/>
      <c r="H74" s="82" t="n"/>
      <c r="I74" s="82" t="n"/>
      <c r="J74" s="82" t="n"/>
      <c r="K74" s="82" t="n"/>
      <c r="L74" s="82" t="n"/>
      <c r="M74" s="82" t="n"/>
      <c r="N74" s="82" t="n"/>
      <c r="O74" s="82" t="n"/>
      <c r="P74" s="82" t="n"/>
      <c r="Q74" s="82" t="n"/>
      <c r="R74" s="82" t="n"/>
    </row>
    <row r="75">
      <c r="A75" s="82" t="n"/>
      <c r="B75" s="82" t="n"/>
      <c r="C75" s="82" t="n"/>
      <c r="D75" s="82" t="n"/>
      <c r="E75" s="82" t="n"/>
      <c r="F75" s="82" t="n"/>
      <c r="G75" s="82" t="n"/>
      <c r="H75" s="82" t="n"/>
      <c r="I75" s="82" t="n"/>
      <c r="J75" s="82" t="n"/>
      <c r="K75" s="82" t="n"/>
      <c r="L75" s="82" t="n"/>
      <c r="M75" s="82" t="n"/>
      <c r="N75" s="82" t="n"/>
      <c r="O75" s="82" t="n"/>
      <c r="P75" s="82" t="n"/>
      <c r="Q75" s="82" t="n"/>
      <c r="R75" s="82" t="n"/>
    </row>
    <row r="76">
      <c r="A76" s="82" t="n"/>
      <c r="B76" s="82" t="n"/>
      <c r="C76" s="82" t="n"/>
      <c r="D76" s="82" t="n"/>
      <c r="E76" s="82" t="n"/>
      <c r="F76" s="82" t="n"/>
      <c r="G76" s="82" t="n"/>
      <c r="H76" s="82" t="n"/>
      <c r="I76" s="82" t="n"/>
      <c r="J76" s="82" t="n"/>
      <c r="K76" s="82" t="n"/>
      <c r="L76" s="82" t="n"/>
      <c r="M76" s="82" t="n"/>
      <c r="N76" s="82" t="n"/>
      <c r="O76" s="82" t="n"/>
      <c r="P76" s="82" t="n"/>
      <c r="Q76" s="82" t="n"/>
      <c r="R76" s="82" t="n"/>
    </row>
    <row r="77">
      <c r="A77" s="82" t="n"/>
      <c r="B77" s="82" t="n"/>
      <c r="C77" s="82" t="n"/>
      <c r="D77" s="82" t="n"/>
      <c r="E77" s="82" t="n"/>
      <c r="F77" s="82" t="n"/>
      <c r="G77" s="82" t="n"/>
      <c r="H77" s="82" t="n"/>
      <c r="I77" s="82" t="n"/>
      <c r="J77" s="82" t="n"/>
      <c r="K77" s="82" t="n"/>
      <c r="L77" s="82" t="n"/>
      <c r="M77" s="82" t="n"/>
      <c r="N77" s="82" t="n"/>
      <c r="O77" s="82" t="n"/>
      <c r="P77" s="82" t="n"/>
      <c r="Q77" s="82" t="n"/>
      <c r="R77" s="82" t="n"/>
    </row>
    <row r="78">
      <c r="A78" s="82" t="n"/>
      <c r="B78" s="82" t="n"/>
      <c r="C78" s="82" t="n"/>
      <c r="D78" s="82" t="n"/>
      <c r="E78" s="82" t="n"/>
      <c r="F78" s="82" t="n"/>
      <c r="G78" s="82" t="n"/>
      <c r="H78" s="82" t="n"/>
      <c r="I78" s="82" t="n"/>
      <c r="J78" s="82" t="n"/>
      <c r="K78" s="82" t="n"/>
      <c r="L78" s="82" t="n"/>
      <c r="M78" s="82" t="n"/>
      <c r="N78" s="82" t="n"/>
      <c r="O78" s="82" t="n"/>
      <c r="P78" s="82" t="n"/>
      <c r="Q78" s="82" t="n"/>
      <c r="R78" s="82" t="n"/>
    </row>
    <row r="79">
      <c r="A79" s="82" t="n"/>
      <c r="B79" s="82" t="n"/>
      <c r="C79" s="82" t="n"/>
      <c r="D79" s="82" t="n"/>
      <c r="E79" s="82" t="n"/>
      <c r="F79" s="82" t="n"/>
      <c r="G79" s="82" t="n"/>
      <c r="H79" s="82" t="n"/>
      <c r="I79" s="82" t="n"/>
      <c r="J79" s="82" t="n"/>
      <c r="K79" s="82" t="n"/>
      <c r="L79" s="82" t="n"/>
      <c r="M79" s="82" t="n"/>
      <c r="N79" s="82" t="n"/>
      <c r="O79" s="82" t="n"/>
      <c r="P79" s="82" t="n"/>
      <c r="Q79" s="82" t="n"/>
      <c r="R79" s="82" t="n"/>
    </row>
    <row r="80">
      <c r="A80" s="82" t="n"/>
      <c r="B80" s="82" t="n"/>
      <c r="C80" s="82" t="n"/>
      <c r="D80" s="82" t="n"/>
      <c r="E80" s="82" t="n"/>
      <c r="F80" s="82" t="n"/>
      <c r="G80" s="82" t="n"/>
      <c r="H80" s="82" t="n"/>
      <c r="I80" s="82" t="n"/>
      <c r="J80" s="82" t="n"/>
      <c r="K80" s="82" t="n"/>
      <c r="L80" s="82" t="n"/>
      <c r="M80" s="82" t="n"/>
      <c r="N80" s="82" t="n"/>
      <c r="O80" s="82" t="n"/>
      <c r="P80" s="82" t="n"/>
      <c r="Q80" s="82" t="n"/>
      <c r="R80" s="82" t="n"/>
    </row>
    <row r="81">
      <c r="A81" s="82" t="n"/>
      <c r="B81" s="82" t="n"/>
      <c r="C81" s="82" t="n"/>
      <c r="D81" s="82" t="n"/>
      <c r="E81" s="82" t="n"/>
      <c r="F81" s="82" t="n"/>
      <c r="G81" s="82" t="n"/>
      <c r="H81" s="82" t="n"/>
      <c r="I81" s="82" t="n"/>
      <c r="J81" s="82" t="n"/>
      <c r="K81" s="82" t="n"/>
      <c r="L81" s="82" t="n"/>
      <c r="M81" s="82" t="n"/>
      <c r="N81" s="82" t="n"/>
      <c r="O81" s="82" t="n"/>
      <c r="P81" s="82" t="n"/>
      <c r="Q81" s="82" t="n"/>
      <c r="R81" s="82" t="n"/>
    </row>
    <row r="82">
      <c r="A82" s="82" t="n"/>
      <c r="B82" s="82" t="n"/>
      <c r="C82" s="82" t="n"/>
      <c r="D82" s="82" t="n"/>
      <c r="E82" s="82" t="n"/>
      <c r="F82" s="82" t="n"/>
      <c r="G82" s="82" t="n"/>
      <c r="H82" s="82" t="n"/>
      <c r="I82" s="82" t="n"/>
      <c r="J82" s="82" t="n"/>
      <c r="K82" s="82" t="n"/>
      <c r="L82" s="82" t="n"/>
      <c r="M82" s="82" t="n"/>
      <c r="N82" s="82" t="n"/>
      <c r="O82" s="82" t="n"/>
      <c r="P82" s="82" t="n"/>
      <c r="Q82" s="82" t="n"/>
      <c r="R82" s="82" t="n"/>
    </row>
    <row r="83">
      <c r="A83" s="82" t="n"/>
      <c r="B83" s="82" t="n"/>
      <c r="C83" s="82" t="n"/>
      <c r="D83" s="82" t="n"/>
      <c r="E83" s="82" t="n"/>
      <c r="F83" s="82" t="n"/>
      <c r="G83" s="82" t="n"/>
      <c r="H83" s="82" t="n"/>
      <c r="I83" s="82" t="n"/>
      <c r="J83" s="82" t="n"/>
      <c r="K83" s="82" t="n"/>
      <c r="L83" s="82" t="n"/>
      <c r="M83" s="82" t="n"/>
      <c r="N83" s="82" t="n"/>
      <c r="O83" s="82" t="n"/>
      <c r="P83" s="82" t="n"/>
      <c r="Q83" s="82" t="n"/>
      <c r="R83" s="82" t="n"/>
    </row>
    <row r="84">
      <c r="A84" s="82" t="n"/>
      <c r="B84" s="82" t="n"/>
      <c r="C84" s="82" t="n"/>
      <c r="D84" s="82" t="n"/>
      <c r="E84" s="82" t="n"/>
      <c r="F84" s="82" t="n"/>
      <c r="G84" s="82" t="n"/>
      <c r="H84" s="82" t="n"/>
      <c r="I84" s="82" t="n"/>
      <c r="J84" s="82" t="n"/>
      <c r="K84" s="82" t="n"/>
      <c r="L84" s="82" t="n"/>
      <c r="M84" s="82" t="n"/>
      <c r="N84" s="82" t="n"/>
      <c r="O84" s="82" t="n"/>
      <c r="P84" s="82" t="n"/>
      <c r="Q84" s="82" t="n"/>
      <c r="R84" s="82" t="n"/>
    </row>
    <row r="85">
      <c r="A85" s="82" t="n"/>
      <c r="B85" s="82" t="n"/>
      <c r="C85" s="82" t="n"/>
      <c r="D85" s="82" t="n"/>
      <c r="E85" s="82" t="n"/>
      <c r="F85" s="82" t="n"/>
      <c r="G85" s="82" t="n"/>
      <c r="H85" s="82" t="n"/>
      <c r="I85" s="82" t="n"/>
      <c r="J85" s="82" t="n"/>
      <c r="K85" s="82" t="n"/>
      <c r="L85" s="82" t="n"/>
      <c r="M85" s="82" t="n"/>
      <c r="N85" s="82" t="n"/>
      <c r="O85" s="82" t="n"/>
      <c r="P85" s="82" t="n"/>
      <c r="Q85" s="82" t="n"/>
      <c r="R85" s="82" t="n"/>
    </row>
    <row r="86">
      <c r="A86" s="82" t="n"/>
      <c r="B86" s="82" t="n"/>
      <c r="C86" s="82" t="n"/>
      <c r="D86" s="82" t="n"/>
      <c r="E86" s="82" t="n"/>
      <c r="F86" s="82" t="n"/>
      <c r="G86" s="82" t="n"/>
      <c r="H86" s="82" t="n"/>
      <c r="I86" s="82" t="n"/>
      <c r="J86" s="82" t="n"/>
      <c r="K86" s="82" t="n"/>
      <c r="L86" s="82" t="n"/>
      <c r="M86" s="82" t="n"/>
      <c r="N86" s="82" t="n"/>
      <c r="O86" s="82" t="n"/>
      <c r="P86" s="82" t="n"/>
      <c r="Q86" s="82" t="n"/>
      <c r="R86" s="82" t="n"/>
    </row>
    <row r="87">
      <c r="A87" s="82" t="n"/>
      <c r="B87" s="82" t="n"/>
      <c r="C87" s="82" t="n"/>
      <c r="D87" s="82" t="n"/>
      <c r="E87" s="82" t="n"/>
      <c r="F87" s="82" t="n"/>
      <c r="G87" s="82" t="n"/>
      <c r="H87" s="82" t="n"/>
      <c r="I87" s="82" t="n"/>
      <c r="J87" s="82" t="n"/>
      <c r="K87" s="82" t="n"/>
      <c r="L87" s="82" t="n"/>
      <c r="M87" s="82" t="n"/>
      <c r="N87" s="82" t="n"/>
      <c r="O87" s="82" t="n"/>
      <c r="P87" s="82" t="n"/>
      <c r="Q87" s="82" t="n"/>
      <c r="R87" s="82" t="n"/>
    </row>
    <row r="88">
      <c r="A88" s="82" t="n"/>
      <c r="B88" s="82" t="n"/>
      <c r="C88" s="82" t="n"/>
      <c r="D88" s="82" t="n"/>
      <c r="E88" s="82" t="n"/>
      <c r="F88" s="82" t="n"/>
      <c r="G88" s="82" t="n"/>
      <c r="H88" s="82" t="n"/>
      <c r="I88" s="82" t="n"/>
      <c r="J88" s="82" t="n"/>
      <c r="K88" s="82" t="n"/>
      <c r="L88" s="82" t="n"/>
      <c r="M88" s="82" t="n"/>
      <c r="N88" s="82" t="n"/>
      <c r="O88" s="82" t="n"/>
      <c r="P88" s="82" t="n"/>
      <c r="Q88" s="82" t="n"/>
      <c r="R88" s="82" t="n"/>
    </row>
    <row r="89">
      <c r="A89" s="82" t="n"/>
      <c r="B89" s="82" t="n"/>
      <c r="C89" s="82" t="n"/>
      <c r="D89" s="82" t="n"/>
      <c r="E89" s="82" t="n"/>
      <c r="F89" s="82" t="n"/>
      <c r="G89" s="82" t="n"/>
      <c r="H89" s="82" t="n"/>
      <c r="I89" s="82" t="n"/>
      <c r="J89" s="82" t="n"/>
      <c r="K89" s="82" t="n"/>
      <c r="L89" s="82" t="n"/>
      <c r="M89" s="82" t="n"/>
      <c r="N89" s="82" t="n"/>
      <c r="O89" s="82" t="n"/>
      <c r="P89" s="82" t="n"/>
      <c r="Q89" s="82" t="n"/>
      <c r="R89" s="82" t="n"/>
    </row>
    <row r="90">
      <c r="A90" s="82" t="n"/>
      <c r="B90" s="82" t="n"/>
      <c r="C90" s="82" t="n"/>
      <c r="D90" s="82" t="n"/>
      <c r="E90" s="82" t="n"/>
      <c r="F90" s="82" t="n"/>
      <c r="G90" s="82" t="n"/>
      <c r="H90" s="82" t="n"/>
      <c r="I90" s="82" t="n"/>
      <c r="J90" s="82" t="n"/>
      <c r="K90" s="82" t="n"/>
      <c r="L90" s="82" t="n"/>
      <c r="M90" s="82" t="n"/>
      <c r="N90" s="82" t="n"/>
      <c r="O90" s="82" t="n"/>
      <c r="P90" s="82" t="n"/>
      <c r="Q90" s="82" t="n"/>
      <c r="R90" s="82" t="n"/>
    </row>
    <row r="91">
      <c r="A91" s="82" t="n"/>
      <c r="B91" s="82" t="n"/>
      <c r="C91" s="82" t="n"/>
      <c r="D91" s="82" t="n"/>
      <c r="E91" s="82" t="n"/>
      <c r="F91" s="82" t="n"/>
      <c r="G91" s="82" t="n"/>
      <c r="H91" s="82" t="n"/>
      <c r="I91" s="82" t="n"/>
      <c r="J91" s="82" t="n"/>
      <c r="K91" s="82" t="n"/>
      <c r="L91" s="82" t="n"/>
      <c r="M91" s="82" t="n"/>
      <c r="N91" s="82" t="n"/>
      <c r="O91" s="82" t="n"/>
      <c r="P91" s="82" t="n"/>
      <c r="Q91" s="82" t="n"/>
      <c r="R91" s="82" t="n"/>
    </row>
    <row r="92">
      <c r="A92" s="82" t="n"/>
      <c r="B92" s="82" t="n"/>
      <c r="C92" s="82" t="n"/>
      <c r="D92" s="82" t="n"/>
      <c r="E92" s="82" t="n"/>
      <c r="F92" s="82" t="n"/>
      <c r="G92" s="82" t="n"/>
      <c r="H92" s="82" t="n"/>
      <c r="I92" s="82" t="n"/>
      <c r="J92" s="82" t="n"/>
      <c r="K92" s="82" t="n"/>
      <c r="L92" s="82" t="n"/>
      <c r="M92" s="82" t="n"/>
      <c r="N92" s="82" t="n"/>
      <c r="O92" s="82" t="n"/>
      <c r="P92" s="82" t="n"/>
      <c r="Q92" s="82" t="n"/>
      <c r="R92" s="82" t="n"/>
    </row>
    <row r="93">
      <c r="A93" s="82" t="n"/>
      <c r="B93" s="82" t="n"/>
      <c r="C93" s="82" t="n"/>
      <c r="D93" s="82" t="n"/>
      <c r="E93" s="82" t="n"/>
      <c r="F93" s="82" t="n"/>
      <c r="G93" s="82" t="n"/>
      <c r="H93" s="82" t="n"/>
      <c r="I93" s="82" t="n"/>
      <c r="J93" s="82" t="n"/>
      <c r="K93" s="82" t="n"/>
      <c r="L93" s="82" t="n"/>
      <c r="M93" s="82" t="n"/>
      <c r="N93" s="82" t="n"/>
      <c r="O93" s="82" t="n"/>
      <c r="P93" s="82" t="n"/>
      <c r="Q93" s="82" t="n"/>
      <c r="R93" s="82" t="n"/>
    </row>
    <row r="94">
      <c r="A94" s="82" t="n"/>
      <c r="B94" s="82" t="n"/>
      <c r="C94" s="82" t="n"/>
      <c r="D94" s="82" t="n"/>
      <c r="E94" s="82" t="n"/>
      <c r="F94" s="82" t="n"/>
      <c r="G94" s="82" t="n"/>
      <c r="H94" s="82" t="n"/>
      <c r="I94" s="82" t="n"/>
      <c r="J94" s="82" t="n"/>
      <c r="K94" s="82" t="n"/>
      <c r="L94" s="82" t="n"/>
      <c r="M94" s="82" t="n"/>
      <c r="N94" s="82" t="n"/>
      <c r="O94" s="82" t="n"/>
      <c r="P94" s="82" t="n"/>
      <c r="Q94" s="82" t="n"/>
      <c r="R94" s="82" t="n"/>
    </row>
    <row r="95">
      <c r="A95" s="82" t="n"/>
      <c r="B95" s="82" t="n"/>
      <c r="C95" s="82" t="n"/>
      <c r="D95" s="82" t="n"/>
      <c r="E95" s="82" t="n"/>
      <c r="F95" s="82" t="n"/>
      <c r="G95" s="82" t="n"/>
      <c r="H95" s="82" t="n"/>
      <c r="I95" s="82" t="n"/>
      <c r="J95" s="82" t="n"/>
      <c r="K95" s="82" t="n"/>
      <c r="L95" s="82" t="n"/>
      <c r="M95" s="82" t="n"/>
      <c r="N95" s="82" t="n"/>
      <c r="O95" s="82" t="n"/>
      <c r="P95" s="82" t="n"/>
      <c r="Q95" s="82" t="n"/>
      <c r="R95" s="82" t="n"/>
    </row>
    <row r="96">
      <c r="A96" s="82" t="n"/>
      <c r="B96" s="82" t="n"/>
      <c r="C96" s="82" t="n"/>
      <c r="D96" s="82" t="n"/>
      <c r="E96" s="82" t="n"/>
      <c r="F96" s="82" t="n"/>
      <c r="G96" s="82" t="n"/>
      <c r="H96" s="82" t="n"/>
      <c r="I96" s="82" t="n"/>
      <c r="J96" s="82" t="n"/>
      <c r="K96" s="82" t="n"/>
      <c r="L96" s="82" t="n"/>
      <c r="M96" s="82" t="n"/>
      <c r="N96" s="82" t="n"/>
      <c r="O96" s="82" t="n"/>
      <c r="P96" s="82" t="n"/>
      <c r="Q96" s="82" t="n"/>
      <c r="R96" s="82" t="n"/>
    </row>
    <row r="97">
      <c r="A97" s="82" t="n"/>
      <c r="B97" s="82" t="n"/>
      <c r="C97" s="82" t="n"/>
      <c r="D97" s="82" t="n"/>
      <c r="E97" s="82" t="n"/>
      <c r="F97" s="82" t="n"/>
      <c r="G97" s="82" t="n"/>
      <c r="H97" s="82" t="n"/>
      <c r="I97" s="82" t="n"/>
      <c r="J97" s="82" t="n"/>
      <c r="K97" s="82" t="n"/>
      <c r="L97" s="82" t="n"/>
      <c r="M97" s="82" t="n"/>
      <c r="N97" s="82" t="n"/>
      <c r="O97" s="82" t="n"/>
      <c r="P97" s="82" t="n"/>
      <c r="Q97" s="82" t="n"/>
      <c r="R97" s="82" t="n"/>
    </row>
    <row r="98">
      <c r="A98" s="82" t="n"/>
      <c r="B98" s="82" t="n"/>
      <c r="C98" s="82" t="n"/>
      <c r="D98" s="82" t="n"/>
      <c r="E98" s="82" t="n"/>
      <c r="F98" s="82" t="n"/>
      <c r="G98" s="82" t="n"/>
      <c r="H98" s="82" t="n"/>
      <c r="I98" s="82" t="n"/>
      <c r="J98" s="82" t="n"/>
      <c r="K98" s="82" t="n"/>
      <c r="L98" s="82" t="n"/>
      <c r="M98" s="82" t="n"/>
      <c r="N98" s="82" t="n"/>
      <c r="O98" s="82" t="n"/>
      <c r="P98" s="82" t="n"/>
      <c r="Q98" s="82" t="n"/>
      <c r="R98" s="82" t="n"/>
    </row>
    <row r="99">
      <c r="A99" s="82" t="n"/>
      <c r="B99" s="82" t="n"/>
      <c r="C99" s="82" t="n"/>
      <c r="D99" s="82" t="n"/>
      <c r="E99" s="82" t="n"/>
      <c r="F99" s="82" t="n"/>
      <c r="G99" s="82" t="n"/>
      <c r="H99" s="82" t="n"/>
      <c r="I99" s="82" t="n"/>
      <c r="J99" s="82" t="n"/>
      <c r="K99" s="82" t="n"/>
      <c r="L99" s="82" t="n"/>
      <c r="M99" s="82" t="n"/>
      <c r="N99" s="82" t="n"/>
      <c r="O99" s="82" t="n"/>
      <c r="P99" s="82" t="n"/>
      <c r="Q99" s="82" t="n"/>
      <c r="R99" s="82" t="n"/>
    </row>
    <row r="100">
      <c r="A100" s="82" t="n"/>
      <c r="B100" s="82" t="n"/>
      <c r="C100" s="82" t="n"/>
      <c r="D100" s="82" t="n"/>
      <c r="E100" s="82" t="n"/>
      <c r="F100" s="82" t="n"/>
      <c r="G100" s="82" t="n"/>
      <c r="H100" s="82" t="n"/>
      <c r="I100" s="82" t="n"/>
      <c r="J100" s="82" t="n"/>
      <c r="K100" s="82" t="n"/>
      <c r="L100" s="82" t="n"/>
      <c r="M100" s="82" t="n"/>
      <c r="N100" s="82" t="n"/>
      <c r="O100" s="82" t="n"/>
      <c r="P100" s="82" t="n"/>
      <c r="Q100" s="82" t="n"/>
      <c r="R100" s="82" t="n"/>
    </row>
    <row r="101">
      <c r="A101" s="82" t="n"/>
      <c r="B101" s="82" t="n"/>
      <c r="C101" s="82" t="n"/>
      <c r="D101" s="82" t="n"/>
      <c r="E101" s="82" t="n"/>
      <c r="F101" s="82" t="n"/>
      <c r="G101" s="82" t="n"/>
      <c r="H101" s="82" t="n"/>
      <c r="I101" s="82" t="n"/>
      <c r="J101" s="82" t="n"/>
      <c r="K101" s="82" t="n"/>
      <c r="L101" s="82" t="n"/>
      <c r="M101" s="82" t="n"/>
      <c r="N101" s="82" t="n"/>
      <c r="O101" s="82" t="n"/>
      <c r="P101" s="82" t="n"/>
      <c r="Q101" s="82" t="n"/>
      <c r="R101" s="82" t="n"/>
    </row>
    <row r="102">
      <c r="A102" s="82" t="n"/>
      <c r="B102" s="82" t="n"/>
      <c r="C102" s="82" t="n"/>
      <c r="D102" s="82" t="n"/>
      <c r="E102" s="82" t="n"/>
      <c r="F102" s="82" t="n"/>
      <c r="G102" s="82" t="n"/>
      <c r="H102" s="82" t="n"/>
      <c r="I102" s="82" t="n"/>
      <c r="J102" s="82" t="n"/>
      <c r="K102" s="82" t="n"/>
      <c r="L102" s="82" t="n"/>
      <c r="M102" s="82" t="n"/>
      <c r="N102" s="82" t="n"/>
      <c r="O102" s="82" t="n"/>
      <c r="P102" s="82" t="n"/>
      <c r="Q102" s="82" t="n"/>
      <c r="R102" s="82" t="n"/>
    </row>
    <row r="103">
      <c r="A103" s="82" t="n"/>
      <c r="B103" s="82" t="n"/>
      <c r="C103" s="82" t="n"/>
      <c r="D103" s="82" t="n"/>
      <c r="E103" s="82" t="n"/>
      <c r="F103" s="82" t="n"/>
      <c r="G103" s="82" t="n"/>
      <c r="H103" s="82" t="n"/>
      <c r="I103" s="82" t="n"/>
      <c r="J103" s="82" t="n"/>
      <c r="K103" s="82" t="n"/>
      <c r="L103" s="82" t="n"/>
      <c r="M103" s="82" t="n"/>
      <c r="N103" s="82" t="n"/>
      <c r="O103" s="82" t="n"/>
      <c r="P103" s="82" t="n"/>
      <c r="Q103" s="82" t="n"/>
      <c r="R103" s="82" t="n"/>
    </row>
    <row r="104">
      <c r="A104" s="82" t="n"/>
      <c r="B104" s="82" t="n"/>
      <c r="C104" s="82" t="n"/>
      <c r="D104" s="82" t="n"/>
      <c r="E104" s="82" t="n"/>
      <c r="F104" s="82" t="n"/>
      <c r="G104" s="82" t="n"/>
      <c r="H104" s="82" t="n"/>
      <c r="I104" s="82" t="n"/>
      <c r="J104" s="82" t="n"/>
      <c r="K104" s="82" t="n"/>
      <c r="L104" s="82" t="n"/>
      <c r="M104" s="82" t="n"/>
      <c r="N104" s="82" t="n"/>
      <c r="O104" s="82" t="n"/>
      <c r="P104" s="82" t="n"/>
      <c r="Q104" s="82" t="n"/>
      <c r="R104" s="82" t="n"/>
    </row>
    <row r="105">
      <c r="A105" s="82" t="n"/>
      <c r="B105" s="82" t="n"/>
      <c r="C105" s="82" t="n"/>
      <c r="D105" s="82" t="n"/>
      <c r="E105" s="82" t="n"/>
      <c r="F105" s="82" t="n"/>
      <c r="G105" s="82" t="n"/>
      <c r="H105" s="82" t="n"/>
      <c r="I105" s="82" t="n"/>
      <c r="J105" s="82" t="n"/>
      <c r="K105" s="82" t="n"/>
      <c r="L105" s="82" t="n"/>
      <c r="M105" s="82" t="n"/>
      <c r="N105" s="82" t="n"/>
      <c r="O105" s="82" t="n"/>
      <c r="P105" s="82" t="n"/>
      <c r="Q105" s="82" t="n"/>
      <c r="R105" s="82" t="n"/>
    </row>
    <row r="106">
      <c r="A106" s="82" t="n"/>
      <c r="B106" s="82" t="n"/>
      <c r="C106" s="82" t="n"/>
      <c r="D106" s="82" t="n"/>
      <c r="E106" s="82" t="n"/>
      <c r="F106" s="82" t="n"/>
      <c r="G106" s="82" t="n"/>
      <c r="H106" s="82" t="n"/>
      <c r="I106" s="82" t="n"/>
      <c r="J106" s="82" t="n"/>
      <c r="K106" s="82" t="n"/>
      <c r="L106" s="82" t="n"/>
      <c r="M106" s="82" t="n"/>
      <c r="N106" s="82" t="n"/>
      <c r="O106" s="82" t="n"/>
      <c r="P106" s="82" t="n"/>
      <c r="Q106" s="82" t="n"/>
      <c r="R106" s="82" t="n"/>
    </row>
    <row r="107">
      <c r="A107" s="82" t="n"/>
      <c r="B107" s="82" t="n"/>
      <c r="C107" s="82" t="n"/>
      <c r="D107" s="82" t="n"/>
      <c r="E107" s="82" t="n"/>
      <c r="F107" s="82" t="n"/>
      <c r="G107" s="82" t="n"/>
      <c r="H107" s="82" t="n"/>
      <c r="I107" s="82" t="n"/>
      <c r="J107" s="82" t="n"/>
      <c r="K107" s="82" t="n"/>
      <c r="L107" s="82" t="n"/>
      <c r="M107" s="82" t="n"/>
      <c r="N107" s="82" t="n"/>
      <c r="O107" s="82" t="n"/>
      <c r="P107" s="82" t="n"/>
      <c r="Q107" s="82" t="n"/>
      <c r="R107" s="82" t="n"/>
    </row>
    <row r="108">
      <c r="A108" s="82" t="n"/>
      <c r="B108" s="82" t="n"/>
      <c r="C108" s="82" t="n"/>
      <c r="D108" s="82" t="n"/>
      <c r="E108" s="82" t="n"/>
      <c r="F108" s="82" t="n"/>
      <c r="G108" s="82" t="n"/>
      <c r="H108" s="82" t="n"/>
      <c r="I108" s="82" t="n"/>
      <c r="J108" s="82" t="n"/>
      <c r="K108" s="82" t="n"/>
      <c r="L108" s="82" t="n"/>
      <c r="M108" s="82" t="n"/>
      <c r="N108" s="82" t="n"/>
      <c r="O108" s="82" t="n"/>
      <c r="P108" s="82" t="n"/>
      <c r="Q108" s="82" t="n"/>
      <c r="R108" s="82" t="n"/>
    </row>
    <row r="109">
      <c r="A109" s="82" t="n"/>
      <c r="B109" s="82" t="n"/>
      <c r="C109" s="82" t="n"/>
      <c r="D109" s="82" t="n"/>
      <c r="E109" s="82" t="n"/>
      <c r="F109" s="82" t="n"/>
      <c r="G109" s="82" t="n"/>
      <c r="H109" s="82" t="n"/>
      <c r="I109" s="82" t="n"/>
      <c r="J109" s="82" t="n"/>
      <c r="K109" s="82" t="n"/>
      <c r="L109" s="82" t="n"/>
      <c r="M109" s="82" t="n"/>
      <c r="N109" s="82" t="n"/>
      <c r="O109" s="82" t="n"/>
      <c r="P109" s="82" t="n"/>
      <c r="Q109" s="82" t="n"/>
      <c r="R109" s="82" t="n"/>
    </row>
    <row r="110">
      <c r="A110" s="82" t="n"/>
      <c r="B110" s="82" t="n"/>
      <c r="C110" s="82" t="n"/>
      <c r="D110" s="82" t="n"/>
      <c r="E110" s="82" t="n"/>
      <c r="F110" s="82" t="n"/>
      <c r="G110" s="82" t="n"/>
      <c r="H110" s="82" t="n"/>
      <c r="I110" s="82" t="n"/>
      <c r="J110" s="82" t="n"/>
      <c r="K110" s="82" t="n"/>
      <c r="L110" s="82" t="n"/>
      <c r="M110" s="82" t="n"/>
      <c r="N110" s="82" t="n"/>
      <c r="O110" s="82" t="n"/>
      <c r="P110" s="82" t="n"/>
      <c r="Q110" s="82" t="n"/>
      <c r="R110" s="82" t="n"/>
    </row>
    <row r="111">
      <c r="A111" s="82" t="n"/>
      <c r="B111" s="82" t="n"/>
      <c r="C111" s="82" t="n"/>
      <c r="D111" s="82" t="n"/>
      <c r="E111" s="82" t="n"/>
      <c r="F111" s="82" t="n"/>
      <c r="G111" s="82" t="n"/>
      <c r="H111" s="82" t="n"/>
      <c r="I111" s="82" t="n"/>
      <c r="J111" s="82" t="n"/>
      <c r="K111" s="82" t="n"/>
      <c r="L111" s="82" t="n"/>
      <c r="M111" s="82" t="n"/>
      <c r="N111" s="82" t="n"/>
      <c r="O111" s="82" t="n"/>
      <c r="P111" s="82" t="n"/>
      <c r="Q111" s="82" t="n"/>
      <c r="R111" s="82" t="n"/>
    </row>
    <row r="112">
      <c r="A112" s="82" t="n"/>
      <c r="B112" s="82" t="n"/>
      <c r="C112" s="82" t="n"/>
      <c r="D112" s="82" t="n"/>
      <c r="E112" s="82" t="n"/>
      <c r="F112" s="82" t="n"/>
      <c r="G112" s="82" t="n"/>
      <c r="H112" s="82" t="n"/>
      <c r="I112" s="82" t="n"/>
      <c r="J112" s="82" t="n"/>
      <c r="K112" s="82" t="n"/>
      <c r="L112" s="82" t="n"/>
      <c r="M112" s="82" t="n"/>
      <c r="N112" s="82" t="n"/>
      <c r="O112" s="82" t="n"/>
      <c r="P112" s="82" t="n"/>
      <c r="Q112" s="82" t="n"/>
      <c r="R112" s="82" t="n"/>
    </row>
    <row r="113">
      <c r="A113" s="82" t="n"/>
      <c r="B113" s="82" t="n"/>
      <c r="C113" s="82" t="n"/>
      <c r="D113" s="82" t="n"/>
      <c r="E113" s="82" t="n"/>
      <c r="F113" s="82" t="n"/>
      <c r="G113" s="82" t="n"/>
      <c r="H113" s="82" t="n"/>
      <c r="I113" s="82" t="n"/>
      <c r="J113" s="82" t="n"/>
      <c r="K113" s="82" t="n"/>
      <c r="L113" s="82" t="n"/>
      <c r="M113" s="82" t="n"/>
      <c r="N113" s="82" t="n"/>
      <c r="O113" s="82" t="n"/>
      <c r="P113" s="82" t="n"/>
      <c r="Q113" s="82" t="n"/>
      <c r="R113" s="82" t="n"/>
    </row>
    <row r="114">
      <c r="A114" s="82" t="n"/>
      <c r="B114" s="82" t="n"/>
      <c r="C114" s="82" t="n"/>
      <c r="D114" s="82" t="n"/>
      <c r="E114" s="82" t="n"/>
      <c r="F114" s="82" t="n"/>
      <c r="G114" s="82" t="n"/>
      <c r="H114" s="82" t="n"/>
      <c r="I114" s="82" t="n"/>
      <c r="J114" s="82" t="n"/>
      <c r="K114" s="82" t="n"/>
      <c r="L114" s="82" t="n"/>
      <c r="M114" s="82" t="n"/>
      <c r="N114" s="82" t="n"/>
      <c r="O114" s="82" t="n"/>
      <c r="P114" s="82" t="n"/>
      <c r="Q114" s="82" t="n"/>
      <c r="R114" s="82" t="n"/>
    </row>
    <row r="115">
      <c r="A115" s="82" t="n"/>
      <c r="B115" s="82" t="n"/>
      <c r="C115" s="82" t="n"/>
      <c r="D115" s="82" t="n"/>
      <c r="E115" s="82" t="n"/>
      <c r="F115" s="82" t="n"/>
      <c r="G115" s="82" t="n"/>
      <c r="H115" s="82" t="n"/>
      <c r="I115" s="82" t="n"/>
      <c r="J115" s="82" t="n"/>
      <c r="K115" s="82" t="n"/>
      <c r="L115" s="82" t="n"/>
      <c r="M115" s="82" t="n"/>
      <c r="N115" s="82" t="n"/>
      <c r="O115" s="82" t="n"/>
      <c r="P115" s="82" t="n"/>
      <c r="Q115" s="82" t="n"/>
      <c r="R115" s="82" t="n"/>
    </row>
    <row r="116">
      <c r="A116" s="82" t="n"/>
      <c r="B116" s="82" t="n"/>
      <c r="C116" s="82" t="n"/>
      <c r="D116" s="82" t="n"/>
      <c r="E116" s="82" t="n"/>
      <c r="F116" s="82" t="n"/>
      <c r="G116" s="82" t="n"/>
      <c r="H116" s="82" t="n"/>
      <c r="I116" s="82" t="n"/>
      <c r="J116" s="82" t="n"/>
      <c r="K116" s="82" t="n"/>
      <c r="L116" s="82" t="n"/>
      <c r="M116" s="82" t="n"/>
      <c r="N116" s="82" t="n"/>
      <c r="O116" s="82" t="n"/>
      <c r="P116" s="82" t="n"/>
      <c r="Q116" s="82" t="n"/>
      <c r="R116" s="82" t="n"/>
    </row>
    <row r="117">
      <c r="A117" s="82" t="n"/>
      <c r="B117" s="82" t="n"/>
      <c r="C117" s="82" t="n"/>
      <c r="D117" s="82" t="n"/>
      <c r="E117" s="82" t="n"/>
      <c r="F117" s="82" t="n"/>
      <c r="G117" s="82" t="n"/>
      <c r="H117" s="82" t="n"/>
      <c r="I117" s="82" t="n"/>
      <c r="J117" s="82" t="n"/>
      <c r="K117" s="82" t="n"/>
      <c r="L117" s="82" t="n"/>
      <c r="M117" s="82" t="n"/>
      <c r="N117" s="82" t="n"/>
      <c r="O117" s="82" t="n"/>
      <c r="P117" s="82" t="n"/>
      <c r="Q117" s="82" t="n"/>
      <c r="R117" s="82" t="n"/>
    </row>
    <row r="118">
      <c r="A118" s="82" t="n"/>
      <c r="B118" s="82" t="n"/>
      <c r="C118" s="82" t="n"/>
      <c r="D118" s="82" t="n"/>
      <c r="E118" s="82" t="n"/>
      <c r="F118" s="82" t="n"/>
      <c r="G118" s="82" t="n"/>
      <c r="H118" s="82" t="n"/>
      <c r="I118" s="82" t="n"/>
      <c r="J118" s="82" t="n"/>
      <c r="K118" s="82" t="n"/>
      <c r="L118" s="82" t="n"/>
      <c r="M118" s="82" t="n"/>
      <c r="N118" s="82" t="n"/>
      <c r="O118" s="82" t="n"/>
      <c r="P118" s="82" t="n"/>
      <c r="Q118" s="82" t="n"/>
      <c r="R118" s="82" t="n"/>
    </row>
    <row r="119">
      <c r="A119" s="82" t="n"/>
      <c r="B119" s="82" t="n"/>
      <c r="C119" s="82" t="n"/>
      <c r="D119" s="82" t="n"/>
      <c r="E119" s="82" t="n"/>
      <c r="F119" s="82" t="n"/>
      <c r="G119" s="82" t="n"/>
      <c r="H119" s="82" t="n"/>
      <c r="I119" s="82" t="n"/>
      <c r="J119" s="82" t="n"/>
      <c r="K119" s="82" t="n"/>
      <c r="L119" s="82" t="n"/>
      <c r="M119" s="82" t="n"/>
      <c r="N119" s="82" t="n"/>
      <c r="O119" s="82" t="n"/>
      <c r="P119" s="82" t="n"/>
      <c r="Q119" s="82" t="n"/>
      <c r="R119" s="82" t="n"/>
    </row>
    <row r="120">
      <c r="A120" s="82" t="n"/>
      <c r="B120" s="82" t="n"/>
      <c r="C120" s="82" t="n"/>
      <c r="D120" s="82" t="n"/>
      <c r="E120" s="82" t="n"/>
      <c r="F120" s="82" t="n"/>
      <c r="G120" s="82" t="n"/>
      <c r="H120" s="82" t="n"/>
      <c r="I120" s="82" t="n"/>
      <c r="J120" s="82" t="n"/>
      <c r="K120" s="82" t="n"/>
      <c r="L120" s="82" t="n"/>
      <c r="M120" s="82" t="n"/>
      <c r="N120" s="82" t="n"/>
      <c r="O120" s="82" t="n"/>
      <c r="P120" s="82" t="n"/>
      <c r="Q120" s="82" t="n"/>
      <c r="R120" s="82" t="n"/>
    </row>
    <row r="121">
      <c r="A121" s="82" t="n"/>
      <c r="B121" s="82" t="n"/>
      <c r="C121" s="82" t="n"/>
      <c r="D121" s="82" t="n"/>
      <c r="E121" s="82" t="n"/>
      <c r="F121" s="82" t="n"/>
      <c r="G121" s="82" t="n"/>
      <c r="H121" s="82" t="n"/>
      <c r="I121" s="82" t="n"/>
      <c r="J121" s="82" t="n"/>
      <c r="K121" s="82" t="n"/>
      <c r="L121" s="82" t="n"/>
      <c r="M121" s="82" t="n"/>
      <c r="N121" s="82" t="n"/>
      <c r="O121" s="82" t="n"/>
      <c r="P121" s="82" t="n"/>
      <c r="Q121" s="82" t="n"/>
      <c r="R121" s="82" t="n"/>
    </row>
    <row r="122">
      <c r="A122" s="82" t="n"/>
      <c r="B122" s="82" t="n"/>
      <c r="C122" s="82" t="n"/>
      <c r="D122" s="82" t="n"/>
      <c r="E122" s="82" t="n"/>
      <c r="F122" s="82" t="n"/>
      <c r="G122" s="82" t="n"/>
      <c r="H122" s="82" t="n"/>
      <c r="I122" s="82" t="n"/>
      <c r="J122" s="82" t="n"/>
      <c r="K122" s="82" t="n"/>
      <c r="L122" s="82" t="n"/>
      <c r="M122" s="82" t="n"/>
      <c r="N122" s="82" t="n"/>
      <c r="O122" s="82" t="n"/>
      <c r="P122" s="82" t="n"/>
      <c r="Q122" s="82" t="n"/>
      <c r="R122" s="82" t="n"/>
    </row>
    <row r="123">
      <c r="A123" s="82" t="n"/>
      <c r="B123" s="82" t="n"/>
      <c r="C123" s="82" t="n"/>
      <c r="D123" s="82" t="n"/>
      <c r="E123" s="82" t="n"/>
      <c r="F123" s="82" t="n"/>
      <c r="G123" s="82" t="n"/>
      <c r="H123" s="82" t="n"/>
      <c r="I123" s="82" t="n"/>
      <c r="J123" s="82" t="n"/>
      <c r="K123" s="82" t="n"/>
      <c r="L123" s="82" t="n"/>
      <c r="M123" s="82" t="n"/>
      <c r="N123" s="82" t="n"/>
      <c r="O123" s="82" t="n"/>
      <c r="P123" s="82" t="n"/>
      <c r="Q123" s="82" t="n"/>
      <c r="R123" s="82" t="n"/>
    </row>
    <row r="124">
      <c r="A124" s="82" t="n"/>
      <c r="B124" s="82" t="n"/>
      <c r="C124" s="82" t="n"/>
      <c r="D124" s="82" t="n"/>
      <c r="E124" s="82" t="n"/>
      <c r="F124" s="82" t="n"/>
      <c r="G124" s="82" t="n"/>
      <c r="H124" s="82" t="n"/>
      <c r="I124" s="82" t="n"/>
      <c r="J124" s="82" t="n"/>
      <c r="K124" s="82" t="n"/>
      <c r="L124" s="82" t="n"/>
      <c r="M124" s="82" t="n"/>
      <c r="N124" s="82" t="n"/>
      <c r="O124" s="82" t="n"/>
      <c r="P124" s="82" t="n"/>
      <c r="Q124" s="82" t="n"/>
      <c r="R124" s="82" t="n"/>
    </row>
    <row r="125">
      <c r="A125" s="82" t="n"/>
      <c r="B125" s="82" t="n"/>
      <c r="C125" s="82" t="n"/>
      <c r="D125" s="82" t="n"/>
      <c r="E125" s="82" t="n"/>
      <c r="F125" s="82" t="n"/>
      <c r="G125" s="82" t="n"/>
      <c r="H125" s="82" t="n"/>
      <c r="I125" s="82" t="n"/>
      <c r="J125" s="82" t="n"/>
      <c r="K125" s="82" t="n"/>
      <c r="L125" s="82" t="n"/>
      <c r="M125" s="82" t="n"/>
      <c r="N125" s="82" t="n"/>
      <c r="O125" s="82" t="n"/>
      <c r="P125" s="82" t="n"/>
      <c r="Q125" s="82" t="n"/>
      <c r="R125" s="82" t="n"/>
    </row>
    <row r="126">
      <c r="A126" s="82" t="n"/>
      <c r="B126" s="82" t="n"/>
      <c r="C126" s="82" t="n"/>
      <c r="D126" s="82" t="n"/>
      <c r="E126" s="82" t="n"/>
      <c r="F126" s="82" t="n"/>
      <c r="G126" s="82" t="n"/>
      <c r="H126" s="82" t="n"/>
      <c r="I126" s="82" t="n"/>
      <c r="J126" s="82" t="n"/>
      <c r="K126" s="82" t="n"/>
      <c r="L126" s="82" t="n"/>
      <c r="M126" s="82" t="n"/>
      <c r="N126" s="82" t="n"/>
      <c r="O126" s="82" t="n"/>
      <c r="P126" s="82" t="n"/>
      <c r="Q126" s="82" t="n"/>
      <c r="R126" s="82" t="n"/>
    </row>
    <row r="127">
      <c r="A127" s="82" t="n"/>
      <c r="B127" s="82" t="n"/>
      <c r="C127" s="82" t="n"/>
      <c r="D127" s="82" t="n"/>
      <c r="E127" s="82" t="n"/>
      <c r="F127" s="82" t="n"/>
      <c r="G127" s="82" t="n"/>
      <c r="H127" s="82" t="n"/>
      <c r="I127" s="82" t="n"/>
      <c r="J127" s="82" t="n"/>
      <c r="K127" s="82" t="n"/>
      <c r="L127" s="82" t="n"/>
      <c r="M127" s="82" t="n"/>
      <c r="N127" s="82" t="n"/>
      <c r="O127" s="82" t="n"/>
      <c r="P127" s="82" t="n"/>
      <c r="Q127" s="82" t="n"/>
      <c r="R127" s="82" t="n"/>
    </row>
    <row r="128">
      <c r="A128" s="82" t="n"/>
      <c r="B128" s="82" t="n"/>
      <c r="C128" s="82" t="n"/>
      <c r="D128" s="82" t="n"/>
      <c r="E128" s="82" t="n"/>
      <c r="F128" s="82" t="n"/>
      <c r="G128" s="82" t="n"/>
      <c r="H128" s="82" t="n"/>
      <c r="I128" s="82" t="n"/>
      <c r="J128" s="82" t="n"/>
      <c r="K128" s="82" t="n"/>
      <c r="L128" s="82" t="n"/>
      <c r="M128" s="82" t="n"/>
      <c r="N128" s="82" t="n"/>
      <c r="O128" s="82" t="n"/>
      <c r="P128" s="82" t="n"/>
      <c r="Q128" s="82" t="n"/>
      <c r="R128" s="82" t="n"/>
    </row>
    <row r="129">
      <c r="A129" s="82" t="n"/>
      <c r="B129" s="82" t="n"/>
      <c r="C129" s="82" t="n"/>
      <c r="D129" s="82" t="n"/>
      <c r="E129" s="82" t="n"/>
      <c r="F129" s="82" t="n"/>
      <c r="G129" s="82" t="n"/>
      <c r="H129" s="82" t="n"/>
      <c r="I129" s="82" t="n"/>
      <c r="J129" s="82" t="n"/>
      <c r="K129" s="82" t="n"/>
      <c r="L129" s="82" t="n"/>
      <c r="M129" s="82" t="n"/>
      <c r="N129" s="82" t="n"/>
      <c r="O129" s="82" t="n"/>
      <c r="P129" s="82" t="n"/>
      <c r="Q129" s="82" t="n"/>
      <c r="R129" s="82" t="n"/>
    </row>
    <row r="130">
      <c r="A130" s="82" t="n"/>
      <c r="B130" s="82" t="n"/>
      <c r="C130" s="82" t="n"/>
      <c r="D130" s="82" t="n"/>
      <c r="E130" s="82" t="n"/>
      <c r="F130" s="82" t="n"/>
      <c r="G130" s="82" t="n"/>
      <c r="H130" s="82" t="n"/>
      <c r="I130" s="82" t="n"/>
      <c r="J130" s="82" t="n"/>
      <c r="K130" s="82" t="n"/>
      <c r="L130" s="82" t="n"/>
      <c r="M130" s="82" t="n"/>
      <c r="N130" s="82" t="n"/>
      <c r="O130" s="82" t="n"/>
      <c r="P130" s="82" t="n"/>
      <c r="Q130" s="82" t="n"/>
      <c r="R130" s="82" t="n"/>
    </row>
    <row r="131">
      <c r="A131" s="82" t="n"/>
      <c r="B131" s="82" t="n"/>
      <c r="C131" s="82" t="n"/>
      <c r="D131" s="82" t="n"/>
      <c r="E131" s="82" t="n"/>
      <c r="F131" s="82" t="n"/>
      <c r="G131" s="82" t="n"/>
      <c r="H131" s="82" t="n"/>
      <c r="I131" s="82" t="n"/>
      <c r="J131" s="82" t="n"/>
      <c r="K131" s="82" t="n"/>
      <c r="L131" s="82" t="n"/>
      <c r="M131" s="82" t="n"/>
      <c r="N131" s="82" t="n"/>
      <c r="O131" s="82" t="n"/>
      <c r="P131" s="82" t="n"/>
      <c r="Q131" s="82" t="n"/>
      <c r="R131" s="82" t="n"/>
    </row>
    <row r="132">
      <c r="A132" s="82" t="n"/>
      <c r="B132" s="82" t="n"/>
      <c r="C132" s="82" t="n"/>
      <c r="D132" s="82" t="n"/>
      <c r="E132" s="82" t="n"/>
      <c r="F132" s="82" t="n"/>
      <c r="G132" s="82" t="n"/>
      <c r="H132" s="82" t="n"/>
      <c r="I132" s="82" t="n"/>
      <c r="J132" s="82" t="n"/>
      <c r="K132" s="82" t="n"/>
      <c r="L132" s="82" t="n"/>
      <c r="M132" s="82" t="n"/>
      <c r="N132" s="82" t="n"/>
      <c r="O132" s="82" t="n"/>
      <c r="P132" s="82" t="n"/>
      <c r="Q132" s="82" t="n"/>
      <c r="R132" s="82" t="n"/>
    </row>
    <row r="133">
      <c r="A133" s="82" t="n"/>
      <c r="B133" s="82" t="n"/>
      <c r="C133" s="82" t="n"/>
      <c r="D133" s="82" t="n"/>
      <c r="E133" s="82" t="n"/>
      <c r="F133" s="82" t="n"/>
      <c r="G133" s="82" t="n"/>
      <c r="H133" s="82" t="n"/>
      <c r="I133" s="82" t="n"/>
      <c r="J133" s="82" t="n"/>
      <c r="K133" s="82" t="n"/>
      <c r="L133" s="82" t="n"/>
      <c r="M133" s="82" t="n"/>
      <c r="N133" s="82" t="n"/>
      <c r="O133" s="82" t="n"/>
      <c r="P133" s="82" t="n"/>
      <c r="Q133" s="82" t="n"/>
      <c r="R133" s="82" t="n"/>
    </row>
    <row r="134">
      <c r="A134" s="82" t="n"/>
      <c r="B134" s="82" t="n"/>
      <c r="C134" s="82" t="n"/>
      <c r="D134" s="82" t="n"/>
      <c r="E134" s="82" t="n"/>
      <c r="F134" s="82" t="n"/>
      <c r="G134" s="82" t="n"/>
      <c r="H134" s="82" t="n"/>
      <c r="I134" s="82" t="n"/>
      <c r="J134" s="82" t="n"/>
      <c r="K134" s="82" t="n"/>
      <c r="L134" s="82" t="n"/>
      <c r="M134" s="82" t="n"/>
      <c r="N134" s="82" t="n"/>
      <c r="O134" s="82" t="n"/>
      <c r="P134" s="82" t="n"/>
      <c r="Q134" s="82" t="n"/>
      <c r="R134" s="82" t="n"/>
    </row>
    <row r="135">
      <c r="A135" s="82" t="n"/>
      <c r="B135" s="82" t="n"/>
      <c r="C135" s="82" t="n"/>
      <c r="D135" s="82" t="n"/>
      <c r="E135" s="82" t="n"/>
      <c r="F135" s="82" t="n"/>
      <c r="G135" s="82" t="n"/>
      <c r="H135" s="82" t="n"/>
      <c r="I135" s="82" t="n"/>
      <c r="J135" s="82" t="n"/>
      <c r="K135" s="82" t="n"/>
      <c r="L135" s="82" t="n"/>
      <c r="M135" s="82" t="n"/>
      <c r="N135" s="82" t="n"/>
      <c r="O135" s="82" t="n"/>
      <c r="P135" s="82" t="n"/>
      <c r="Q135" s="82" t="n"/>
      <c r="R135" s="82" t="n"/>
    </row>
    <row r="136">
      <c r="A136" s="82" t="n"/>
      <c r="B136" s="82" t="n"/>
      <c r="C136" s="82" t="n"/>
      <c r="D136" s="82" t="n"/>
      <c r="E136" s="82" t="n"/>
      <c r="F136" s="82" t="n"/>
      <c r="G136" s="82" t="n"/>
      <c r="H136" s="82" t="n"/>
      <c r="I136" s="82" t="n"/>
      <c r="J136" s="82" t="n"/>
      <c r="K136" s="82" t="n"/>
      <c r="L136" s="82" t="n"/>
      <c r="M136" s="82" t="n"/>
      <c r="N136" s="82" t="n"/>
      <c r="O136" s="82" t="n"/>
      <c r="P136" s="82" t="n"/>
      <c r="Q136" s="82" t="n"/>
      <c r="R136" s="82" t="n"/>
    </row>
    <row r="137">
      <c r="A137" s="82" t="n"/>
      <c r="B137" s="82" t="n"/>
      <c r="C137" s="82" t="n"/>
      <c r="D137" s="82" t="n"/>
      <c r="E137" s="82" t="n"/>
      <c r="F137" s="82" t="n"/>
      <c r="G137" s="82" t="n"/>
      <c r="H137" s="82" t="n"/>
      <c r="I137" s="82" t="n"/>
      <c r="J137" s="82" t="n"/>
      <c r="K137" s="82" t="n"/>
      <c r="L137" s="82" t="n"/>
      <c r="M137" s="82" t="n"/>
      <c r="N137" s="82" t="n"/>
      <c r="O137" s="82" t="n"/>
      <c r="P137" s="82" t="n"/>
      <c r="Q137" s="82" t="n"/>
      <c r="R137" s="82" t="n"/>
    </row>
    <row r="138">
      <c r="A138" s="82" t="n"/>
      <c r="B138" s="82" t="n"/>
      <c r="C138" s="82" t="n"/>
      <c r="D138" s="82" t="n"/>
      <c r="E138" s="82" t="n"/>
      <c r="F138" s="82" t="n"/>
      <c r="G138" s="82" t="n"/>
      <c r="H138" s="82" t="n"/>
      <c r="I138" s="82" t="n"/>
      <c r="J138" s="82" t="n"/>
      <c r="K138" s="82" t="n"/>
      <c r="L138" s="82" t="n"/>
      <c r="M138" s="82" t="n"/>
      <c r="N138" s="82" t="n"/>
      <c r="O138" s="82" t="n"/>
      <c r="P138" s="82" t="n"/>
      <c r="Q138" s="82" t="n"/>
      <c r="R138" s="82" t="n"/>
    </row>
    <row r="139">
      <c r="A139" s="82" t="n"/>
      <c r="B139" s="82" t="n"/>
      <c r="C139" s="82" t="n"/>
      <c r="D139" s="82" t="n"/>
      <c r="E139" s="82" t="n"/>
      <c r="F139" s="82" t="n"/>
      <c r="G139" s="82" t="n"/>
      <c r="H139" s="82" t="n"/>
      <c r="I139" s="82" t="n"/>
      <c r="J139" s="82" t="n"/>
      <c r="K139" s="82" t="n"/>
      <c r="L139" s="82" t="n"/>
      <c r="M139" s="82" t="n"/>
      <c r="N139" s="82" t="n"/>
      <c r="O139" s="82" t="n"/>
      <c r="P139" s="82" t="n"/>
      <c r="Q139" s="82" t="n"/>
      <c r="R139" s="82" t="n"/>
    </row>
    <row r="140">
      <c r="A140" s="82" t="n"/>
      <c r="B140" s="82" t="n"/>
      <c r="C140" s="82" t="n"/>
      <c r="D140" s="82" t="n"/>
      <c r="E140" s="82" t="n"/>
      <c r="F140" s="82" t="n"/>
      <c r="G140" s="82" t="n"/>
      <c r="H140" s="82" t="n"/>
      <c r="I140" s="82" t="n"/>
      <c r="J140" s="82" t="n"/>
      <c r="K140" s="82" t="n"/>
      <c r="L140" s="82" t="n"/>
      <c r="M140" s="82" t="n"/>
      <c r="N140" s="82" t="n"/>
      <c r="O140" s="82" t="n"/>
      <c r="P140" s="82" t="n"/>
      <c r="Q140" s="82" t="n"/>
      <c r="R140" s="82" t="n"/>
    </row>
    <row r="141">
      <c r="A141" s="82" t="n"/>
      <c r="B141" s="82" t="n"/>
      <c r="C141" s="82" t="n"/>
      <c r="D141" s="82" t="n"/>
      <c r="E141" s="82" t="n"/>
      <c r="F141" s="82" t="n"/>
      <c r="G141" s="82" t="n"/>
      <c r="H141" s="82" t="n"/>
      <c r="I141" s="82" t="n"/>
      <c r="J141" s="82" t="n"/>
      <c r="K141" s="82" t="n"/>
      <c r="L141" s="82" t="n"/>
      <c r="M141" s="82" t="n"/>
      <c r="N141" s="82" t="n"/>
      <c r="O141" s="82" t="n"/>
      <c r="P141" s="82" t="n"/>
      <c r="Q141" s="82" t="n"/>
      <c r="R141" s="82" t="n"/>
    </row>
    <row r="142">
      <c r="A142" s="82" t="n"/>
      <c r="B142" s="82" t="n"/>
      <c r="C142" s="82" t="n"/>
      <c r="D142" s="82" t="n"/>
      <c r="E142" s="82" t="n"/>
      <c r="F142" s="82" t="n"/>
      <c r="G142" s="82" t="n"/>
      <c r="H142" s="82" t="n"/>
      <c r="I142" s="82" t="n"/>
      <c r="J142" s="82" t="n"/>
      <c r="K142" s="82" t="n"/>
      <c r="L142" s="82" t="n"/>
      <c r="M142" s="82" t="n"/>
      <c r="N142" s="82" t="n"/>
      <c r="O142" s="82" t="n"/>
      <c r="P142" s="82" t="n"/>
      <c r="Q142" s="82" t="n"/>
      <c r="R142" s="82" t="n"/>
    </row>
    <row r="143">
      <c r="A143" s="82" t="n"/>
      <c r="B143" s="82" t="n"/>
      <c r="C143" s="82" t="n"/>
      <c r="D143" s="82" t="n"/>
      <c r="E143" s="82" t="n"/>
      <c r="F143" s="82" t="n"/>
      <c r="G143" s="82" t="n"/>
      <c r="H143" s="82" t="n"/>
      <c r="I143" s="82" t="n"/>
      <c r="J143" s="82" t="n"/>
      <c r="K143" s="82" t="n"/>
      <c r="L143" s="82" t="n"/>
      <c r="M143" s="82" t="n"/>
      <c r="N143" s="82" t="n"/>
      <c r="O143" s="82" t="n"/>
      <c r="P143" s="82" t="n"/>
      <c r="Q143" s="82" t="n"/>
      <c r="R143" s="82" t="n"/>
    </row>
    <row r="144">
      <c r="A144" s="82" t="n"/>
      <c r="B144" s="82" t="n"/>
      <c r="C144" s="82" t="n"/>
      <c r="D144" s="82" t="n"/>
      <c r="E144" s="82" t="n"/>
      <c r="F144" s="82" t="n"/>
      <c r="G144" s="82" t="n"/>
      <c r="H144" s="82" t="n"/>
      <c r="I144" s="82" t="n"/>
      <c r="J144" s="82" t="n"/>
      <c r="K144" s="82" t="n"/>
      <c r="L144" s="82" t="n"/>
      <c r="M144" s="82" t="n"/>
      <c r="N144" s="82" t="n"/>
      <c r="O144" s="82" t="n"/>
      <c r="P144" s="82" t="n"/>
      <c r="Q144" s="82" t="n"/>
      <c r="R144" s="82" t="n"/>
    </row>
    <row r="145">
      <c r="A145" s="82" t="n"/>
      <c r="B145" s="82" t="n"/>
      <c r="C145" s="82" t="n"/>
      <c r="D145" s="82" t="n"/>
      <c r="E145" s="82" t="n"/>
      <c r="F145" s="82" t="n"/>
      <c r="G145" s="82" t="n"/>
      <c r="H145" s="82" t="n"/>
      <c r="I145" s="82" t="n"/>
      <c r="J145" s="82" t="n"/>
      <c r="K145" s="82" t="n"/>
      <c r="L145" s="82" t="n"/>
      <c r="M145" s="82" t="n"/>
      <c r="N145" s="82" t="n"/>
      <c r="O145" s="82" t="n"/>
      <c r="P145" s="82" t="n"/>
      <c r="Q145" s="82" t="n"/>
      <c r="R145" s="82" t="n"/>
    </row>
    <row r="146">
      <c r="A146" s="82" t="n"/>
      <c r="B146" s="82" t="n"/>
      <c r="C146" s="82" t="n"/>
      <c r="D146" s="82" t="n"/>
      <c r="E146" s="82" t="n"/>
      <c r="F146" s="82" t="n"/>
      <c r="G146" s="82" t="n"/>
      <c r="H146" s="82" t="n"/>
      <c r="I146" s="82" t="n"/>
      <c r="J146" s="82" t="n"/>
      <c r="K146" s="82" t="n"/>
      <c r="L146" s="82" t="n"/>
      <c r="M146" s="82" t="n"/>
      <c r="N146" s="82" t="n"/>
      <c r="O146" s="82" t="n"/>
      <c r="P146" s="82" t="n"/>
      <c r="Q146" s="82" t="n"/>
      <c r="R146" s="82" t="n"/>
    </row>
    <row r="147">
      <c r="A147" s="82" t="n"/>
      <c r="B147" s="82" t="n"/>
      <c r="C147" s="82" t="n"/>
      <c r="D147" s="82" t="n"/>
      <c r="E147" s="82" t="n"/>
      <c r="F147" s="82" t="n"/>
      <c r="G147" s="82" t="n"/>
      <c r="H147" s="82" t="n"/>
      <c r="I147" s="82" t="n"/>
      <c r="J147" s="82" t="n"/>
      <c r="K147" s="82" t="n"/>
      <c r="L147" s="82" t="n"/>
      <c r="M147" s="82" t="n"/>
      <c r="N147" s="82" t="n"/>
      <c r="O147" s="82" t="n"/>
      <c r="P147" s="82" t="n"/>
      <c r="Q147" s="82" t="n"/>
      <c r="R147" s="82" t="n"/>
    </row>
    <row r="148">
      <c r="A148" s="82" t="n"/>
      <c r="B148" s="82" t="n"/>
      <c r="C148" s="82" t="n"/>
      <c r="D148" s="82" t="n"/>
      <c r="E148" s="82" t="n"/>
      <c r="F148" s="82" t="n"/>
      <c r="G148" s="82" t="n"/>
      <c r="H148" s="82" t="n"/>
      <c r="I148" s="82" t="n"/>
      <c r="J148" s="82" t="n"/>
      <c r="K148" s="82" t="n"/>
      <c r="L148" s="82" t="n"/>
      <c r="M148" s="82" t="n"/>
      <c r="N148" s="82" t="n"/>
      <c r="O148" s="82" t="n"/>
      <c r="P148" s="82" t="n"/>
      <c r="Q148" s="82" t="n"/>
      <c r="R148" s="82" t="n"/>
    </row>
    <row r="149">
      <c r="A149" s="82" t="n"/>
      <c r="B149" s="82" t="n"/>
      <c r="C149" s="82" t="n"/>
      <c r="D149" s="82" t="n"/>
      <c r="E149" s="82" t="n"/>
      <c r="F149" s="82" t="n"/>
      <c r="G149" s="82" t="n"/>
      <c r="H149" s="82" t="n"/>
      <c r="I149" s="82" t="n"/>
      <c r="J149" s="82" t="n"/>
      <c r="K149" s="82" t="n"/>
      <c r="L149" s="82" t="n"/>
      <c r="M149" s="82" t="n"/>
      <c r="N149" s="82" t="n"/>
      <c r="O149" s="82" t="n"/>
      <c r="P149" s="82" t="n"/>
      <c r="Q149" s="82" t="n"/>
      <c r="R149" s="82" t="n"/>
    </row>
    <row r="150">
      <c r="A150" s="82" t="n"/>
      <c r="B150" s="82" t="n"/>
      <c r="C150" s="82" t="n"/>
      <c r="D150" s="82" t="n"/>
      <c r="E150" s="82" t="n"/>
      <c r="F150" s="82" t="n"/>
      <c r="G150" s="82" t="n"/>
      <c r="H150" s="82" t="n"/>
      <c r="I150" s="82" t="n"/>
      <c r="J150" s="82" t="n"/>
      <c r="K150" s="82" t="n"/>
      <c r="L150" s="82" t="n"/>
      <c r="M150" s="82" t="n"/>
      <c r="N150" s="82" t="n"/>
      <c r="O150" s="82" t="n"/>
      <c r="P150" s="82" t="n"/>
      <c r="Q150" s="82" t="n"/>
      <c r="R150" s="82" t="n"/>
    </row>
    <row r="151">
      <c r="A151" s="82" t="n"/>
      <c r="B151" s="82" t="n"/>
      <c r="C151" s="82" t="n"/>
      <c r="D151" s="82" t="n"/>
      <c r="E151" s="82" t="n"/>
      <c r="F151" s="82" t="n"/>
      <c r="G151" s="82" t="n"/>
      <c r="H151" s="82" t="n"/>
      <c r="I151" s="82" t="n"/>
      <c r="J151" s="82" t="n"/>
      <c r="K151" s="82" t="n"/>
      <c r="L151" s="82" t="n"/>
      <c r="M151" s="82" t="n"/>
      <c r="N151" s="82" t="n"/>
      <c r="O151" s="82" t="n"/>
      <c r="P151" s="82" t="n"/>
      <c r="Q151" s="82" t="n"/>
      <c r="R151" s="82" t="n"/>
    </row>
    <row r="152">
      <c r="A152" s="82" t="n"/>
      <c r="B152" s="82" t="n"/>
      <c r="C152" s="82" t="n"/>
      <c r="D152" s="82" t="n"/>
      <c r="E152" s="82" t="n"/>
      <c r="F152" s="82" t="n"/>
      <c r="G152" s="82" t="n"/>
      <c r="H152" s="82" t="n"/>
      <c r="I152" s="82" t="n"/>
      <c r="J152" s="82" t="n"/>
      <c r="K152" s="82" t="n"/>
      <c r="L152" s="82" t="n"/>
      <c r="M152" s="82" t="n"/>
      <c r="N152" s="82" t="n"/>
      <c r="O152" s="82" t="n"/>
      <c r="P152" s="82" t="n"/>
      <c r="Q152" s="82" t="n"/>
      <c r="R152" s="82" t="n"/>
    </row>
    <row r="153">
      <c r="A153" s="82" t="n"/>
      <c r="B153" s="82" t="n"/>
      <c r="C153" s="82" t="n"/>
      <c r="D153" s="82" t="n"/>
      <c r="E153" s="82" t="n"/>
      <c r="F153" s="82" t="n"/>
      <c r="G153" s="82" t="n"/>
      <c r="H153" s="82" t="n"/>
      <c r="I153" s="82" t="n"/>
      <c r="J153" s="82" t="n"/>
      <c r="K153" s="82" t="n"/>
      <c r="L153" s="82" t="n"/>
      <c r="M153" s="82" t="n"/>
      <c r="N153" s="82" t="n"/>
      <c r="O153" s="82" t="n"/>
      <c r="P153" s="82" t="n"/>
      <c r="Q153" s="82" t="n"/>
      <c r="R153" s="82" t="n"/>
    </row>
    <row r="154">
      <c r="A154" s="82" t="n"/>
      <c r="B154" s="82" t="n"/>
      <c r="C154" s="82" t="n"/>
      <c r="D154" s="82" t="n"/>
      <c r="E154" s="82" t="n"/>
      <c r="F154" s="82" t="n"/>
      <c r="G154" s="82" t="n"/>
      <c r="H154" s="82" t="n"/>
      <c r="I154" s="82" t="n"/>
      <c r="J154" s="82" t="n"/>
      <c r="K154" s="82" t="n"/>
      <c r="L154" s="82" t="n"/>
      <c r="M154" s="82" t="n"/>
      <c r="N154" s="82" t="n"/>
      <c r="O154" s="82" t="n"/>
      <c r="P154" s="82" t="n"/>
      <c r="Q154" s="82" t="n"/>
      <c r="R154" s="82" t="n"/>
    </row>
    <row r="155">
      <c r="A155" s="82" t="n"/>
      <c r="B155" s="82" t="n"/>
      <c r="C155" s="82" t="n"/>
      <c r="D155" s="82" t="n"/>
      <c r="E155" s="82" t="n"/>
      <c r="F155" s="82" t="n"/>
      <c r="G155" s="82" t="n"/>
      <c r="H155" s="82" t="n"/>
      <c r="I155" s="82" t="n"/>
      <c r="J155" s="82" t="n"/>
      <c r="K155" s="82" t="n"/>
      <c r="L155" s="82" t="n"/>
      <c r="M155" s="82" t="n"/>
      <c r="N155" s="82" t="n"/>
      <c r="O155" s="82" t="n"/>
      <c r="P155" s="82" t="n"/>
      <c r="Q155" s="82" t="n"/>
      <c r="R155" s="82" t="n"/>
    </row>
    <row r="156">
      <c r="A156" s="82" t="n"/>
      <c r="B156" s="82" t="n"/>
      <c r="C156" s="82" t="n"/>
      <c r="D156" s="82" t="n"/>
      <c r="E156" s="82" t="n"/>
      <c r="F156" s="82" t="n"/>
      <c r="G156" s="82" t="n"/>
      <c r="H156" s="82" t="n"/>
      <c r="I156" s="82" t="n"/>
      <c r="J156" s="82" t="n"/>
      <c r="K156" s="82" t="n"/>
      <c r="L156" s="82" t="n"/>
      <c r="M156" s="82" t="n"/>
      <c r="N156" s="82" t="n"/>
      <c r="O156" s="82" t="n"/>
      <c r="P156" s="82" t="n"/>
      <c r="Q156" s="82" t="n"/>
      <c r="R156" s="82" t="n"/>
    </row>
    <row r="157">
      <c r="A157" s="82" t="n"/>
      <c r="B157" s="82" t="n"/>
      <c r="C157" s="82" t="n"/>
      <c r="D157" s="82" t="n"/>
      <c r="E157" s="82" t="n"/>
      <c r="F157" s="82" t="n"/>
      <c r="G157" s="82" t="n"/>
      <c r="H157" s="82" t="n"/>
      <c r="I157" s="82" t="n"/>
      <c r="J157" s="82" t="n"/>
      <c r="K157" s="82" t="n"/>
      <c r="L157" s="82" t="n"/>
      <c r="M157" s="82" t="n"/>
      <c r="N157" s="82" t="n"/>
      <c r="O157" s="82" t="n"/>
      <c r="P157" s="82" t="n"/>
      <c r="Q157" s="82" t="n"/>
      <c r="R157" s="82" t="n"/>
    </row>
    <row r="158">
      <c r="A158" s="82" t="n"/>
      <c r="B158" s="82" t="n"/>
      <c r="C158" s="82" t="n"/>
      <c r="D158" s="82" t="n"/>
      <c r="E158" s="82" t="n"/>
      <c r="F158" s="82" t="n"/>
      <c r="G158" s="82" t="n"/>
      <c r="H158" s="82" t="n"/>
      <c r="I158" s="82" t="n"/>
      <c r="J158" s="82" t="n"/>
      <c r="K158" s="82" t="n"/>
      <c r="L158" s="82" t="n"/>
      <c r="M158" s="82" t="n"/>
      <c r="N158" s="82" t="n"/>
      <c r="O158" s="82" t="n"/>
      <c r="P158" s="82" t="n"/>
      <c r="Q158" s="82" t="n"/>
      <c r="R158" s="82" t="n"/>
    </row>
    <row r="159">
      <c r="A159" s="82" t="n"/>
      <c r="B159" s="82" t="n"/>
      <c r="C159" s="82" t="n"/>
      <c r="D159" s="82" t="n"/>
      <c r="E159" s="82" t="n"/>
      <c r="F159" s="82" t="n"/>
      <c r="G159" s="82" t="n"/>
      <c r="H159" s="82" t="n"/>
      <c r="I159" s="82" t="n"/>
      <c r="J159" s="82" t="n"/>
      <c r="K159" s="82" t="n"/>
      <c r="L159" s="82" t="n"/>
      <c r="M159" s="82" t="n"/>
      <c r="N159" s="82" t="n"/>
      <c r="O159" s="82" t="n"/>
      <c r="P159" s="82" t="n"/>
      <c r="Q159" s="82" t="n"/>
      <c r="R159" s="82" t="n"/>
    </row>
    <row r="160">
      <c r="A160" s="82" t="n"/>
      <c r="B160" s="82" t="n"/>
      <c r="C160" s="82" t="n"/>
      <c r="D160" s="82" t="n"/>
      <c r="E160" s="82" t="n"/>
      <c r="F160" s="82" t="n"/>
      <c r="G160" s="82" t="n"/>
      <c r="H160" s="82" t="n"/>
      <c r="I160" s="82" t="n"/>
      <c r="J160" s="82" t="n"/>
      <c r="K160" s="82" t="n"/>
      <c r="L160" s="82" t="n"/>
      <c r="M160" s="82" t="n"/>
      <c r="N160" s="82" t="n"/>
      <c r="O160" s="82" t="n"/>
      <c r="P160" s="82" t="n"/>
      <c r="Q160" s="82" t="n"/>
      <c r="R160" s="82" t="n"/>
    </row>
    <row r="161">
      <c r="A161" s="82" t="n"/>
      <c r="B161" s="82" t="n"/>
      <c r="C161" s="82" t="n"/>
      <c r="D161" s="82" t="n"/>
      <c r="E161" s="82" t="n"/>
      <c r="F161" s="82" t="n"/>
      <c r="G161" s="82" t="n"/>
      <c r="H161" s="82" t="n"/>
      <c r="I161" s="82" t="n"/>
      <c r="J161" s="82" t="n"/>
      <c r="K161" s="82" t="n"/>
      <c r="L161" s="82" t="n"/>
      <c r="M161" s="82" t="n"/>
      <c r="N161" s="82" t="n"/>
      <c r="O161" s="82" t="n"/>
      <c r="P161" s="82" t="n"/>
      <c r="Q161" s="82" t="n"/>
      <c r="R161" s="82" t="n"/>
    </row>
    <row r="162">
      <c r="A162" s="82" t="n"/>
      <c r="B162" s="82" t="n"/>
      <c r="C162" s="82" t="n"/>
      <c r="D162" s="82" t="n"/>
      <c r="E162" s="82" t="n"/>
      <c r="F162" s="82" t="n"/>
      <c r="G162" s="82" t="n"/>
      <c r="H162" s="82" t="n"/>
      <c r="I162" s="82" t="n"/>
      <c r="J162" s="82" t="n"/>
      <c r="K162" s="82" t="n"/>
      <c r="L162" s="82" t="n"/>
      <c r="M162" s="82" t="n"/>
      <c r="N162" s="82" t="n"/>
      <c r="O162" s="82" t="n"/>
      <c r="P162" s="82" t="n"/>
      <c r="Q162" s="82" t="n"/>
      <c r="R162" s="82" t="n"/>
    </row>
    <row r="163">
      <c r="A163" s="82" t="n"/>
      <c r="B163" s="82" t="n"/>
      <c r="C163" s="82" t="n"/>
      <c r="D163" s="82" t="n"/>
      <c r="E163" s="82" t="n"/>
      <c r="F163" s="82" t="n"/>
      <c r="G163" s="82" t="n"/>
      <c r="H163" s="82" t="n"/>
      <c r="I163" s="82" t="n"/>
      <c r="J163" s="82" t="n"/>
      <c r="K163" s="82" t="n"/>
      <c r="L163" s="82" t="n"/>
      <c r="M163" s="82" t="n"/>
      <c r="N163" s="82" t="n"/>
      <c r="O163" s="82" t="n"/>
      <c r="P163" s="82" t="n"/>
      <c r="Q163" s="82" t="n"/>
      <c r="R163" s="82" t="n"/>
    </row>
    <row r="164">
      <c r="A164" s="82" t="n"/>
      <c r="B164" s="82" t="n"/>
      <c r="C164" s="82" t="n"/>
      <c r="D164" s="82" t="n"/>
      <c r="E164" s="82" t="n"/>
      <c r="F164" s="82" t="n"/>
      <c r="G164" s="82" t="n"/>
      <c r="H164" s="82" t="n"/>
      <c r="I164" s="82" t="n"/>
      <c r="J164" s="82" t="n"/>
      <c r="K164" s="82" t="n"/>
      <c r="L164" s="82" t="n"/>
      <c r="M164" s="82" t="n"/>
      <c r="N164" s="82" t="n"/>
      <c r="O164" s="82" t="n"/>
      <c r="P164" s="82" t="n"/>
      <c r="Q164" s="82" t="n"/>
      <c r="R164" s="82" t="n"/>
    </row>
    <row r="165">
      <c r="A165" s="82" t="n"/>
      <c r="B165" s="82" t="n"/>
      <c r="C165" s="82" t="n"/>
      <c r="D165" s="82" t="n"/>
      <c r="E165" s="82" t="n"/>
      <c r="F165" s="82" t="n"/>
      <c r="G165" s="82" t="n"/>
      <c r="H165" s="82" t="n"/>
      <c r="I165" s="82" t="n"/>
      <c r="J165" s="82" t="n"/>
      <c r="K165" s="82" t="n"/>
      <c r="L165" s="82" t="n"/>
      <c r="M165" s="82" t="n"/>
      <c r="N165" s="82" t="n"/>
      <c r="O165" s="82" t="n"/>
      <c r="P165" s="82" t="n"/>
      <c r="Q165" s="82" t="n"/>
      <c r="R165" s="82" t="n"/>
    </row>
    <row r="166">
      <c r="A166" s="82" t="n"/>
      <c r="B166" s="82" t="n"/>
      <c r="C166" s="82" t="n"/>
      <c r="D166" s="82" t="n"/>
      <c r="E166" s="82" t="n"/>
      <c r="F166" s="82" t="n"/>
      <c r="G166" s="82" t="n"/>
      <c r="H166" s="82" t="n"/>
      <c r="I166" s="82" t="n"/>
      <c r="J166" s="82" t="n"/>
      <c r="K166" s="82" t="n"/>
      <c r="L166" s="82" t="n"/>
      <c r="M166" s="82" t="n"/>
      <c r="N166" s="82" t="n"/>
      <c r="O166" s="82" t="n"/>
      <c r="P166" s="82" t="n"/>
      <c r="Q166" s="82" t="n"/>
      <c r="R166" s="82" t="n"/>
    </row>
    <row r="167">
      <c r="A167" s="82" t="n"/>
      <c r="B167" s="82" t="n"/>
      <c r="C167" s="82" t="n"/>
      <c r="D167" s="82" t="n"/>
      <c r="E167" s="82" t="n"/>
      <c r="F167" s="82" t="n"/>
      <c r="G167" s="82" t="n"/>
      <c r="H167" s="82" t="n"/>
      <c r="I167" s="82" t="n"/>
      <c r="J167" s="82" t="n"/>
      <c r="K167" s="82" t="n"/>
      <c r="L167" s="82" t="n"/>
      <c r="M167" s="82" t="n"/>
      <c r="N167" s="82" t="n"/>
      <c r="O167" s="82" t="n"/>
      <c r="P167" s="82" t="n"/>
      <c r="Q167" s="82" t="n"/>
      <c r="R167" s="82" t="n"/>
    </row>
    <row r="168">
      <c r="A168" s="82" t="n"/>
      <c r="B168" s="82" t="n"/>
      <c r="C168" s="82" t="n"/>
      <c r="D168" s="82" t="n"/>
      <c r="E168" s="82" t="n"/>
      <c r="F168" s="82" t="n"/>
      <c r="G168" s="82" t="n"/>
      <c r="H168" s="82" t="n"/>
      <c r="I168" s="82" t="n"/>
      <c r="J168" s="82" t="n"/>
      <c r="K168" s="82" t="n"/>
      <c r="L168" s="82" t="n"/>
      <c r="M168" s="82" t="n"/>
      <c r="N168" s="82" t="n"/>
      <c r="O168" s="82" t="n"/>
      <c r="P168" s="82" t="n"/>
      <c r="Q168" s="82" t="n"/>
      <c r="R168" s="82" t="n"/>
    </row>
    <row r="169">
      <c r="A169" s="82" t="n"/>
      <c r="B169" s="82" t="n"/>
      <c r="C169" s="82" t="n"/>
      <c r="D169" s="82" t="n"/>
      <c r="E169" s="82" t="n"/>
      <c r="F169" s="82" t="n"/>
      <c r="G169" s="82" t="n"/>
      <c r="H169" s="82" t="n"/>
      <c r="I169" s="82" t="n"/>
      <c r="J169" s="82" t="n"/>
      <c r="K169" s="82" t="n"/>
      <c r="L169" s="82" t="n"/>
      <c r="M169" s="82" t="n"/>
      <c r="N169" s="82" t="n"/>
      <c r="O169" s="82" t="n"/>
      <c r="P169" s="82" t="n"/>
      <c r="Q169" s="82" t="n"/>
      <c r="R169" s="82" t="n"/>
    </row>
    <row r="170">
      <c r="A170" s="82" t="n"/>
      <c r="B170" s="82" t="n"/>
      <c r="C170" s="82" t="n"/>
      <c r="D170" s="82" t="n"/>
      <c r="E170" s="82" t="n"/>
      <c r="F170" s="82" t="n"/>
      <c r="G170" s="82" t="n"/>
      <c r="H170" s="82" t="n"/>
      <c r="I170" s="82" t="n"/>
      <c r="J170" s="82" t="n"/>
      <c r="K170" s="82" t="n"/>
      <c r="L170" s="82" t="n"/>
      <c r="M170" s="82" t="n"/>
      <c r="N170" s="82" t="n"/>
      <c r="O170" s="82" t="n"/>
      <c r="P170" s="82" t="n"/>
      <c r="Q170" s="82" t="n"/>
      <c r="R170" s="82" t="n"/>
    </row>
    <row r="171">
      <c r="A171" s="82" t="n"/>
      <c r="B171" s="82" t="n"/>
      <c r="C171" s="82" t="n"/>
      <c r="D171" s="82" t="n"/>
      <c r="E171" s="82" t="n"/>
      <c r="F171" s="82" t="n"/>
      <c r="G171" s="82" t="n"/>
      <c r="H171" s="82" t="n"/>
      <c r="I171" s="82" t="n"/>
      <c r="J171" s="82" t="n"/>
      <c r="K171" s="82" t="n"/>
      <c r="L171" s="82" t="n"/>
      <c r="M171" s="82" t="n"/>
      <c r="N171" s="82" t="n"/>
      <c r="O171" s="82" t="n"/>
      <c r="P171" s="82" t="n"/>
      <c r="Q171" s="82" t="n"/>
      <c r="R171" s="82" t="n"/>
    </row>
    <row r="172">
      <c r="A172" s="82" t="n"/>
      <c r="B172" s="82" t="n"/>
      <c r="C172" s="82" t="n"/>
      <c r="D172" s="82" t="n"/>
      <c r="E172" s="82" t="n"/>
      <c r="F172" s="82" t="n"/>
      <c r="G172" s="82" t="n"/>
      <c r="H172" s="82" t="n"/>
      <c r="I172" s="82" t="n"/>
      <c r="J172" s="82" t="n"/>
      <c r="K172" s="82" t="n"/>
      <c r="L172" s="82" t="n"/>
      <c r="M172" s="82" t="n"/>
      <c r="N172" s="82" t="n"/>
      <c r="O172" s="82" t="n"/>
      <c r="P172" s="82" t="n"/>
      <c r="Q172" s="82" t="n"/>
      <c r="R172" s="82" t="n"/>
    </row>
    <row r="173">
      <c r="A173" s="82" t="n"/>
      <c r="B173" s="82" t="n"/>
      <c r="C173" s="82" t="n"/>
      <c r="D173" s="82" t="n"/>
      <c r="E173" s="82" t="n"/>
      <c r="F173" s="82" t="n"/>
      <c r="G173" s="82" t="n"/>
      <c r="H173" s="82" t="n"/>
      <c r="I173" s="82" t="n"/>
      <c r="J173" s="82" t="n"/>
      <c r="K173" s="82" t="n"/>
      <c r="L173" s="82" t="n"/>
      <c r="M173" s="82" t="n"/>
      <c r="N173" s="82" t="n"/>
      <c r="O173" s="82" t="n"/>
      <c r="P173" s="82" t="n"/>
      <c r="Q173" s="82" t="n"/>
      <c r="R173" s="82" t="n"/>
    </row>
    <row r="174">
      <c r="A174" s="82" t="n"/>
      <c r="B174" s="82" t="n"/>
      <c r="C174" s="82" t="n"/>
      <c r="D174" s="82" t="n"/>
      <c r="E174" s="82" t="n"/>
      <c r="F174" s="82" t="n"/>
      <c r="G174" s="82" t="n"/>
      <c r="H174" s="82" t="n"/>
      <c r="I174" s="82" t="n"/>
      <c r="J174" s="82" t="n"/>
      <c r="K174" s="82" t="n"/>
      <c r="L174" s="82" t="n"/>
      <c r="M174" s="82" t="n"/>
      <c r="N174" s="82" t="n"/>
      <c r="O174" s="82" t="n"/>
      <c r="P174" s="82" t="n"/>
      <c r="Q174" s="82" t="n"/>
      <c r="R174" s="82" t="n"/>
    </row>
    <row r="175">
      <c r="A175" s="82" t="n"/>
      <c r="B175" s="82" t="n"/>
      <c r="C175" s="82" t="n"/>
      <c r="D175" s="82" t="n"/>
      <c r="E175" s="82" t="n"/>
      <c r="F175" s="82" t="n"/>
      <c r="G175" s="82" t="n"/>
      <c r="H175" s="82" t="n"/>
      <c r="I175" s="82" t="n"/>
      <c r="J175" s="82" t="n"/>
      <c r="K175" s="82" t="n"/>
      <c r="L175" s="82" t="n"/>
      <c r="M175" s="82" t="n"/>
      <c r="N175" s="82" t="n"/>
      <c r="O175" s="82" t="n"/>
      <c r="P175" s="82" t="n"/>
      <c r="Q175" s="82" t="n"/>
      <c r="R175" s="82" t="n"/>
    </row>
    <row r="176">
      <c r="A176" s="82" t="n"/>
      <c r="B176" s="82" t="n"/>
      <c r="C176" s="82" t="n"/>
      <c r="D176" s="82" t="n"/>
      <c r="E176" s="82" t="n"/>
      <c r="F176" s="82" t="n"/>
      <c r="G176" s="82" t="n"/>
      <c r="H176" s="82" t="n"/>
      <c r="I176" s="82" t="n"/>
      <c r="J176" s="82" t="n"/>
      <c r="K176" s="82" t="n"/>
      <c r="L176" s="82" t="n"/>
      <c r="M176" s="82" t="n"/>
      <c r="N176" s="82" t="n"/>
      <c r="O176" s="82" t="n"/>
      <c r="P176" s="82" t="n"/>
      <c r="Q176" s="82" t="n"/>
      <c r="R176" s="82" t="n"/>
    </row>
    <row r="177">
      <c r="A177" s="82" t="n"/>
      <c r="B177" s="82" t="n"/>
      <c r="C177" s="82" t="n"/>
      <c r="D177" s="82" t="n"/>
      <c r="E177" s="82" t="n"/>
      <c r="F177" s="82" t="n"/>
      <c r="G177" s="82" t="n"/>
      <c r="H177" s="82" t="n"/>
      <c r="I177" s="82" t="n"/>
      <c r="J177" s="82" t="n"/>
      <c r="K177" s="82" t="n"/>
      <c r="L177" s="82" t="n"/>
      <c r="M177" s="82" t="n"/>
      <c r="N177" s="82" t="n"/>
      <c r="O177" s="82" t="n"/>
      <c r="P177" s="82" t="n"/>
      <c r="Q177" s="82" t="n"/>
      <c r="R177" s="82" t="n"/>
    </row>
    <row r="178">
      <c r="A178" s="82" t="n"/>
      <c r="B178" s="82" t="n"/>
      <c r="C178" s="82" t="n"/>
      <c r="D178" s="82" t="n"/>
      <c r="E178" s="82" t="n"/>
      <c r="F178" s="82" t="n"/>
      <c r="G178" s="82" t="n"/>
      <c r="H178" s="82" t="n"/>
      <c r="I178" s="82" t="n"/>
      <c r="J178" s="82" t="n"/>
      <c r="K178" s="82" t="n"/>
      <c r="L178" s="82" t="n"/>
      <c r="M178" s="82" t="n"/>
      <c r="N178" s="82" t="n"/>
      <c r="O178" s="82" t="n"/>
      <c r="P178" s="82" t="n"/>
      <c r="Q178" s="82" t="n"/>
      <c r="R178" s="82" t="n"/>
    </row>
    <row r="179">
      <c r="A179" s="82" t="n"/>
      <c r="B179" s="82" t="n"/>
      <c r="C179" s="82" t="n"/>
      <c r="D179" s="82" t="n"/>
      <c r="E179" s="82" t="n"/>
      <c r="F179" s="82" t="n"/>
      <c r="G179" s="82" t="n"/>
      <c r="H179" s="82" t="n"/>
      <c r="I179" s="82" t="n"/>
      <c r="J179" s="82" t="n"/>
      <c r="K179" s="82" t="n"/>
      <c r="L179" s="82" t="n"/>
      <c r="M179" s="82" t="n"/>
      <c r="N179" s="82" t="n"/>
      <c r="O179" s="82" t="n"/>
      <c r="P179" s="82" t="n"/>
      <c r="Q179" s="82" t="n"/>
      <c r="R179" s="82" t="n"/>
    </row>
    <row r="180">
      <c r="A180" s="82" t="n"/>
      <c r="B180" s="82" t="n"/>
      <c r="C180" s="82" t="n"/>
      <c r="D180" s="82" t="n"/>
      <c r="E180" s="82" t="n"/>
      <c r="F180" s="82" t="n"/>
      <c r="G180" s="82" t="n"/>
      <c r="H180" s="82" t="n"/>
      <c r="I180" s="82" t="n"/>
      <c r="J180" s="82" t="n"/>
      <c r="K180" s="82" t="n"/>
      <c r="L180" s="82" t="n"/>
      <c r="M180" s="82" t="n"/>
      <c r="N180" s="82" t="n"/>
      <c r="O180" s="82" t="n"/>
      <c r="P180" s="82" t="n"/>
      <c r="Q180" s="82" t="n"/>
      <c r="R180" s="82" t="n"/>
    </row>
    <row r="181">
      <c r="A181" s="82" t="n"/>
      <c r="B181" s="82" t="n"/>
      <c r="C181" s="82" t="n"/>
      <c r="D181" s="82" t="n"/>
      <c r="E181" s="82" t="n"/>
      <c r="F181" s="82" t="n"/>
      <c r="G181" s="82" t="n"/>
      <c r="H181" s="82" t="n"/>
      <c r="I181" s="82" t="n"/>
      <c r="J181" s="82" t="n"/>
      <c r="K181" s="82" t="n"/>
      <c r="L181" s="82" t="n"/>
      <c r="M181" s="82" t="n"/>
      <c r="N181" s="82" t="n"/>
      <c r="O181" s="82" t="n"/>
      <c r="P181" s="82" t="n"/>
      <c r="Q181" s="82" t="n"/>
      <c r="R181" s="82" t="n"/>
    </row>
    <row r="182">
      <c r="A182" s="82" t="n"/>
      <c r="B182" s="82" t="n"/>
      <c r="C182" s="82" t="n"/>
      <c r="D182" s="82" t="n"/>
      <c r="E182" s="82" t="n"/>
      <c r="F182" s="82" t="n"/>
      <c r="G182" s="82" t="n"/>
      <c r="H182" s="82" t="n"/>
      <c r="I182" s="82" t="n"/>
      <c r="J182" s="82" t="n"/>
      <c r="K182" s="82" t="n"/>
      <c r="L182" s="82" t="n"/>
      <c r="M182" s="82" t="n"/>
      <c r="N182" s="82" t="n"/>
      <c r="O182" s="82" t="n"/>
      <c r="P182" s="82" t="n"/>
      <c r="Q182" s="82" t="n"/>
      <c r="R182" s="82" t="n"/>
    </row>
    <row r="183">
      <c r="A183" s="82" t="n"/>
      <c r="B183" s="82" t="n"/>
      <c r="C183" s="82" t="n"/>
      <c r="D183" s="82" t="n"/>
      <c r="E183" s="82" t="n"/>
      <c r="F183" s="82" t="n"/>
      <c r="G183" s="82" t="n"/>
      <c r="H183" s="82" t="n"/>
      <c r="I183" s="82" t="n"/>
      <c r="J183" s="82" t="n"/>
      <c r="K183" s="82" t="n"/>
      <c r="L183" s="82" t="n"/>
      <c r="M183" s="82" t="n"/>
      <c r="N183" s="82" t="n"/>
      <c r="O183" s="82" t="n"/>
      <c r="P183" s="82" t="n"/>
      <c r="Q183" s="82" t="n"/>
      <c r="R183" s="82" t="n"/>
    </row>
    <row r="184">
      <c r="A184" s="82" t="n"/>
      <c r="B184" s="82" t="n"/>
      <c r="C184" s="82" t="n"/>
      <c r="D184" s="82" t="n"/>
      <c r="E184" s="82" t="n"/>
      <c r="F184" s="82" t="n"/>
      <c r="G184" s="82" t="n"/>
      <c r="H184" s="82" t="n"/>
      <c r="I184" s="82" t="n"/>
      <c r="J184" s="82" t="n"/>
      <c r="K184" s="82" t="n"/>
      <c r="L184" s="82" t="n"/>
      <c r="M184" s="82" t="n"/>
      <c r="N184" s="82" t="n"/>
      <c r="O184" s="82" t="n"/>
      <c r="P184" s="82" t="n"/>
      <c r="Q184" s="82" t="n"/>
      <c r="R184" s="82" t="n"/>
    </row>
    <row r="185">
      <c r="A185" s="82" t="n"/>
      <c r="B185" s="82" t="n"/>
      <c r="C185" s="82" t="n"/>
      <c r="D185" s="82" t="n"/>
      <c r="E185" s="82" t="n"/>
      <c r="F185" s="82" t="n"/>
      <c r="G185" s="82" t="n"/>
      <c r="H185" s="82" t="n"/>
      <c r="I185" s="82" t="n"/>
      <c r="J185" s="82" t="n"/>
      <c r="K185" s="82" t="n"/>
      <c r="L185" s="82" t="n"/>
      <c r="M185" s="82" t="n"/>
      <c r="N185" s="82" t="n"/>
      <c r="O185" s="82" t="n"/>
      <c r="P185" s="82" t="n"/>
      <c r="Q185" s="82" t="n"/>
      <c r="R185" s="82" t="n"/>
    </row>
    <row r="186">
      <c r="A186" s="82" t="n"/>
      <c r="B186" s="82" t="n"/>
      <c r="C186" s="82" t="n"/>
      <c r="D186" s="82" t="n"/>
      <c r="E186" s="82" t="n"/>
      <c r="F186" s="82" t="n"/>
      <c r="G186" s="82" t="n"/>
      <c r="H186" s="82" t="n"/>
      <c r="I186" s="82" t="n"/>
      <c r="J186" s="82" t="n"/>
      <c r="K186" s="82" t="n"/>
      <c r="L186" s="82" t="n"/>
      <c r="M186" s="82" t="n"/>
      <c r="N186" s="82" t="n"/>
      <c r="O186" s="82" t="n"/>
      <c r="P186" s="82" t="n"/>
      <c r="Q186" s="82" t="n"/>
      <c r="R186" s="82" t="n"/>
    </row>
    <row r="187">
      <c r="A187" s="82" t="n"/>
      <c r="B187" s="82" t="n"/>
      <c r="C187" s="82" t="n"/>
      <c r="D187" s="82" t="n"/>
      <c r="E187" s="82" t="n"/>
      <c r="F187" s="82" t="n"/>
      <c r="G187" s="82" t="n"/>
      <c r="H187" s="82" t="n"/>
      <c r="I187" s="82" t="n"/>
      <c r="J187" s="82" t="n"/>
      <c r="K187" s="82" t="n"/>
      <c r="L187" s="82" t="n"/>
      <c r="M187" s="82" t="n"/>
      <c r="N187" s="82" t="n"/>
      <c r="O187" s="82" t="n"/>
      <c r="P187" s="82" t="n"/>
      <c r="Q187" s="82" t="n"/>
      <c r="R187" s="82" t="n"/>
    </row>
    <row r="188">
      <c r="A188" s="82" t="n"/>
      <c r="B188" s="82" t="n"/>
      <c r="C188" s="82" t="n"/>
      <c r="D188" s="82" t="n"/>
      <c r="E188" s="82" t="n"/>
      <c r="F188" s="82" t="n"/>
      <c r="G188" s="82" t="n"/>
      <c r="H188" s="82" t="n"/>
      <c r="I188" s="82" t="n"/>
      <c r="J188" s="82" t="n"/>
      <c r="K188" s="82" t="n"/>
      <c r="L188" s="82" t="n"/>
      <c r="M188" s="82" t="n"/>
      <c r="N188" s="82" t="n"/>
      <c r="O188" s="82" t="n"/>
      <c r="P188" s="82" t="n"/>
      <c r="Q188" s="82" t="n"/>
      <c r="R188" s="82" t="n"/>
    </row>
    <row r="189">
      <c r="A189" s="82" t="n"/>
      <c r="B189" s="82" t="n"/>
      <c r="C189" s="82" t="n"/>
      <c r="D189" s="82" t="n"/>
      <c r="E189" s="82" t="n"/>
      <c r="F189" s="82" t="n"/>
      <c r="G189" s="82" t="n"/>
      <c r="H189" s="82" t="n"/>
      <c r="I189" s="82" t="n"/>
      <c r="J189" s="82" t="n"/>
      <c r="K189" s="82" t="n"/>
      <c r="L189" s="82" t="n"/>
      <c r="M189" s="82" t="n"/>
      <c r="N189" s="82" t="n"/>
      <c r="O189" s="82" t="n"/>
      <c r="P189" s="82" t="n"/>
      <c r="Q189" s="82" t="n"/>
      <c r="R189" s="82" t="n"/>
    </row>
    <row r="190">
      <c r="A190" s="82" t="n"/>
      <c r="B190" s="82" t="n"/>
      <c r="C190" s="82" t="n"/>
      <c r="D190" s="82" t="n"/>
      <c r="E190" s="82" t="n"/>
      <c r="F190" s="82" t="n"/>
      <c r="G190" s="82" t="n"/>
      <c r="H190" s="82" t="n"/>
      <c r="I190" s="82" t="n"/>
      <c r="J190" s="82" t="n"/>
      <c r="K190" s="82" t="n"/>
      <c r="L190" s="82" t="n"/>
      <c r="M190" s="82" t="n"/>
      <c r="N190" s="82" t="n"/>
      <c r="O190" s="82" t="n"/>
      <c r="P190" s="82" t="n"/>
      <c r="Q190" s="82" t="n"/>
      <c r="R190" s="82" t="n"/>
    </row>
    <row r="191">
      <c r="A191" s="82" t="n"/>
      <c r="B191" s="82" t="n"/>
      <c r="C191" s="82" t="n"/>
      <c r="D191" s="82" t="n"/>
      <c r="E191" s="82" t="n"/>
      <c r="F191" s="82" t="n"/>
      <c r="G191" s="82" t="n"/>
      <c r="H191" s="82" t="n"/>
      <c r="I191" s="82" t="n"/>
      <c r="J191" s="82" t="n"/>
      <c r="K191" s="82" t="n"/>
      <c r="L191" s="82" t="n"/>
      <c r="M191" s="82" t="n"/>
      <c r="N191" s="82" t="n"/>
      <c r="O191" s="82" t="n"/>
      <c r="P191" s="82" t="n"/>
      <c r="Q191" s="82" t="n"/>
      <c r="R191" s="82" t="n"/>
    </row>
    <row r="192">
      <c r="A192" s="82" t="n"/>
      <c r="B192" s="82" t="n"/>
      <c r="C192" s="82" t="n"/>
      <c r="D192" s="82" t="n"/>
      <c r="E192" s="82" t="n"/>
      <c r="F192" s="82" t="n"/>
      <c r="G192" s="82" t="n"/>
      <c r="H192" s="82" t="n"/>
      <c r="I192" s="82" t="n"/>
      <c r="J192" s="82" t="n"/>
      <c r="K192" s="82" t="n"/>
      <c r="L192" s="82" t="n"/>
      <c r="M192" s="82" t="n"/>
      <c r="N192" s="82" t="n"/>
      <c r="O192" s="82" t="n"/>
      <c r="P192" s="82" t="n"/>
      <c r="Q192" s="82" t="n"/>
      <c r="R192" s="82" t="n"/>
    </row>
    <row r="193">
      <c r="A193" s="82" t="n"/>
      <c r="B193" s="82" t="n"/>
      <c r="C193" s="82" t="n"/>
      <c r="D193" s="82" t="n"/>
      <c r="E193" s="82" t="n"/>
      <c r="F193" s="82" t="n"/>
      <c r="G193" s="82" t="n"/>
      <c r="H193" s="82" t="n"/>
      <c r="I193" s="82" t="n"/>
      <c r="J193" s="82" t="n"/>
      <c r="K193" s="82" t="n"/>
      <c r="L193" s="82" t="n"/>
      <c r="M193" s="82" t="n"/>
      <c r="N193" s="82" t="n"/>
      <c r="O193" s="82" t="n"/>
      <c r="P193" s="82" t="n"/>
      <c r="Q193" s="82" t="n"/>
      <c r="R193" s="82" t="n"/>
    </row>
    <row r="194">
      <c r="A194" s="82" t="n"/>
      <c r="B194" s="82" t="n"/>
      <c r="C194" s="82" t="n"/>
      <c r="D194" s="82" t="n"/>
      <c r="E194" s="82" t="n"/>
      <c r="F194" s="82" t="n"/>
      <c r="G194" s="82" t="n"/>
      <c r="H194" s="82" t="n"/>
      <c r="I194" s="82" t="n"/>
      <c r="J194" s="82" t="n"/>
      <c r="K194" s="82" t="n"/>
      <c r="L194" s="82" t="n"/>
      <c r="M194" s="82" t="n"/>
      <c r="N194" s="82" t="n"/>
      <c r="O194" s="82" t="n"/>
      <c r="P194" s="82" t="n"/>
      <c r="Q194" s="82" t="n"/>
      <c r="R194" s="82" t="n"/>
    </row>
    <row r="195">
      <c r="A195" s="82" t="n"/>
      <c r="B195" s="82" t="n"/>
      <c r="C195" s="82" t="n"/>
      <c r="D195" s="82" t="n"/>
      <c r="E195" s="82" t="n"/>
      <c r="F195" s="82" t="n"/>
      <c r="G195" s="82" t="n"/>
      <c r="H195" s="82" t="n"/>
      <c r="I195" s="82" t="n"/>
      <c r="J195" s="82" t="n"/>
      <c r="K195" s="82" t="n"/>
      <c r="L195" s="82" t="n"/>
      <c r="M195" s="82" t="n"/>
      <c r="N195" s="82" t="n"/>
      <c r="O195" s="82" t="n"/>
      <c r="P195" s="82" t="n"/>
      <c r="Q195" s="82" t="n"/>
      <c r="R195" s="82" t="n"/>
    </row>
    <row r="196">
      <c r="A196" s="82" t="n"/>
      <c r="B196" s="82" t="n"/>
      <c r="C196" s="82" t="n"/>
      <c r="D196" s="82" t="n"/>
      <c r="E196" s="82" t="n"/>
      <c r="F196" s="82" t="n"/>
      <c r="G196" s="82" t="n"/>
      <c r="H196" s="82" t="n"/>
      <c r="I196" s="82" t="n"/>
      <c r="J196" s="82" t="n"/>
      <c r="K196" s="82" t="n"/>
      <c r="L196" s="82" t="n"/>
      <c r="M196" s="82" t="n"/>
      <c r="N196" s="82" t="n"/>
      <c r="O196" s="82" t="n"/>
      <c r="P196" s="82" t="n"/>
      <c r="Q196" s="82" t="n"/>
      <c r="R196" s="82" t="n"/>
    </row>
    <row r="197">
      <c r="A197" s="82" t="n"/>
      <c r="B197" s="82" t="n"/>
      <c r="C197" s="82" t="n"/>
      <c r="D197" s="82" t="n"/>
      <c r="E197" s="82" t="n"/>
      <c r="F197" s="82" t="n"/>
      <c r="G197" s="82" t="n"/>
      <c r="H197" s="82" t="n"/>
      <c r="I197" s="82" t="n"/>
      <c r="J197" s="82" t="n"/>
      <c r="K197" s="82" t="n"/>
      <c r="L197" s="82" t="n"/>
      <c r="M197" s="82" t="n"/>
      <c r="N197" s="82" t="n"/>
      <c r="O197" s="82" t="n"/>
      <c r="P197" s="82" t="n"/>
      <c r="Q197" s="82" t="n"/>
      <c r="R197" s="82" t="n"/>
    </row>
    <row r="198">
      <c r="A198" s="82" t="n"/>
      <c r="B198" s="82" t="n"/>
      <c r="C198" s="82" t="n"/>
      <c r="D198" s="82" t="n"/>
      <c r="E198" s="82" t="n"/>
      <c r="F198" s="82" t="n"/>
      <c r="G198" s="82" t="n"/>
      <c r="H198" s="82" t="n"/>
      <c r="I198" s="82" t="n"/>
      <c r="J198" s="82" t="n"/>
      <c r="K198" s="82" t="n"/>
      <c r="L198" s="82" t="n"/>
      <c r="M198" s="82" t="n"/>
      <c r="N198" s="82" t="n"/>
      <c r="O198" s="82" t="n"/>
      <c r="P198" s="82" t="n"/>
      <c r="Q198" s="82" t="n"/>
      <c r="R198" s="82" t="n"/>
    </row>
    <row r="199">
      <c r="A199" s="82" t="n"/>
      <c r="B199" s="82" t="n"/>
      <c r="C199" s="82" t="n"/>
      <c r="D199" s="82" t="n"/>
      <c r="E199" s="82" t="n"/>
      <c r="F199" s="82" t="n"/>
      <c r="G199" s="82" t="n"/>
      <c r="H199" s="82" t="n"/>
      <c r="I199" s="82" t="n"/>
      <c r="J199" s="82" t="n"/>
      <c r="K199" s="82" t="n"/>
      <c r="L199" s="82" t="n"/>
      <c r="M199" s="82" t="n"/>
      <c r="N199" s="82" t="n"/>
      <c r="O199" s="82" t="n"/>
      <c r="P199" s="82" t="n"/>
      <c r="Q199" s="82" t="n"/>
      <c r="R199" s="82" t="n"/>
    </row>
    <row r="200">
      <c r="A200" s="82" t="n"/>
      <c r="B200" s="82" t="n"/>
      <c r="C200" s="82" t="n"/>
      <c r="D200" s="82" t="n"/>
      <c r="E200" s="82" t="n"/>
      <c r="F200" s="82" t="n"/>
      <c r="G200" s="82" t="n"/>
      <c r="H200" s="82" t="n"/>
      <c r="I200" s="82" t="n"/>
      <c r="J200" s="82" t="n"/>
      <c r="K200" s="82" t="n"/>
      <c r="L200" s="82" t="n"/>
      <c r="M200" s="82" t="n"/>
      <c r="N200" s="82" t="n"/>
      <c r="O200" s="82" t="n"/>
      <c r="P200" s="82" t="n"/>
      <c r="Q200" s="82" t="n"/>
      <c r="R200" s="82" t="n"/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autoFilter ref="A4:R6"/>
  <mergeCells count="2">
    <mergeCell ref="A2:R2"/>
    <mergeCell ref="A1:R1"/>
  </mergeCells>
  <dataValidations count="1">
    <dataValidation sqref="H5:H80" showDropDown="0" showInputMessage="0" showErrorMessage="1" allowBlank="1" errorTitle="Invalid value" error="Pick a value from the list." type="list">
      <formula1>=Property_Type</formula1>
    </dataValidation>
  </dataValidations>
  <pageMargins left="0.4" right="0.4" top="0.6" bottom="0.5" header="0.25" footer="0.25"/>
  <pageSetup orientation="landscape" paperSize="3" fitToHeight="0" fitToWidth="1"/>
  <headerFooter>
    <oddHeader>&amp;LNovality Store  ·  Home Renovation System&amp;RProperties</oddHeader>
    <oddFooter>&amp;LConfidential  ·  Digital twin of the home&amp;RPage &amp;P of &amp;N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tabColor rgb="002D5C52"/>
    <outlinePr summaryBelow="1" summaryRight="1"/>
    <pageSetUpPr fitToPage="1"/>
  </sheetPr>
  <dimension ref="A1:L3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ROLES &amp; PERMISSIONS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Who can see and change what  ·  enforce in the live product; this matrix is the source of truth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119" t="inlineStr">
        <is>
          <t>Module \ Role</t>
        </is>
      </c>
      <c r="B4" s="120" t="inlineStr">
        <is>
          <t>Homeowner</t>
        </is>
      </c>
      <c r="C4" s="120" t="inlineStr">
        <is>
          <t>Admin</t>
        </is>
      </c>
      <c r="D4" s="120" t="inlineStr">
        <is>
          <t>Project Manager</t>
        </is>
      </c>
      <c r="E4" s="120" t="inlineStr">
        <is>
          <t>Interior Designer</t>
        </is>
      </c>
      <c r="F4" s="120" t="inlineStr">
        <is>
          <t>Contractor</t>
        </is>
      </c>
      <c r="G4" s="120" t="inlineStr">
        <is>
          <t>Subcontractor</t>
        </is>
      </c>
      <c r="H4" s="120" t="inlineStr">
        <is>
          <t>Supplier</t>
        </is>
      </c>
      <c r="I4" s="120" t="inlineStr">
        <is>
          <t>Inspector</t>
        </is>
      </c>
      <c r="J4" s="120" t="inlineStr">
        <is>
          <t>Accountant</t>
        </is>
      </c>
      <c r="K4" s="5" t="n"/>
      <c r="L4" s="5" t="n"/>
    </row>
    <row r="5">
      <c r="A5" s="121" t="inlineStr">
        <is>
          <t>Dashboard</t>
        </is>
      </c>
      <c r="B5" s="122" t="inlineStr">
        <is>
          <t>F</t>
        </is>
      </c>
      <c r="C5" s="122" t="inlineStr">
        <is>
          <t>F</t>
        </is>
      </c>
      <c r="D5" s="122" t="inlineStr">
        <is>
          <t>F</t>
        </is>
      </c>
      <c r="E5" s="123" t="inlineStr">
        <is>
          <t>V</t>
        </is>
      </c>
      <c r="F5" s="123" t="inlineStr">
        <is>
          <t>V</t>
        </is>
      </c>
      <c r="G5" s="123" t="inlineStr">
        <is>
          <t>V</t>
        </is>
      </c>
      <c r="H5" s="124" t="inlineStr">
        <is>
          <t>—</t>
        </is>
      </c>
      <c r="I5" s="123" t="inlineStr">
        <is>
          <t>V</t>
        </is>
      </c>
      <c r="J5" s="123" t="inlineStr">
        <is>
          <t>V</t>
        </is>
      </c>
      <c r="K5" s="5" t="n"/>
      <c r="L5" s="5" t="n"/>
    </row>
    <row r="6">
      <c r="A6" s="125" t="inlineStr">
        <is>
          <t>Projects</t>
        </is>
      </c>
      <c r="B6" s="122" t="inlineStr">
        <is>
          <t>F</t>
        </is>
      </c>
      <c r="C6" s="122" t="inlineStr">
        <is>
          <t>F</t>
        </is>
      </c>
      <c r="D6" s="122" t="inlineStr">
        <is>
          <t>F</t>
        </is>
      </c>
      <c r="E6" s="123" t="inlineStr">
        <is>
          <t>V</t>
        </is>
      </c>
      <c r="F6" s="123" t="inlineStr">
        <is>
          <t>V</t>
        </is>
      </c>
      <c r="G6" s="123" t="inlineStr">
        <is>
          <t>V</t>
        </is>
      </c>
      <c r="H6" s="124" t="inlineStr">
        <is>
          <t>—</t>
        </is>
      </c>
      <c r="I6" s="123" t="inlineStr">
        <is>
          <t>V</t>
        </is>
      </c>
      <c r="J6" s="123" t="inlineStr">
        <is>
          <t>V</t>
        </is>
      </c>
      <c r="K6" s="5" t="n"/>
      <c r="L6" s="5" t="n"/>
    </row>
    <row r="7">
      <c r="A7" s="121" t="inlineStr">
        <is>
          <t>Rooms</t>
        </is>
      </c>
      <c r="B7" s="122" t="inlineStr">
        <is>
          <t>F</t>
        </is>
      </c>
      <c r="C7" s="122" t="inlineStr">
        <is>
          <t>F</t>
        </is>
      </c>
      <c r="D7" s="122" t="inlineStr">
        <is>
          <t>F</t>
        </is>
      </c>
      <c r="E7" s="122" t="inlineStr">
        <is>
          <t>F</t>
        </is>
      </c>
      <c r="F7" s="123" t="inlineStr">
        <is>
          <t>V</t>
        </is>
      </c>
      <c r="G7" s="123" t="inlineStr">
        <is>
          <t>V</t>
        </is>
      </c>
      <c r="H7" s="124" t="inlineStr">
        <is>
          <t>—</t>
        </is>
      </c>
      <c r="I7" s="123" t="inlineStr">
        <is>
          <t>V</t>
        </is>
      </c>
      <c r="J7" s="124" t="inlineStr">
        <is>
          <t>—</t>
        </is>
      </c>
      <c r="K7" s="5" t="n"/>
      <c r="L7" s="5" t="n"/>
    </row>
    <row r="8">
      <c r="A8" s="125" t="inlineStr">
        <is>
          <t>Design Studio</t>
        </is>
      </c>
      <c r="B8" s="122" t="inlineStr">
        <is>
          <t>F</t>
        </is>
      </c>
      <c r="C8" s="122" t="inlineStr">
        <is>
          <t>F</t>
        </is>
      </c>
      <c r="D8" s="123" t="inlineStr">
        <is>
          <t>V</t>
        </is>
      </c>
      <c r="E8" s="122" t="inlineStr">
        <is>
          <t>F</t>
        </is>
      </c>
      <c r="F8" s="123" t="inlineStr">
        <is>
          <t>V</t>
        </is>
      </c>
      <c r="G8" s="124" t="inlineStr">
        <is>
          <t>—</t>
        </is>
      </c>
      <c r="H8" s="124" t="inlineStr">
        <is>
          <t>—</t>
        </is>
      </c>
      <c r="I8" s="124" t="inlineStr">
        <is>
          <t>—</t>
        </is>
      </c>
      <c r="J8" s="124" t="inlineStr">
        <is>
          <t>—</t>
        </is>
      </c>
      <c r="K8" s="5" t="n"/>
      <c r="L8" s="5" t="n"/>
    </row>
    <row r="9">
      <c r="A9" s="121" t="inlineStr">
        <is>
          <t>AI Insights</t>
        </is>
      </c>
      <c r="B9" s="123" t="inlineStr">
        <is>
          <t>V</t>
        </is>
      </c>
      <c r="C9" s="122" t="inlineStr">
        <is>
          <t>F</t>
        </is>
      </c>
      <c r="D9" s="123" t="inlineStr">
        <is>
          <t>V</t>
        </is>
      </c>
      <c r="E9" s="122" t="inlineStr">
        <is>
          <t>F</t>
        </is>
      </c>
      <c r="F9" s="124" t="inlineStr">
        <is>
          <t>—</t>
        </is>
      </c>
      <c r="G9" s="124" t="inlineStr">
        <is>
          <t>—</t>
        </is>
      </c>
      <c r="H9" s="124" t="inlineStr">
        <is>
          <t>—</t>
        </is>
      </c>
      <c r="I9" s="124" t="inlineStr">
        <is>
          <t>—</t>
        </is>
      </c>
      <c r="J9" s="124" t="inlineStr">
        <is>
          <t>—</t>
        </is>
      </c>
    </row>
    <row r="10">
      <c r="A10" s="125" t="inlineStr">
        <is>
          <t>Budget</t>
        </is>
      </c>
      <c r="B10" s="123" t="inlineStr">
        <is>
          <t>V</t>
        </is>
      </c>
      <c r="C10" s="122" t="inlineStr">
        <is>
          <t>F</t>
        </is>
      </c>
      <c r="D10" s="122" t="inlineStr">
        <is>
          <t>F</t>
        </is>
      </c>
      <c r="E10" s="123" t="inlineStr">
        <is>
          <t>V</t>
        </is>
      </c>
      <c r="F10" s="124" t="inlineStr">
        <is>
          <t>—</t>
        </is>
      </c>
      <c r="G10" s="124" t="inlineStr">
        <is>
          <t>—</t>
        </is>
      </c>
      <c r="H10" s="124" t="inlineStr">
        <is>
          <t>—</t>
        </is>
      </c>
      <c r="I10" s="124" t="inlineStr">
        <is>
          <t>—</t>
        </is>
      </c>
      <c r="J10" s="122" t="inlineStr">
        <is>
          <t>F</t>
        </is>
      </c>
    </row>
    <row r="11">
      <c r="A11" s="121" t="inlineStr">
        <is>
          <t>Expenses</t>
        </is>
      </c>
      <c r="B11" s="126" t="inlineStr">
        <is>
          <t>E</t>
        </is>
      </c>
      <c r="C11" s="122" t="inlineStr">
        <is>
          <t>F</t>
        </is>
      </c>
      <c r="D11" s="122" t="inlineStr">
        <is>
          <t>F</t>
        </is>
      </c>
      <c r="E11" s="123" t="inlineStr">
        <is>
          <t>V</t>
        </is>
      </c>
      <c r="F11" s="126" t="inlineStr">
        <is>
          <t>E</t>
        </is>
      </c>
      <c r="G11" s="124" t="inlineStr">
        <is>
          <t>—</t>
        </is>
      </c>
      <c r="H11" s="124" t="inlineStr">
        <is>
          <t>—</t>
        </is>
      </c>
      <c r="I11" s="124" t="inlineStr">
        <is>
          <t>—</t>
        </is>
      </c>
      <c r="J11" s="122" t="inlineStr">
        <is>
          <t>F</t>
        </is>
      </c>
    </row>
    <row r="12">
      <c r="A12" s="125" t="inlineStr">
        <is>
          <t>Finance</t>
        </is>
      </c>
      <c r="B12" s="123" t="inlineStr">
        <is>
          <t>V</t>
        </is>
      </c>
      <c r="C12" s="122" t="inlineStr">
        <is>
          <t>F</t>
        </is>
      </c>
      <c r="D12" s="122" t="inlineStr">
        <is>
          <t>F</t>
        </is>
      </c>
      <c r="E12" s="123" t="inlineStr">
        <is>
          <t>V</t>
        </is>
      </c>
      <c r="F12" s="124" t="inlineStr">
        <is>
          <t>—</t>
        </is>
      </c>
      <c r="G12" s="124" t="inlineStr">
        <is>
          <t>—</t>
        </is>
      </c>
      <c r="H12" s="124" t="inlineStr">
        <is>
          <t>—</t>
        </is>
      </c>
      <c r="I12" s="124" t="inlineStr">
        <is>
          <t>—</t>
        </is>
      </c>
      <c r="J12" s="122" t="inlineStr">
        <is>
          <t>F</t>
        </is>
      </c>
    </row>
    <row r="13">
      <c r="A13" s="121" t="inlineStr">
        <is>
          <t>Contractors</t>
        </is>
      </c>
      <c r="B13" s="123" t="inlineStr">
        <is>
          <t>V</t>
        </is>
      </c>
      <c r="C13" s="122" t="inlineStr">
        <is>
          <t>F</t>
        </is>
      </c>
      <c r="D13" s="122" t="inlineStr">
        <is>
          <t>F</t>
        </is>
      </c>
      <c r="E13" s="123" t="inlineStr">
        <is>
          <t>V</t>
        </is>
      </c>
      <c r="F13" s="123" t="inlineStr">
        <is>
          <t>V</t>
        </is>
      </c>
      <c r="G13" s="124" t="inlineStr">
        <is>
          <t>—</t>
        </is>
      </c>
      <c r="H13" s="124" t="inlineStr">
        <is>
          <t>—</t>
        </is>
      </c>
      <c r="I13" s="123" t="inlineStr">
        <is>
          <t>V</t>
        </is>
      </c>
      <c r="J13" s="123" t="inlineStr">
        <is>
          <t>V</t>
        </is>
      </c>
    </row>
    <row r="14">
      <c r="A14" s="125" t="inlineStr">
        <is>
          <t>Quotes</t>
        </is>
      </c>
      <c r="B14" s="123" t="inlineStr">
        <is>
          <t>V</t>
        </is>
      </c>
      <c r="C14" s="122" t="inlineStr">
        <is>
          <t>F</t>
        </is>
      </c>
      <c r="D14" s="122" t="inlineStr">
        <is>
          <t>F</t>
        </is>
      </c>
      <c r="E14" s="123" t="inlineStr">
        <is>
          <t>V</t>
        </is>
      </c>
      <c r="F14" s="123" t="inlineStr">
        <is>
          <t>V</t>
        </is>
      </c>
      <c r="G14" s="124" t="inlineStr">
        <is>
          <t>—</t>
        </is>
      </c>
      <c r="H14" s="123" t="inlineStr">
        <is>
          <t>V</t>
        </is>
      </c>
      <c r="I14" s="124" t="inlineStr">
        <is>
          <t>—</t>
        </is>
      </c>
      <c r="J14" s="123" t="inlineStr">
        <is>
          <t>V</t>
        </is>
      </c>
    </row>
    <row r="15">
      <c r="A15" s="121" t="inlineStr">
        <is>
          <t>Jobs</t>
        </is>
      </c>
      <c r="B15" s="123" t="inlineStr">
        <is>
          <t>V</t>
        </is>
      </c>
      <c r="C15" s="122" t="inlineStr">
        <is>
          <t>F</t>
        </is>
      </c>
      <c r="D15" s="122" t="inlineStr">
        <is>
          <t>F</t>
        </is>
      </c>
      <c r="E15" s="123" t="inlineStr">
        <is>
          <t>V</t>
        </is>
      </c>
      <c r="F15" s="122" t="inlineStr">
        <is>
          <t>F</t>
        </is>
      </c>
      <c r="G15" s="122" t="inlineStr">
        <is>
          <t>F</t>
        </is>
      </c>
      <c r="H15" s="124" t="inlineStr">
        <is>
          <t>—</t>
        </is>
      </c>
      <c r="I15" s="123" t="inlineStr">
        <is>
          <t>V</t>
        </is>
      </c>
      <c r="J15" s="123" t="inlineStr">
        <is>
          <t>V</t>
        </is>
      </c>
    </row>
    <row r="16">
      <c r="A16" s="125" t="inlineStr">
        <is>
          <t>Tasks</t>
        </is>
      </c>
      <c r="B16" s="126" t="inlineStr">
        <is>
          <t>E</t>
        </is>
      </c>
      <c r="C16" s="122" t="inlineStr">
        <is>
          <t>F</t>
        </is>
      </c>
      <c r="D16" s="122" t="inlineStr">
        <is>
          <t>F</t>
        </is>
      </c>
      <c r="E16" s="122" t="inlineStr">
        <is>
          <t>F</t>
        </is>
      </c>
      <c r="F16" s="122" t="inlineStr">
        <is>
          <t>F</t>
        </is>
      </c>
      <c r="G16" s="122" t="inlineStr">
        <is>
          <t>F</t>
        </is>
      </c>
      <c r="H16" s="124" t="inlineStr">
        <is>
          <t>—</t>
        </is>
      </c>
      <c r="I16" s="123" t="inlineStr">
        <is>
          <t>V</t>
        </is>
      </c>
      <c r="J16" s="124" t="inlineStr">
        <is>
          <t>—</t>
        </is>
      </c>
    </row>
    <row r="17">
      <c r="A17" s="121" t="inlineStr">
        <is>
          <t>Materials</t>
        </is>
      </c>
      <c r="B17" s="123" t="inlineStr">
        <is>
          <t>V</t>
        </is>
      </c>
      <c r="C17" s="122" t="inlineStr">
        <is>
          <t>F</t>
        </is>
      </c>
      <c r="D17" s="122" t="inlineStr">
        <is>
          <t>F</t>
        </is>
      </c>
      <c r="E17" s="122" t="inlineStr">
        <is>
          <t>F</t>
        </is>
      </c>
      <c r="F17" s="126" t="inlineStr">
        <is>
          <t>E</t>
        </is>
      </c>
      <c r="G17" s="126" t="inlineStr">
        <is>
          <t>E</t>
        </is>
      </c>
      <c r="H17" s="122" t="inlineStr">
        <is>
          <t>F</t>
        </is>
      </c>
      <c r="I17" s="124" t="inlineStr">
        <is>
          <t>—</t>
        </is>
      </c>
      <c r="J17" s="123" t="inlineStr">
        <is>
          <t>V</t>
        </is>
      </c>
    </row>
    <row r="18">
      <c r="A18" s="125" t="inlineStr">
        <is>
          <t>Documents</t>
        </is>
      </c>
      <c r="B18" s="122" t="inlineStr">
        <is>
          <t>F</t>
        </is>
      </c>
      <c r="C18" s="122" t="inlineStr">
        <is>
          <t>F</t>
        </is>
      </c>
      <c r="D18" s="122" t="inlineStr">
        <is>
          <t>F</t>
        </is>
      </c>
      <c r="E18" s="122" t="inlineStr">
        <is>
          <t>F</t>
        </is>
      </c>
      <c r="F18" s="123" t="inlineStr">
        <is>
          <t>V</t>
        </is>
      </c>
      <c r="G18" s="123" t="inlineStr">
        <is>
          <t>V</t>
        </is>
      </c>
      <c r="H18" s="123" t="inlineStr">
        <is>
          <t>V</t>
        </is>
      </c>
      <c r="I18" s="122" t="inlineStr">
        <is>
          <t>F</t>
        </is>
      </c>
      <c r="J18" s="122" t="inlineStr">
        <is>
          <t>F</t>
        </is>
      </c>
    </row>
    <row r="19">
      <c r="A19" s="121" t="inlineStr">
        <is>
          <t>Messages</t>
        </is>
      </c>
      <c r="B19" s="122" t="inlineStr">
        <is>
          <t>F</t>
        </is>
      </c>
      <c r="C19" s="122" t="inlineStr">
        <is>
          <t>F</t>
        </is>
      </c>
      <c r="D19" s="122" t="inlineStr">
        <is>
          <t>F</t>
        </is>
      </c>
      <c r="E19" s="122" t="inlineStr">
        <is>
          <t>F</t>
        </is>
      </c>
      <c r="F19" s="122" t="inlineStr">
        <is>
          <t>F</t>
        </is>
      </c>
      <c r="G19" s="122" t="inlineStr">
        <is>
          <t>F</t>
        </is>
      </c>
      <c r="H19" s="126" t="inlineStr">
        <is>
          <t>E</t>
        </is>
      </c>
      <c r="I19" s="123" t="inlineStr">
        <is>
          <t>V</t>
        </is>
      </c>
      <c r="J19" s="124" t="inlineStr">
        <is>
          <t>—</t>
        </is>
      </c>
    </row>
    <row r="20">
      <c r="A20" s="125" t="inlineStr">
        <is>
          <t>Inventory</t>
        </is>
      </c>
      <c r="B20" s="122" t="inlineStr">
        <is>
          <t>F</t>
        </is>
      </c>
      <c r="C20" s="122" t="inlineStr">
        <is>
          <t>F</t>
        </is>
      </c>
      <c r="D20" s="123" t="inlineStr">
        <is>
          <t>V</t>
        </is>
      </c>
      <c r="E20" s="123" t="inlineStr">
        <is>
          <t>V</t>
        </is>
      </c>
      <c r="F20" s="124" t="inlineStr">
        <is>
          <t>—</t>
        </is>
      </c>
      <c r="G20" s="124" t="inlineStr">
        <is>
          <t>—</t>
        </is>
      </c>
      <c r="H20" s="124" t="inlineStr">
        <is>
          <t>—</t>
        </is>
      </c>
      <c r="I20" s="124" t="inlineStr">
        <is>
          <t>—</t>
        </is>
      </c>
      <c r="J20" s="124" t="inlineStr">
        <is>
          <t>—</t>
        </is>
      </c>
    </row>
    <row r="21">
      <c r="A21" s="121" t="inlineStr">
        <is>
          <t>Maintenance</t>
        </is>
      </c>
      <c r="B21" s="122" t="inlineStr">
        <is>
          <t>F</t>
        </is>
      </c>
      <c r="C21" s="122" t="inlineStr">
        <is>
          <t>F</t>
        </is>
      </c>
      <c r="D21" s="122" t="inlineStr">
        <is>
          <t>F</t>
        </is>
      </c>
      <c r="E21" s="123" t="inlineStr">
        <is>
          <t>V</t>
        </is>
      </c>
      <c r="F21" s="123" t="inlineStr">
        <is>
          <t>V</t>
        </is>
      </c>
      <c r="G21" s="124" t="inlineStr">
        <is>
          <t>—</t>
        </is>
      </c>
      <c r="H21" s="124" t="inlineStr">
        <is>
          <t>—</t>
        </is>
      </c>
      <c r="I21" s="124" t="inlineStr">
        <is>
          <t>—</t>
        </is>
      </c>
      <c r="J21" s="124" t="inlineStr">
        <is>
          <t>—</t>
        </is>
      </c>
    </row>
    <row r="22">
      <c r="A22" s="125" t="inlineStr">
        <is>
          <t>Inspections</t>
        </is>
      </c>
      <c r="B22" s="123" t="inlineStr">
        <is>
          <t>V</t>
        </is>
      </c>
      <c r="C22" s="122" t="inlineStr">
        <is>
          <t>F</t>
        </is>
      </c>
      <c r="D22" s="122" t="inlineStr">
        <is>
          <t>F</t>
        </is>
      </c>
      <c r="E22" s="124" t="inlineStr">
        <is>
          <t>—</t>
        </is>
      </c>
      <c r="F22" s="123" t="inlineStr">
        <is>
          <t>V</t>
        </is>
      </c>
      <c r="G22" s="123" t="inlineStr">
        <is>
          <t>V</t>
        </is>
      </c>
      <c r="H22" s="124" t="inlineStr">
        <is>
          <t>—</t>
        </is>
      </c>
      <c r="I22" s="122" t="inlineStr">
        <is>
          <t>F</t>
        </is>
      </c>
      <c r="J22" s="124" t="inlineStr">
        <is>
          <t>—</t>
        </is>
      </c>
    </row>
    <row r="23">
      <c r="A23" s="121" t="inlineStr">
        <is>
          <t>Payments</t>
        </is>
      </c>
      <c r="B23" s="123" t="inlineStr">
        <is>
          <t>V</t>
        </is>
      </c>
      <c r="C23" s="122" t="inlineStr">
        <is>
          <t>F</t>
        </is>
      </c>
      <c r="D23" s="122" t="inlineStr">
        <is>
          <t>F</t>
        </is>
      </c>
      <c r="E23" s="124" t="inlineStr">
        <is>
          <t>—</t>
        </is>
      </c>
      <c r="F23" s="123" t="inlineStr">
        <is>
          <t>V</t>
        </is>
      </c>
      <c r="G23" s="124" t="inlineStr">
        <is>
          <t>—</t>
        </is>
      </c>
      <c r="H23" s="123" t="inlineStr">
        <is>
          <t>V</t>
        </is>
      </c>
      <c r="I23" s="124" t="inlineStr">
        <is>
          <t>—</t>
        </is>
      </c>
      <c r="J23" s="122" t="inlineStr">
        <is>
          <t>F</t>
        </is>
      </c>
    </row>
    <row r="24">
      <c r="A24" s="125" t="inlineStr">
        <is>
          <t>Change Orders</t>
        </is>
      </c>
      <c r="B24" s="127" t="inlineStr">
        <is>
          <t>A</t>
        </is>
      </c>
      <c r="C24" s="122" t="inlineStr">
        <is>
          <t>F</t>
        </is>
      </c>
      <c r="D24" s="127" t="inlineStr">
        <is>
          <t>A</t>
        </is>
      </c>
      <c r="E24" s="123" t="inlineStr">
        <is>
          <t>V</t>
        </is>
      </c>
      <c r="F24" s="123" t="inlineStr">
        <is>
          <t>V</t>
        </is>
      </c>
      <c r="G24" s="124" t="inlineStr">
        <is>
          <t>—</t>
        </is>
      </c>
      <c r="H24" s="124" t="inlineStr">
        <is>
          <t>—</t>
        </is>
      </c>
      <c r="I24" s="124" t="inlineStr">
        <is>
          <t>—</t>
        </is>
      </c>
      <c r="J24" s="123" t="inlineStr">
        <is>
          <t>V</t>
        </is>
      </c>
    </row>
    <row r="25">
      <c r="A25" s="121" t="inlineStr">
        <is>
          <t>Permits</t>
        </is>
      </c>
      <c r="B25" s="123" t="inlineStr">
        <is>
          <t>V</t>
        </is>
      </c>
      <c r="C25" s="122" t="inlineStr">
        <is>
          <t>F</t>
        </is>
      </c>
      <c r="D25" s="122" t="inlineStr">
        <is>
          <t>F</t>
        </is>
      </c>
      <c r="E25" s="124" t="inlineStr">
        <is>
          <t>—</t>
        </is>
      </c>
      <c r="F25" s="123" t="inlineStr">
        <is>
          <t>V</t>
        </is>
      </c>
      <c r="G25" s="124" t="inlineStr">
        <is>
          <t>—</t>
        </is>
      </c>
      <c r="H25" s="124" t="inlineStr">
        <is>
          <t>—</t>
        </is>
      </c>
      <c r="I25" s="122" t="inlineStr">
        <is>
          <t>F</t>
        </is>
      </c>
      <c r="J25" s="123" t="inlineStr">
        <is>
          <t>V</t>
        </is>
      </c>
    </row>
    <row r="26">
      <c r="A26" s="125" t="inlineStr">
        <is>
          <t>Admin</t>
        </is>
      </c>
      <c r="B26" s="124" t="inlineStr">
        <is>
          <t>—</t>
        </is>
      </c>
      <c r="C26" s="122" t="inlineStr">
        <is>
          <t>F</t>
        </is>
      </c>
      <c r="D26" s="123" t="inlineStr">
        <is>
          <t>V</t>
        </is>
      </c>
      <c r="E26" s="124" t="inlineStr">
        <is>
          <t>—</t>
        </is>
      </c>
      <c r="F26" s="124" t="inlineStr">
        <is>
          <t>—</t>
        </is>
      </c>
      <c r="G26" s="124" t="inlineStr">
        <is>
          <t>—</t>
        </is>
      </c>
      <c r="H26" s="124" t="inlineStr">
        <is>
          <t>—</t>
        </is>
      </c>
      <c r="I26" s="124" t="inlineStr">
        <is>
          <t>—</t>
        </is>
      </c>
      <c r="J26" s="123" t="inlineStr">
        <is>
          <t>V</t>
        </is>
      </c>
    </row>
    <row r="27">
      <c r="A27" s="121" t="inlineStr">
        <is>
          <t>Settings</t>
        </is>
      </c>
      <c r="B27" s="124" t="inlineStr">
        <is>
          <t>—</t>
        </is>
      </c>
      <c r="C27" s="122" t="inlineStr">
        <is>
          <t>F</t>
        </is>
      </c>
      <c r="D27" s="123" t="inlineStr">
        <is>
          <t>V</t>
        </is>
      </c>
      <c r="E27" s="124" t="inlineStr">
        <is>
          <t>—</t>
        </is>
      </c>
      <c r="F27" s="124" t="inlineStr">
        <is>
          <t>—</t>
        </is>
      </c>
      <c r="G27" s="124" t="inlineStr">
        <is>
          <t>—</t>
        </is>
      </c>
      <c r="H27" s="124" t="inlineStr">
        <is>
          <t>—</t>
        </is>
      </c>
      <c r="I27" s="124" t="inlineStr">
        <is>
          <t>—</t>
        </is>
      </c>
      <c r="J27" s="124" t="inlineStr">
        <is>
          <t>—</t>
        </is>
      </c>
    </row>
    <row r="28">
      <c r="A28" s="125" t="inlineStr">
        <is>
          <t>Users</t>
        </is>
      </c>
      <c r="B28" s="124" t="inlineStr">
        <is>
          <t>—</t>
        </is>
      </c>
      <c r="C28" s="122" t="inlineStr">
        <is>
          <t>F</t>
        </is>
      </c>
      <c r="D28" s="123" t="inlineStr">
        <is>
          <t>V</t>
        </is>
      </c>
      <c r="E28" s="124" t="inlineStr">
        <is>
          <t>—</t>
        </is>
      </c>
      <c r="F28" s="124" t="inlineStr">
        <is>
          <t>—</t>
        </is>
      </c>
      <c r="G28" s="124" t="inlineStr">
        <is>
          <t>—</t>
        </is>
      </c>
      <c r="H28" s="124" t="inlineStr">
        <is>
          <t>—</t>
        </is>
      </c>
      <c r="I28" s="124" t="inlineStr">
        <is>
          <t>—</t>
        </is>
      </c>
      <c r="J28" s="123" t="inlineStr">
        <is>
          <t>V</t>
        </is>
      </c>
    </row>
    <row r="29"/>
    <row r="30">
      <c r="A30" s="115" t="inlineStr">
        <is>
          <t>F = full  ·  E = edit own records  ·  V = view  ·  A = approve  ·  — = no access</t>
        </is>
      </c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mergeCells count="3">
    <mergeCell ref="A2:L2"/>
    <mergeCell ref="A1:L1"/>
    <mergeCell ref="A30:J30"/>
  </mergeCells>
  <pageMargins left="0.4" right="0.4" top="0.6" bottom="0.5" header="0.25" footer="0.25"/>
  <pageSetup orientation="landscape" paperSize="3" fitToHeight="0" fitToWidth="1"/>
  <headerFooter>
    <oddHeader>&amp;LNovality Store  ·  Home Renovation System&amp;RRoles &amp; Permissions</oddHeader>
    <oddFooter>&amp;LConfidential  ·  Digital twin of the home&amp;RPage &amp;P of &amp;N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tabColor rgb="0016352F"/>
    <outlinePr summaryBelow="1" summaryRight="1"/>
    <pageSetUpPr fitToPage="1"/>
  </sheetPr>
  <dimension ref="A1:L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6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</cols>
  <sheetData>
    <row r="1" ht="28" customHeight="1">
      <c r="A1" s="1" t="inlineStr">
        <is>
          <t>ADMIN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System administrator  ·  portfolio of all homeowners and projects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 ht="16" customHeight="1">
      <c r="A5" s="30" t="inlineStr">
        <is>
          <t>HOMEOWNERS</t>
        </is>
      </c>
      <c r="B5" s="31" t="n"/>
      <c r="C5" s="5" t="n"/>
      <c r="D5" s="28" t="inlineStr">
        <is>
          <t>ACTIVE PROJECTS</t>
        </is>
      </c>
      <c r="E5" s="29" t="n"/>
      <c r="F5" s="5" t="n"/>
      <c r="G5" s="41" t="inlineStr">
        <is>
          <t>COMPLETED</t>
        </is>
      </c>
      <c r="H5" s="42" t="n"/>
      <c r="I5" s="5" t="n"/>
      <c r="J5" s="30" t="inlineStr">
        <is>
          <t>CONTRACTORS</t>
        </is>
      </c>
      <c r="K5" s="31" t="n"/>
      <c r="L5" s="5" t="n"/>
    </row>
    <row r="6" ht="28" customHeight="1">
      <c r="A6" s="34">
        <f>COUNTIF(Users!E:E,"Homeowner")</f>
        <v/>
      </c>
      <c r="B6" s="33" t="n"/>
      <c r="C6" s="5" t="n"/>
      <c r="D6" s="128">
        <f>COUNTIF(Projects!E:E,"Active")</f>
        <v/>
      </c>
      <c r="E6" s="33" t="n"/>
      <c r="F6" s="5" t="n"/>
      <c r="G6" s="95">
        <f>COUNTIF(Projects!E:E,"Completed")</f>
        <v/>
      </c>
      <c r="H6" s="33" t="n"/>
      <c r="I6" s="5" t="n"/>
      <c r="J6" s="34">
        <f>COUNTA(Contractors!A5:A200)</f>
        <v/>
      </c>
      <c r="K6" s="33" t="n"/>
      <c r="L6" s="5" t="n"/>
    </row>
    <row r="7" ht="16" customHeight="1">
      <c r="A7" s="38" t="inlineStr">
        <is>
          <t>Active household accounts</t>
        </is>
      </c>
      <c r="B7" s="33" t="n"/>
      <c r="C7" s="5" t="n"/>
      <c r="D7" s="37" t="inlineStr">
        <is>
          <t>In construction or design</t>
        </is>
      </c>
      <c r="E7" s="33" t="n"/>
      <c r="F7" s="5" t="n"/>
      <c r="G7" s="49" t="inlineStr">
        <is>
          <t>Renovations handed over</t>
        </is>
      </c>
      <c r="H7" s="33" t="n"/>
      <c r="I7" s="5" t="n"/>
      <c r="J7" s="38" t="inlineStr">
        <is>
          <t>In the bench</t>
        </is>
      </c>
      <c r="K7" s="33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 ht="16" customHeight="1">
      <c r="A9" s="28" t="inlineStr">
        <is>
          <t>PORTFOLIO VALUE</t>
        </is>
      </c>
      <c r="B9" s="29" t="n"/>
      <c r="D9" s="41" t="inlineStr">
        <is>
          <t>REVENUE (PAID)</t>
        </is>
      </c>
      <c r="E9" s="42" t="n"/>
      <c r="G9" s="43" t="inlineStr">
        <is>
          <t>DELAYED TASKS</t>
        </is>
      </c>
      <c r="H9" s="44" t="n"/>
      <c r="J9" s="39" t="inlineStr">
        <is>
          <t>OPEN DISPUTES</t>
        </is>
      </c>
      <c r="K9" s="40" t="n"/>
    </row>
    <row r="10" ht="28" customHeight="1">
      <c r="A10" s="36">
        <f>SUM(Projects!J:J)</f>
        <v/>
      </c>
      <c r="B10" s="33" t="n"/>
      <c r="D10" s="46">
        <f>SUMIF(Expenses!J:J,"Paid",Expenses!H:H)</f>
        <v/>
      </c>
      <c r="E10" s="33" t="n"/>
      <c r="G10" s="47">
        <f>COUNTIF(Tasks!Q:Q,"Overdue")</f>
        <v/>
      </c>
      <c r="H10" s="33" t="n"/>
      <c r="J10" s="129">
        <f>COUNTIF(Jobs!J:J,"Disputed")+COUNTIF(Payments!I:I,"Disputed")</f>
        <v/>
      </c>
      <c r="K10" s="33" t="n"/>
    </row>
    <row r="11" ht="16" customHeight="1">
      <c r="A11" s="37" t="inlineStr">
        <is>
          <t>Sum of project budgets</t>
        </is>
      </c>
      <c r="B11" s="33" t="n"/>
      <c r="D11" s="49" t="inlineStr">
        <is>
          <t>Cash out recorded</t>
        </is>
      </c>
      <c r="E11" s="33" t="n"/>
      <c r="G11" s="50" t="inlineStr">
        <is>
          <t>Across all projects</t>
        </is>
      </c>
      <c r="H11" s="33" t="n"/>
      <c r="J11" s="48" t="inlineStr">
        <is>
          <t>Jobs + payments</t>
        </is>
      </c>
      <c r="K11" s="33" t="n"/>
    </row>
    <row r="12"/>
    <row r="13" ht="16" customHeight="1">
      <c r="A13" s="39" t="inlineStr">
        <is>
          <t>PENDING APPROVALS</t>
        </is>
      </c>
      <c r="B13" s="40" t="n"/>
      <c r="D13" s="130" t="inlineStr">
        <is>
          <t>OPEN MESSAGES</t>
        </is>
      </c>
      <c r="E13" s="131" t="n"/>
      <c r="G13" s="30" t="inlineStr">
        <is>
          <t>PERMITS OPEN</t>
        </is>
      </c>
      <c r="H13" s="31" t="n"/>
      <c r="J13" s="28" t="inlineStr">
        <is>
          <t>MAINT DUE</t>
        </is>
      </c>
      <c r="K13" s="29" t="n"/>
    </row>
    <row r="14" ht="28" customHeight="1">
      <c r="A14" s="129">
        <f>COUNTIF('Change Orders'!I:I,"Submitted")+COUNTIF(Quotes!J:J,"Received")</f>
        <v/>
      </c>
      <c r="B14" s="33" t="n"/>
      <c r="D14" s="132">
        <f>COUNTIF(Messages!K:K,"No")</f>
        <v/>
      </c>
      <c r="E14" s="33" t="n"/>
      <c r="G14" s="34">
        <f>COUNTIFS(Permits!J:J,"&lt;&gt;Closed",Permits!J:J,"&lt;&gt;")-1</f>
        <v/>
      </c>
      <c r="H14" s="33" t="n"/>
      <c r="J14" s="128">
        <f>COUNTIF(Maintenance!N:N,"🔔 OVERDUE")+COUNTIF(Maintenance!N:N,"🔔 Due soon")</f>
        <v/>
      </c>
      <c r="K14" s="33" t="n"/>
    </row>
    <row r="15" ht="16" customHeight="1">
      <c r="A15" s="48" t="inlineStr">
        <is>
          <t>COs + quotes</t>
        </is>
      </c>
      <c r="B15" s="33" t="n"/>
      <c r="D15" s="133" t="inlineStr">
        <is>
          <t>Unread</t>
        </is>
      </c>
      <c r="E15" s="33" t="n"/>
      <c r="G15" s="38" t="inlineStr">
        <is>
          <t>Not closed</t>
        </is>
      </c>
      <c r="H15" s="33" t="n"/>
      <c r="J15" s="37" t="inlineStr">
        <is>
          <t>Aftercare load</t>
        </is>
      </c>
      <c r="K15" s="33" t="n"/>
    </row>
    <row r="16"/>
    <row r="17">
      <c r="A17" s="8" t="inlineStr">
        <is>
          <t>PROJECT PORTFOLIO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5" t="inlineStr">
        <is>
          <t>Project</t>
        </is>
      </c>
      <c r="B18" s="55" t="inlineStr">
        <is>
          <t>Property</t>
        </is>
      </c>
      <c r="C18" s="55" t="inlineStr">
        <is>
          <t>Status</t>
        </is>
      </c>
      <c r="D18" s="55" t="inlineStr">
        <is>
          <t>Phase</t>
        </is>
      </c>
      <c r="E18" s="55" t="inlineStr">
        <is>
          <t>Budget</t>
        </is>
      </c>
      <c r="F18" s="55" t="inlineStr">
        <is>
          <t>Spent</t>
        </is>
      </c>
      <c r="G18" s="55" t="inlineStr">
        <is>
          <t>Health</t>
        </is>
      </c>
      <c r="H18" s="55" t="inlineStr">
        <is>
          <t>Progress</t>
        </is>
      </c>
    </row>
    <row r="19">
      <c r="A19" s="97">
        <f>IFERROR(INDEX(Projects!C:C,MATCH("PRJ-001",Projects!A:A,0)),"")</f>
        <v/>
      </c>
      <c r="B19" s="97" t="inlineStr">
        <is>
          <t>PRJ-001</t>
        </is>
      </c>
      <c r="C19" s="97">
        <f>IFERROR(INDEX(Projects!E:E,MATCH("PRJ-001",Projects!A:A,0)),"")</f>
        <v/>
      </c>
      <c r="D19" s="97">
        <f>IFERROR(INDEX(Projects!F:F,MATCH("PRJ-001",Projects!A:A,0)),"")</f>
        <v/>
      </c>
      <c r="E19" s="98">
        <f>IFERROR(INDEX(Projects!J:J,MATCH("PRJ-001",Projects!A:A,0)),0)</f>
        <v/>
      </c>
      <c r="F19" s="98">
        <f>IFERROR(INDEX(Projects!R:R,MATCH("PRJ-001",Projects!A:A,0)),0)</f>
        <v/>
      </c>
      <c r="G19" s="97">
        <f>IFERROR(INDEX(Projects!U:U,MATCH("PRJ-001",Projects!A:A,0)),"")</f>
        <v/>
      </c>
      <c r="H19" s="134">
        <f>IFERROR(INDEX(Projects!P:P,MATCH("PRJ-001",Projects!A:A,0)),0)</f>
        <v/>
      </c>
    </row>
    <row r="20">
      <c r="A20" s="100">
        <f>IFERROR(INDEX(Projects!C:C,MATCH("PRJ-002",Projects!A:A,0)),"")</f>
        <v/>
      </c>
      <c r="B20" s="100" t="inlineStr">
        <is>
          <t>PRJ-002</t>
        </is>
      </c>
      <c r="C20" s="100">
        <f>IFERROR(INDEX(Projects!E:E,MATCH("PRJ-002",Projects!A:A,0)),"")</f>
        <v/>
      </c>
      <c r="D20" s="100">
        <f>IFERROR(INDEX(Projects!F:F,MATCH("PRJ-002",Projects!A:A,0)),"")</f>
        <v/>
      </c>
      <c r="E20" s="101">
        <f>IFERROR(INDEX(Projects!J:J,MATCH("PRJ-002",Projects!A:A,0)),0)</f>
        <v/>
      </c>
      <c r="F20" s="101">
        <f>IFERROR(INDEX(Projects!R:R,MATCH("PRJ-002",Projects!A:A,0)),0)</f>
        <v/>
      </c>
      <c r="G20" s="100">
        <f>IFERROR(INDEX(Projects!U:U,MATCH("PRJ-002",Projects!A:A,0)),"")</f>
        <v/>
      </c>
      <c r="H20" s="135">
        <f>IFERROR(INDEX(Projects!P:P,MATCH("PRJ-002",Projects!A:A,0)),0)</f>
        <v/>
      </c>
    </row>
    <row r="21"/>
    <row r="22"/>
    <row r="23">
      <c r="A23" s="8" t="inlineStr">
        <is>
          <t>SUPPLIER PERFORMANCE (lead time vs rating)</t>
        </is>
      </c>
      <c r="B23" s="5" t="n"/>
      <c r="C23" s="5" t="n"/>
      <c r="D23" s="5" t="n"/>
      <c r="E23" s="5" t="n"/>
      <c r="F23" s="5" t="n"/>
      <c r="G23" s="5" t="n"/>
      <c r="H23" s="5" t="n"/>
    </row>
    <row r="24">
      <c r="A24" s="55" t="inlineStr">
        <is>
          <t>Supplier</t>
        </is>
      </c>
      <c r="B24" s="55" t="inlineStr">
        <is>
          <t>Category</t>
        </is>
      </c>
      <c r="C24" s="55" t="inlineStr">
        <is>
          <t>Rating</t>
        </is>
      </c>
      <c r="D24" s="55" t="inlineStr">
        <is>
          <t>Lead days</t>
        </is>
      </c>
    </row>
    <row r="25">
      <c r="A25">
        <f>Suppliers!B5:B20</f>
        <v/>
      </c>
      <c r="B25">
        <f>Suppliers!C5:C20</f>
        <v/>
      </c>
      <c r="C25">
        <f>Suppliers!H5:H20</f>
        <v/>
      </c>
      <c r="D25">
        <f>Suppliers!J5:J20</f>
        <v/>
      </c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mergeCells count="40">
    <mergeCell ref="D10:E10"/>
    <mergeCell ref="A15:B15"/>
    <mergeCell ref="J5:K5"/>
    <mergeCell ref="A17:J17"/>
    <mergeCell ref="A11:B11"/>
    <mergeCell ref="G11:H11"/>
    <mergeCell ref="J10:K10"/>
    <mergeCell ref="J14:K14"/>
    <mergeCell ref="J13:K13"/>
    <mergeCell ref="A6:B6"/>
    <mergeCell ref="J9:K9"/>
    <mergeCell ref="D6:E6"/>
    <mergeCell ref="A2:L2"/>
    <mergeCell ref="A7:B7"/>
    <mergeCell ref="G7:H7"/>
    <mergeCell ref="J6:K6"/>
    <mergeCell ref="D11:E11"/>
    <mergeCell ref="G10:H10"/>
    <mergeCell ref="D13:E13"/>
    <mergeCell ref="J15:K15"/>
    <mergeCell ref="G6:H6"/>
    <mergeCell ref="G13:H13"/>
    <mergeCell ref="J11:K11"/>
    <mergeCell ref="D7:E7"/>
    <mergeCell ref="G15:H15"/>
    <mergeCell ref="J7:K7"/>
    <mergeCell ref="A5:B5"/>
    <mergeCell ref="G5:H5"/>
    <mergeCell ref="A14:B14"/>
    <mergeCell ref="G14:H14"/>
    <mergeCell ref="A23:H23"/>
    <mergeCell ref="D9:E9"/>
    <mergeCell ref="D15:E15"/>
    <mergeCell ref="A1:L1"/>
    <mergeCell ref="D5:E5"/>
    <mergeCell ref="A10:B10"/>
    <mergeCell ref="A13:B13"/>
    <mergeCell ref="D14:E14"/>
    <mergeCell ref="A9:B9"/>
    <mergeCell ref="G9:H9"/>
  </mergeCells>
  <pageMargins left="0.4" right="0.4" top="0.6" bottom="0.5" header="0.25" footer="0.25"/>
  <pageSetup orientation="landscape" paperSize="3" fitToHeight="0" fitToWidth="1"/>
  <headerFooter>
    <oddHeader>&amp;LNovality Store  ·  Home Renovation System&amp;RAdmin</oddHeader>
    <oddFooter>&amp;LConfidential  ·  Digital twin of the home&amp;RPage &amp;P of &amp;N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tabColor rgb="0016352F"/>
    <outlinePr summaryBelow="1" summaryRight="1"/>
    <pageSetUpPr fitToPage="1"/>
  </sheetPr>
  <dimension ref="A1:F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64" customWidth="1" min="3" max="3"/>
  </cols>
  <sheetData>
    <row r="1" ht="28" customHeight="1">
      <c r="A1" s="1" t="inlineStr">
        <is>
          <t>SETTINGS</t>
        </is>
      </c>
      <c r="B1" s="2" t="n"/>
      <c r="C1" s="2" t="n"/>
      <c r="D1" s="2" t="n"/>
      <c r="E1" s="2" t="n"/>
      <c r="F1" s="2" t="n"/>
    </row>
    <row r="2" ht="18" customHeight="1">
      <c r="A2" s="3" t="inlineStr">
        <is>
          <t>Company, currency, thresholds  ·  change values in column B</t>
        </is>
      </c>
      <c r="B2" s="4" t="n"/>
      <c r="C2" s="4" t="n"/>
      <c r="D2" s="4" t="n"/>
      <c r="E2" s="4" t="n"/>
      <c r="F2" s="4" t="n"/>
    </row>
    <row r="3" ht="8" customHeight="1">
      <c r="A3" s="5" t="n"/>
      <c r="B3" s="5" t="n"/>
      <c r="C3" s="5" t="n"/>
      <c r="D3" s="5" t="n"/>
      <c r="E3" s="5" t="n"/>
      <c r="F3" s="5" t="n"/>
    </row>
    <row r="4" ht="22" customHeight="1">
      <c r="A4" s="66" t="inlineStr">
        <is>
          <t>Setting</t>
        </is>
      </c>
      <c r="B4" s="66" t="inlineStr">
        <is>
          <t>Value</t>
        </is>
      </c>
      <c r="C4" s="66" t="inlineStr">
        <is>
          <t>Notes</t>
        </is>
      </c>
      <c r="D4" s="5" t="n"/>
      <c r="E4" s="5" t="n"/>
      <c r="F4" s="5" t="n"/>
    </row>
    <row r="5" ht="18" customHeight="1">
      <c r="A5" s="136" t="inlineStr">
        <is>
          <t>Company Name</t>
        </is>
      </c>
      <c r="B5" s="137" t="inlineStr">
        <is>
          <t>Novality Store</t>
        </is>
      </c>
      <c r="C5" s="138" t="inlineStr"/>
      <c r="D5" s="5" t="n"/>
      <c r="E5" s="5" t="n"/>
      <c r="F5" s="5" t="n"/>
    </row>
    <row r="6" ht="18" customHeight="1">
      <c r="A6" s="139" t="inlineStr">
        <is>
          <t>Product Name</t>
        </is>
      </c>
      <c r="B6" s="137" t="inlineStr">
        <is>
          <t>Home Renovation Management System</t>
        </is>
      </c>
      <c r="C6" s="140" t="inlineStr"/>
      <c r="D6" s="5" t="n"/>
      <c r="E6" s="5" t="n"/>
      <c r="F6" s="5" t="n"/>
    </row>
    <row r="7" ht="18" customHeight="1">
      <c r="A7" s="136" t="inlineStr">
        <is>
          <t>Version</t>
        </is>
      </c>
      <c r="B7" s="137" t="inlineStr">
        <is>
          <t>1.0.0</t>
        </is>
      </c>
      <c r="C7" s="138" t="inlineStr"/>
      <c r="D7" s="5" t="n"/>
      <c r="E7" s="5" t="n"/>
      <c r="F7" s="5" t="n"/>
    </row>
    <row r="8" ht="18" customHeight="1">
      <c r="A8" s="139" t="inlineStr">
        <is>
          <t>Homeowner</t>
        </is>
      </c>
      <c r="B8" s="137" t="inlineStr">
        <is>
          <t>Alex Rivera</t>
        </is>
      </c>
      <c r="C8" s="140" t="inlineStr"/>
      <c r="D8" s="5" t="n"/>
      <c r="E8" s="5" t="n"/>
      <c r="F8" s="5" t="n"/>
    </row>
    <row r="9" ht="18" customHeight="1">
      <c r="A9" s="136" t="inlineStr">
        <is>
          <t>Active Project ID</t>
        </is>
      </c>
      <c r="B9" s="137" t="inlineStr">
        <is>
          <t>PRJ-001</t>
        </is>
      </c>
      <c r="C9" s="138" t="inlineStr">
        <is>
          <t>Default filter for dashboard KPIs.</t>
        </is>
      </c>
    </row>
    <row r="10" ht="18" customHeight="1">
      <c r="A10" s="139" t="inlineStr">
        <is>
          <t>Active Property ID</t>
        </is>
      </c>
      <c r="B10" s="137" t="inlineStr">
        <is>
          <t>PROP-001</t>
        </is>
      </c>
      <c r="C10" s="140" t="inlineStr"/>
    </row>
    <row r="11" ht="18" customHeight="1">
      <c r="A11" s="136" t="inlineStr">
        <is>
          <t>Currency</t>
        </is>
      </c>
      <c r="B11" s="137" t="inlineStr">
        <is>
          <t>USD</t>
        </is>
      </c>
      <c r="C11" s="138" t="inlineStr">
        <is>
          <t>USD formulas use $ format; change display only.</t>
        </is>
      </c>
    </row>
    <row r="12" ht="18" customHeight="1">
      <c r="A12" s="139" t="inlineStr">
        <is>
          <t>Currency Symbol</t>
        </is>
      </c>
      <c r="B12" s="137" t="inlineStr">
        <is>
          <t>$</t>
        </is>
      </c>
      <c r="C12" s="140" t="inlineStr"/>
    </row>
    <row r="13" ht="18" customHeight="1">
      <c r="A13" s="136" t="inlineStr">
        <is>
          <t>Language</t>
        </is>
      </c>
      <c r="B13" s="137" t="inlineStr">
        <is>
          <t>English</t>
        </is>
      </c>
      <c r="C13" s="138" t="inlineStr"/>
    </row>
    <row r="14" ht="18" customHeight="1">
      <c r="A14" s="139" t="inlineStr">
        <is>
          <t>Contingency %</t>
        </is>
      </c>
      <c r="B14" s="141" t="n">
        <v>0.1</v>
      </c>
      <c r="C14" s="140" t="inlineStr">
        <is>
          <t>Used by Finance + alerts. Default 10%.</t>
        </is>
      </c>
    </row>
    <row r="15" ht="18" customHeight="1">
      <c r="A15" s="136" t="inlineStr">
        <is>
          <t>Fiscal Year Start</t>
        </is>
      </c>
      <c r="B15" s="142" t="n">
        <v>46023</v>
      </c>
      <c r="C15" s="138" t="inlineStr"/>
    </row>
    <row r="16" ht="18" customHeight="1">
      <c r="A16" s="139" t="inlineStr">
        <is>
          <t>Today (system)</t>
        </is>
      </c>
      <c r="B16" s="142" t="n">
        <v>46258</v>
      </c>
      <c r="C16" s="140" t="inlineStr">
        <is>
          <t>Dashboard 'today'. Update if you archive this file later.</t>
        </is>
      </c>
    </row>
    <row r="17" ht="18" customHeight="1">
      <c r="A17" s="136" t="inlineStr">
        <is>
          <t>Timezone</t>
        </is>
      </c>
      <c r="B17" s="137" t="inlineStr">
        <is>
          <t>America/Los_Angeles</t>
        </is>
      </c>
      <c r="C17" s="138" t="inlineStr"/>
    </row>
    <row r="18" ht="18" customHeight="1">
      <c r="A18" s="139" t="inlineStr">
        <is>
          <t>Tax Rate</t>
        </is>
      </c>
      <c r="B18" s="141" t="n">
        <v>0</v>
      </c>
      <c r="C18" s="140" t="inlineStr">
        <is>
          <t>Optional. Applied on Finance tax line if &gt; 0.</t>
        </is>
      </c>
    </row>
    <row r="19" ht="18" customHeight="1">
      <c r="A19" s="136" t="inlineStr">
        <is>
          <t>Default Payment Terms (days)</t>
        </is>
      </c>
      <c r="B19" s="137" t="n">
        <v>14</v>
      </c>
      <c r="C19" s="138" t="inlineStr"/>
    </row>
    <row r="20" ht="18" customHeight="1">
      <c r="A20" s="139" t="inlineStr">
        <is>
          <t>Maintenance Reminder (days)</t>
        </is>
      </c>
      <c r="B20" s="137" t="n">
        <v>14</v>
      </c>
      <c r="C20" s="140" t="inlineStr"/>
    </row>
    <row r="21" ht="18" customHeight="1">
      <c r="A21" s="136" t="inlineStr">
        <is>
          <t>Document Expiry Reminder (days)</t>
        </is>
      </c>
      <c r="B21" s="137" t="n">
        <v>30</v>
      </c>
      <c r="C21" s="138" t="inlineStr"/>
    </row>
    <row r="22" ht="18" customHeight="1">
      <c r="A22" s="139" t="inlineStr">
        <is>
          <t>Low Contingency Threshold</t>
        </is>
      </c>
      <c r="B22" s="141" t="n">
        <v>0.1</v>
      </c>
      <c r="C22" s="140" t="inlineStr">
        <is>
          <t>Alert when remaining contingency / budget &lt; this.</t>
        </is>
      </c>
    </row>
    <row r="23" ht="18" customHeight="1">
      <c r="A23" s="136" t="inlineStr">
        <is>
          <t>Budget Overrun Alert %</t>
        </is>
      </c>
      <c r="B23" s="141" t="n">
        <v>0.1</v>
      </c>
      <c r="C23" s="138" t="inlineStr">
        <is>
          <t>Room/category alert when spent+committed exceeds planned by this.</t>
        </is>
      </c>
    </row>
    <row r="24" ht="18" customHeight="1">
      <c r="A24" s="139" t="inlineStr">
        <is>
          <t>Support Email</t>
        </is>
      </c>
      <c r="B24" s="137" t="inlineStr">
        <is>
          <t>studio@novalitystore.example</t>
        </is>
      </c>
      <c r="C24" s="140" t="inlineStr"/>
    </row>
    <row r="25" ht="18" customHeight="1">
      <c r="A25" s="136" t="inlineStr">
        <is>
          <t>Primary Color</t>
        </is>
      </c>
      <c r="B25" s="137" t="inlineStr">
        <is>
          <t>#16352F</t>
        </is>
      </c>
      <c r="C25" s="138" t="inlineStr"/>
    </row>
    <row r="26" ht="18" customHeight="1">
      <c r="A26" s="139" t="inlineStr">
        <is>
          <t>Secondary Color</t>
        </is>
      </c>
      <c r="B26" s="137" t="inlineStr">
        <is>
          <t>#E8DDCB</t>
        </is>
      </c>
      <c r="C26" s="140" t="inlineStr"/>
    </row>
    <row r="27" ht="18" customHeight="1">
      <c r="A27" s="136" t="inlineStr">
        <is>
          <t>Accent Color</t>
        </is>
      </c>
      <c r="B27" s="137" t="inlineStr">
        <is>
          <t>#C86B4A</t>
        </is>
      </c>
      <c r="C27" s="138" t="inlineStr"/>
    </row>
    <row r="28" ht="18" customHeight="1">
      <c r="A28" s="139" t="inlineStr">
        <is>
          <t>Background Color</t>
        </is>
      </c>
      <c r="B28" s="137" t="inlineStr">
        <is>
          <t>#F8F6F1</t>
        </is>
      </c>
      <c r="C28" s="140" t="inlineStr"/>
    </row>
    <row r="29" ht="18" customHeight="1">
      <c r="A29" s="136" t="inlineStr">
        <is>
          <t>Success Color</t>
        </is>
      </c>
      <c r="B29" s="137" t="inlineStr">
        <is>
          <t>#719B7A</t>
        </is>
      </c>
      <c r="C29" s="138" t="inlineStr"/>
    </row>
    <row r="30" ht="18" customHeight="1">
      <c r="A30" s="139" t="inlineStr">
        <is>
          <t>Warning Color</t>
        </is>
      </c>
      <c r="B30" s="137" t="inlineStr">
        <is>
          <t>#D99A3D</t>
        </is>
      </c>
      <c r="C30" s="140" t="inlineStr"/>
    </row>
    <row r="31" ht="18" customHeight="1">
      <c r="A31" s="136" t="inlineStr">
        <is>
          <t>Danger Color</t>
        </is>
      </c>
      <c r="B31" s="137" t="inlineStr">
        <is>
          <t>#C75C5C</t>
        </is>
      </c>
      <c r="C31" s="138" t="inlineStr"/>
    </row>
    <row r="32">
      <c r="B32" s="82" t="n"/>
    </row>
    <row r="33">
      <c r="B33" s="82" t="n"/>
    </row>
    <row r="34">
      <c r="B34" s="82" t="n"/>
    </row>
    <row r="35">
      <c r="B35" s="82" t="n"/>
    </row>
    <row r="36">
      <c r="B36" s="82" t="n"/>
    </row>
    <row r="37">
      <c r="B37" s="82" t="n"/>
    </row>
    <row r="38">
      <c r="B38" s="82" t="n"/>
    </row>
    <row r="39">
      <c r="B39" s="82" t="n"/>
    </row>
    <row r="40">
      <c r="B40" s="82" t="n"/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mergeCells count="2">
    <mergeCell ref="A2:F2"/>
    <mergeCell ref="A1:F1"/>
  </mergeCells>
  <dataValidations count="2">
    <dataValidation sqref="B11" showDropDown="0" showInputMessage="0" showErrorMessage="1" allowBlank="1" errorTitle="Invalid value" error="Pick a value from the list." type="list">
      <formula1>=Currency</formula1>
    </dataValidation>
    <dataValidation sqref="B13" showDropDown="0" showInputMessage="0" showErrorMessage="1" allowBlank="1" errorTitle="Invalid value" error="Pick a value from the list." type="list">
      <formula1>=Language</formula1>
    </dataValidation>
  </dataValidations>
  <pageMargins left="0.4" right="0.4" top="0.6" bottom="0.5" header="0.25" footer="0.25"/>
  <pageSetup orientation="landscape" paperSize="3" fitToHeight="0" fitToWidth="1"/>
  <headerFooter>
    <oddHeader>&amp;LNovality Store  ·  Home Renovation System&amp;RSettings</oddHeader>
    <oddFooter>&amp;LConfidential  ·  Digital twin of the home&amp;RPage &amp;P of &amp;N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tabColor rgb="002D5C52"/>
    <outlinePr summaryBelow="1" summaryRight="1"/>
    <pageSetUpPr fitToPage="1"/>
  </sheetPr>
  <dimension ref="A1:AB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 ht="28" customHeight="1">
      <c r="A1" s="1" t="inlineStr">
        <is>
          <t>LOOKUPS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18" customHeight="1">
      <c r="A2" s="3" t="inlineStr">
        <is>
          <t>Dropdown sources  ·  do not delete  ·  add values downward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8" customHeight="1">
      <c r="A3" s="115" t="inlineStr">
        <is>
          <t>These lists power every dropdown in the workbook. Add new items in the first empty cell of a column.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</row>
    <row r="4">
      <c r="A4" s="143" t="inlineStr">
        <is>
          <t>Project Status</t>
        </is>
      </c>
      <c r="B4" s="143" t="inlineStr">
        <is>
          <t>Project Phase</t>
        </is>
      </c>
      <c r="C4" s="143" t="inlineStr">
        <is>
          <t>Room Type</t>
        </is>
      </c>
      <c r="D4" s="143" t="inlineStr">
        <is>
          <t>Room Status</t>
        </is>
      </c>
      <c r="E4" s="143" t="inlineStr">
        <is>
          <t>Design Style</t>
        </is>
      </c>
      <c r="F4" s="143" t="inlineStr">
        <is>
          <t>Design Item</t>
        </is>
      </c>
      <c r="G4" s="143" t="inlineStr">
        <is>
          <t>Budget Category</t>
        </is>
      </c>
      <c r="H4" s="143" t="inlineStr">
        <is>
          <t>Expense Status</t>
        </is>
      </c>
      <c r="I4" s="143" t="inlineStr">
        <is>
          <t>Payment Method</t>
        </is>
      </c>
      <c r="J4" s="143" t="inlineStr">
        <is>
          <t>Trade</t>
        </is>
      </c>
      <c r="K4" s="143" t="inlineStr">
        <is>
          <t>Task Status</t>
        </is>
      </c>
      <c r="L4" s="143" t="inlineStr">
        <is>
          <t>Priority</t>
        </is>
      </c>
      <c r="M4" s="143" t="inlineStr">
        <is>
          <t>Material Status</t>
        </is>
      </c>
      <c r="N4" s="143" t="inlineStr">
        <is>
          <t>Doc Category</t>
        </is>
      </c>
      <c r="O4" s="143" t="inlineStr">
        <is>
          <t>Role</t>
        </is>
      </c>
      <c r="P4" s="143" t="inlineStr">
        <is>
          <t>Quote Status</t>
        </is>
      </c>
      <c r="Q4" s="143" t="inlineStr">
        <is>
          <t>Job Status</t>
        </is>
      </c>
      <c r="R4" s="143" t="inlineStr">
        <is>
          <t>Insp Result</t>
        </is>
      </c>
      <c r="S4" s="143" t="inlineStr">
        <is>
          <t>Payment Status</t>
        </is>
      </c>
      <c r="T4" s="143" t="inlineStr">
        <is>
          <t>CO Status</t>
        </is>
      </c>
      <c r="U4" s="143" t="inlineStr">
        <is>
          <t>Permit Status</t>
        </is>
      </c>
      <c r="V4" s="143" t="inlineStr">
        <is>
          <t>Maint Status</t>
        </is>
      </c>
      <c r="W4" s="143" t="inlineStr">
        <is>
          <t>Insight Severity</t>
        </is>
      </c>
      <c r="X4" s="143" t="inlineStr">
        <is>
          <t>Insight Status</t>
        </is>
      </c>
      <c r="Y4" s="143" t="inlineStr">
        <is>
          <t>Channel</t>
        </is>
      </c>
      <c r="Z4" s="143" t="inlineStr">
        <is>
          <t>Currency</t>
        </is>
      </c>
      <c r="AA4" s="143" t="inlineStr">
        <is>
          <t>Language</t>
        </is>
      </c>
      <c r="AB4" s="143" t="inlineStr">
        <is>
          <t>Property Type</t>
        </is>
      </c>
    </row>
    <row r="5">
      <c r="A5" s="144" t="inlineStr">
        <is>
          <t>Planning</t>
        </is>
      </c>
      <c r="B5" s="144" t="inlineStr">
        <is>
          <t>Planning</t>
        </is>
      </c>
      <c r="C5" s="144" t="inlineStr">
        <is>
          <t>Kitchen</t>
        </is>
      </c>
      <c r="D5" s="144" t="inlineStr">
        <is>
          <t>Not Started</t>
        </is>
      </c>
      <c r="E5" s="144" t="inlineStr">
        <is>
          <t>Modern</t>
        </is>
      </c>
      <c r="F5" s="144" t="inlineStr">
        <is>
          <t>Mood Board</t>
        </is>
      </c>
      <c r="G5" s="144" t="inlineStr">
        <is>
          <t>Labor</t>
        </is>
      </c>
      <c r="H5" s="144" t="inlineStr">
        <is>
          <t>Planned</t>
        </is>
      </c>
      <c r="I5" s="144" t="inlineStr">
        <is>
          <t>ACH</t>
        </is>
      </c>
      <c r="J5" s="144" t="inlineStr">
        <is>
          <t>General Contractor</t>
        </is>
      </c>
      <c r="K5" s="144" t="inlineStr">
        <is>
          <t>To Do</t>
        </is>
      </c>
      <c r="L5" s="144" t="inlineStr">
        <is>
          <t>Critical</t>
        </is>
      </c>
      <c r="M5" s="144" t="inlineStr">
        <is>
          <t>Required</t>
        </is>
      </c>
      <c r="N5" s="144" t="inlineStr">
        <is>
          <t>Contract</t>
        </is>
      </c>
      <c r="O5" s="144" t="inlineStr">
        <is>
          <t>Homeowner</t>
        </is>
      </c>
      <c r="P5" s="144" t="inlineStr">
        <is>
          <t>Requested</t>
        </is>
      </c>
      <c r="Q5" s="144" t="inlineStr">
        <is>
          <t>Assigned</t>
        </is>
      </c>
      <c r="R5" s="144" t="inlineStr">
        <is>
          <t>Pass</t>
        </is>
      </c>
      <c r="S5" s="144" t="inlineStr">
        <is>
          <t>Draft</t>
        </is>
      </c>
      <c r="T5" s="144" t="inlineStr">
        <is>
          <t>Draft</t>
        </is>
      </c>
      <c r="U5" s="144" t="inlineStr">
        <is>
          <t>Not Started</t>
        </is>
      </c>
      <c r="V5" s="144" t="inlineStr">
        <is>
          <t>Upcoming</t>
        </is>
      </c>
      <c r="W5" s="144" t="inlineStr">
        <is>
          <t>Info</t>
        </is>
      </c>
      <c r="X5" s="144" t="inlineStr">
        <is>
          <t>New</t>
        </is>
      </c>
      <c r="Y5" s="144" t="inlineStr">
        <is>
          <t>App</t>
        </is>
      </c>
      <c r="Z5" s="144" t="inlineStr">
        <is>
          <t>USD</t>
        </is>
      </c>
      <c r="AA5" s="144" t="inlineStr">
        <is>
          <t>English</t>
        </is>
      </c>
      <c r="AB5" s="144" t="inlineStr">
        <is>
          <t>Single Family</t>
        </is>
      </c>
    </row>
    <row r="6">
      <c r="A6" s="145" t="inlineStr">
        <is>
          <t>Active</t>
        </is>
      </c>
      <c r="B6" s="145" t="inlineStr">
        <is>
          <t>Design</t>
        </is>
      </c>
      <c r="C6" s="145" t="inlineStr">
        <is>
          <t>Living Room</t>
        </is>
      </c>
      <c r="D6" s="145" t="inlineStr">
        <is>
          <t>Design</t>
        </is>
      </c>
      <c r="E6" s="145" t="inlineStr">
        <is>
          <t>Minimal</t>
        </is>
      </c>
      <c r="F6" s="145" t="inlineStr">
        <is>
          <t>Color Palette</t>
        </is>
      </c>
      <c r="G6" s="145" t="inlineStr">
        <is>
          <t>Materials</t>
        </is>
      </c>
      <c r="H6" s="145" t="inlineStr">
        <is>
          <t>Committed</t>
        </is>
      </c>
      <c r="I6" s="145" t="inlineStr">
        <is>
          <t>Check</t>
        </is>
      </c>
      <c r="J6" s="145" t="inlineStr">
        <is>
          <t>Interior Designer</t>
        </is>
      </c>
      <c r="K6" s="145" t="inlineStr">
        <is>
          <t>Scheduled</t>
        </is>
      </c>
      <c r="L6" s="145" t="inlineStr">
        <is>
          <t>High</t>
        </is>
      </c>
      <c r="M6" s="145" t="inlineStr">
        <is>
          <t>Quoted</t>
        </is>
      </c>
      <c r="N6" s="145" t="inlineStr">
        <is>
          <t>Invoice</t>
        </is>
      </c>
      <c r="O6" s="145" t="inlineStr">
        <is>
          <t>Admin</t>
        </is>
      </c>
      <c r="P6" s="145" t="inlineStr">
        <is>
          <t>Received</t>
        </is>
      </c>
      <c r="Q6" s="145" t="inlineStr">
        <is>
          <t>Scheduled</t>
        </is>
      </c>
      <c r="R6" s="145" t="inlineStr">
        <is>
          <t>Conditional</t>
        </is>
      </c>
      <c r="S6" s="145" t="inlineStr">
        <is>
          <t>Scheduled</t>
        </is>
      </c>
      <c r="T6" s="145" t="inlineStr">
        <is>
          <t>Submitted</t>
        </is>
      </c>
      <c r="U6" s="145" t="inlineStr">
        <is>
          <t>Applied</t>
        </is>
      </c>
      <c r="V6" s="145" t="inlineStr">
        <is>
          <t>Due Soon</t>
        </is>
      </c>
      <c r="W6" s="145" t="inlineStr">
        <is>
          <t>Opportunity</t>
        </is>
      </c>
      <c r="X6" s="145" t="inlineStr">
        <is>
          <t>Accepted</t>
        </is>
      </c>
      <c r="Y6" s="145" t="inlineStr">
        <is>
          <t>Email</t>
        </is>
      </c>
      <c r="Z6" s="145" t="inlineStr">
        <is>
          <t>EUR</t>
        </is>
      </c>
      <c r="AA6" s="145" t="inlineStr">
        <is>
          <t>Spanish</t>
        </is>
      </c>
      <c r="AB6" s="145" t="inlineStr">
        <is>
          <t>Townhouse</t>
        </is>
      </c>
    </row>
    <row r="7">
      <c r="A7" s="144" t="inlineStr">
        <is>
          <t>On Hold</t>
        </is>
      </c>
      <c r="B7" s="144" t="inlineStr">
        <is>
          <t>Permits</t>
        </is>
      </c>
      <c r="C7" s="144" t="inlineStr">
        <is>
          <t>Bedroom</t>
        </is>
      </c>
      <c r="D7" s="144" t="inlineStr">
        <is>
          <t>In Progress</t>
        </is>
      </c>
      <c r="E7" s="144" t="inlineStr">
        <is>
          <t>Scandinavian</t>
        </is>
      </c>
      <c r="F7" s="144" t="inlineStr">
        <is>
          <t>Material Board</t>
        </is>
      </c>
      <c r="G7" s="144" t="inlineStr">
        <is>
          <t>Design</t>
        </is>
      </c>
      <c r="H7" s="144" t="inlineStr">
        <is>
          <t>Paid</t>
        </is>
      </c>
      <c r="I7" s="144" t="inlineStr">
        <is>
          <t>Credit Card</t>
        </is>
      </c>
      <c r="J7" s="144" t="inlineStr">
        <is>
          <t>Architect</t>
        </is>
      </c>
      <c r="K7" s="144" t="inlineStr">
        <is>
          <t>In Progress</t>
        </is>
      </c>
      <c r="L7" s="144" t="inlineStr">
        <is>
          <t>Medium</t>
        </is>
      </c>
      <c r="M7" s="144" t="inlineStr">
        <is>
          <t>Approved</t>
        </is>
      </c>
      <c r="N7" s="144" t="inlineStr">
        <is>
          <t>Receipt</t>
        </is>
      </c>
      <c r="O7" s="144" t="inlineStr">
        <is>
          <t>Project Manager</t>
        </is>
      </c>
      <c r="P7" s="144" t="inlineStr">
        <is>
          <t>Compared</t>
        </is>
      </c>
      <c r="Q7" s="144" t="inlineStr">
        <is>
          <t>In Progress</t>
        </is>
      </c>
      <c r="R7" s="144" t="inlineStr">
        <is>
          <t>Fail</t>
        </is>
      </c>
      <c r="S7" s="144" t="inlineStr">
        <is>
          <t>Paid</t>
        </is>
      </c>
      <c r="T7" s="144" t="inlineStr">
        <is>
          <t>Approved</t>
        </is>
      </c>
      <c r="U7" s="144" t="inlineStr">
        <is>
          <t>In Review</t>
        </is>
      </c>
      <c r="V7" s="144" t="inlineStr">
        <is>
          <t>Overdue</t>
        </is>
      </c>
      <c r="W7" s="144" t="inlineStr">
        <is>
          <t>Warning</t>
        </is>
      </c>
      <c r="X7" s="144" t="inlineStr">
        <is>
          <t>In Progress</t>
        </is>
      </c>
      <c r="Y7" s="144" t="inlineStr">
        <is>
          <t>SMS</t>
        </is>
      </c>
      <c r="Z7" s="144" t="inlineStr">
        <is>
          <t>GBP</t>
        </is>
      </c>
      <c r="AA7" s="144" t="inlineStr">
        <is>
          <t>French</t>
        </is>
      </c>
      <c r="AB7" s="144" t="inlineStr">
        <is>
          <t>Condo</t>
        </is>
      </c>
    </row>
    <row r="8">
      <c r="A8" s="145" t="inlineStr">
        <is>
          <t>Completed</t>
        </is>
      </c>
      <c r="B8" s="145" t="inlineStr">
        <is>
          <t>Demolition</t>
        </is>
      </c>
      <c r="C8" s="145" t="inlineStr">
        <is>
          <t>Primary Bedroom</t>
        </is>
      </c>
      <c r="D8" s="145" t="inlineStr">
        <is>
          <t>Punch List</t>
        </is>
      </c>
      <c r="E8" s="145" t="inlineStr">
        <is>
          <t>Luxury</t>
        </is>
      </c>
      <c r="F8" s="145" t="inlineStr">
        <is>
          <t>Furniture</t>
        </is>
      </c>
      <c r="G8" s="145" t="inlineStr">
        <is>
          <t>Permits</t>
        </is>
      </c>
      <c r="H8" s="145" t="inlineStr">
        <is>
          <t>Void</t>
        </is>
      </c>
      <c r="I8" s="145" t="inlineStr">
        <is>
          <t>Wire</t>
        </is>
      </c>
      <c r="J8" s="145" t="inlineStr">
        <is>
          <t>Cabinetry</t>
        </is>
      </c>
      <c r="K8" s="145" t="inlineStr">
        <is>
          <t>Inspection</t>
        </is>
      </c>
      <c r="L8" s="145" t="inlineStr">
        <is>
          <t>Low</t>
        </is>
      </c>
      <c r="M8" s="145" t="inlineStr">
        <is>
          <t>Ordered</t>
        </is>
      </c>
      <c r="N8" s="145" t="inlineStr">
        <is>
          <t>Floor Plan</t>
        </is>
      </c>
      <c r="O8" s="145" t="inlineStr">
        <is>
          <t>Interior Designer</t>
        </is>
      </c>
      <c r="P8" s="145" t="inlineStr">
        <is>
          <t>Accepted</t>
        </is>
      </c>
      <c r="Q8" s="145" t="inlineStr">
        <is>
          <t>Milestone Review</t>
        </is>
      </c>
      <c r="R8" s="145" t="inlineStr">
        <is>
          <t>Scheduled</t>
        </is>
      </c>
      <c r="S8" s="145" t="inlineStr">
        <is>
          <t>Overdue</t>
        </is>
      </c>
      <c r="T8" s="145" t="inlineStr">
        <is>
          <t>Rejected</t>
        </is>
      </c>
      <c r="U8" s="145" t="inlineStr">
        <is>
          <t>Approved</t>
        </is>
      </c>
      <c r="V8" s="145" t="inlineStr">
        <is>
          <t>Scheduled</t>
        </is>
      </c>
      <c r="W8" s="145" t="inlineStr">
        <is>
          <t>Critical</t>
        </is>
      </c>
      <c r="X8" s="145" t="inlineStr">
        <is>
          <t>Dismissed</t>
        </is>
      </c>
      <c r="Y8" s="145" t="inlineStr">
        <is>
          <t>Group Chat</t>
        </is>
      </c>
      <c r="Z8" s="145" t="inlineStr">
        <is>
          <t>CAD</t>
        </is>
      </c>
      <c r="AA8" s="145" t="inlineStr">
        <is>
          <t>German</t>
        </is>
      </c>
      <c r="AB8" s="145" t="inlineStr">
        <is>
          <t>Multi-Family</t>
        </is>
      </c>
    </row>
    <row r="9">
      <c r="A9" s="144" t="inlineStr">
        <is>
          <t>Cancelled</t>
        </is>
      </c>
      <c r="B9" s="144" t="inlineStr">
        <is>
          <t>Rough-In</t>
        </is>
      </c>
      <c r="C9" s="144" t="inlineStr">
        <is>
          <t>Bathroom</t>
        </is>
      </c>
      <c r="D9" s="144" t="inlineStr">
        <is>
          <t>Complete</t>
        </is>
      </c>
      <c r="E9" s="144" t="inlineStr">
        <is>
          <t>Industrial</t>
        </is>
      </c>
      <c r="F9" s="144" t="inlineStr">
        <is>
          <t>Flooring</t>
        </is>
      </c>
      <c r="G9" s="144" t="inlineStr">
        <is>
          <t>Delivery</t>
        </is>
      </c>
      <c r="H9" s="82" t="n"/>
      <c r="I9" s="144" t="inlineStr">
        <is>
          <t>Cash</t>
        </is>
      </c>
      <c r="J9" s="144" t="inlineStr">
        <is>
          <t>Electrical</t>
        </is>
      </c>
      <c r="K9" s="144" t="inlineStr">
        <is>
          <t>Completed</t>
        </is>
      </c>
      <c r="L9" s="82" t="n"/>
      <c r="M9" s="144" t="inlineStr">
        <is>
          <t>Shipped</t>
        </is>
      </c>
      <c r="N9" s="144" t="inlineStr">
        <is>
          <t>Building Permit</t>
        </is>
      </c>
      <c r="O9" s="144" t="inlineStr">
        <is>
          <t>Contractor</t>
        </is>
      </c>
      <c r="P9" s="144" t="inlineStr">
        <is>
          <t>Rejected</t>
        </is>
      </c>
      <c r="Q9" s="144" t="inlineStr">
        <is>
          <t>Complete</t>
        </is>
      </c>
      <c r="R9" s="82" t="n"/>
      <c r="S9" s="144" t="inlineStr">
        <is>
          <t>Disputed</t>
        </is>
      </c>
      <c r="T9" s="144" t="inlineStr">
        <is>
          <t>Implemented</t>
        </is>
      </c>
      <c r="U9" s="144" t="inlineStr">
        <is>
          <t>Expired</t>
        </is>
      </c>
      <c r="V9" s="144" t="inlineStr">
        <is>
          <t>Complete</t>
        </is>
      </c>
      <c r="W9" s="82" t="n"/>
      <c r="X9" s="144" t="inlineStr">
        <is>
          <t>Resolved</t>
        </is>
      </c>
      <c r="Y9" s="144" t="inlineStr">
        <is>
          <t>Task Comment</t>
        </is>
      </c>
      <c r="Z9" s="144" t="inlineStr">
        <is>
          <t>AUD</t>
        </is>
      </c>
      <c r="AA9" s="144" t="inlineStr">
        <is>
          <t>Portuguese</t>
        </is>
      </c>
      <c r="AB9" s="144" t="inlineStr">
        <is>
          <t>Cabin</t>
        </is>
      </c>
    </row>
    <row r="10">
      <c r="A10" s="82" t="n"/>
      <c r="B10" s="145" t="inlineStr">
        <is>
          <t>Construction</t>
        </is>
      </c>
      <c r="C10" s="145" t="inlineStr">
        <is>
          <t>Primary Bathroom</t>
        </is>
      </c>
      <c r="D10" s="82" t="n"/>
      <c r="E10" s="145" t="inlineStr">
        <is>
          <t>Traditional</t>
        </is>
      </c>
      <c r="F10" s="145" t="inlineStr">
        <is>
          <t>Wall</t>
        </is>
      </c>
      <c r="G10" s="145" t="inlineStr">
        <is>
          <t>Contingency</t>
        </is>
      </c>
      <c r="H10" s="82" t="n"/>
      <c r="I10" s="145" t="inlineStr">
        <is>
          <t>Financing</t>
        </is>
      </c>
      <c r="J10" s="145" t="inlineStr">
        <is>
          <t>Plumbing</t>
        </is>
      </c>
      <c r="K10" s="145" t="inlineStr">
        <is>
          <t>Blocked</t>
        </is>
      </c>
      <c r="L10" s="82" t="n"/>
      <c r="M10" s="145" t="inlineStr">
        <is>
          <t>Delivered</t>
        </is>
      </c>
      <c r="N10" s="145" t="inlineStr">
        <is>
          <t>License</t>
        </is>
      </c>
      <c r="O10" s="145" t="inlineStr">
        <is>
          <t>Subcontractor</t>
        </is>
      </c>
      <c r="P10" s="145" t="inlineStr">
        <is>
          <t>Expired</t>
        </is>
      </c>
      <c r="Q10" s="145" t="inlineStr">
        <is>
          <t>Disputed</t>
        </is>
      </c>
      <c r="R10" s="82" t="n"/>
      <c r="S10" s="82" t="n"/>
      <c r="T10" s="82" t="n"/>
      <c r="U10" s="145" t="inlineStr">
        <is>
          <t>Closed</t>
        </is>
      </c>
      <c r="V10" s="82" t="n"/>
      <c r="W10" s="82" t="n"/>
      <c r="X10" s="82" t="n"/>
      <c r="Y10" s="145" t="inlineStr">
        <is>
          <t>Photo Comment</t>
        </is>
      </c>
      <c r="Z10" s="145" t="inlineStr">
        <is>
          <t>INR</t>
        </is>
      </c>
      <c r="AA10" s="145" t="inlineStr">
        <is>
          <t>Arabic</t>
        </is>
      </c>
      <c r="AB10" s="145" t="inlineStr">
        <is>
          <t>Commercial</t>
        </is>
      </c>
    </row>
    <row r="11">
      <c r="A11" s="82" t="n"/>
      <c r="B11" s="144" t="inlineStr">
        <is>
          <t>Finishes</t>
        </is>
      </c>
      <c r="C11" s="144" t="inlineStr">
        <is>
          <t>Powder Room</t>
        </is>
      </c>
      <c r="D11" s="82" t="n"/>
      <c r="E11" s="144" t="inlineStr">
        <is>
          <t>Transitional</t>
        </is>
      </c>
      <c r="F11" s="144" t="inlineStr">
        <is>
          <t>Ceiling</t>
        </is>
      </c>
      <c r="G11" s="144" t="inlineStr">
        <is>
          <t>Appliances</t>
        </is>
      </c>
      <c r="H11" s="82" t="n"/>
      <c r="I11" s="82" t="n"/>
      <c r="J11" s="144" t="inlineStr">
        <is>
          <t>Tile &amp; Stone</t>
        </is>
      </c>
      <c r="K11" s="82" t="n"/>
      <c r="L11" s="82" t="n"/>
      <c r="M11" s="144" t="inlineStr">
        <is>
          <t>Installed</t>
        </is>
      </c>
      <c r="N11" s="144" t="inlineStr">
        <is>
          <t>Insurance</t>
        </is>
      </c>
      <c r="O11" s="144" t="inlineStr">
        <is>
          <t>Supplier</t>
        </is>
      </c>
      <c r="P11" s="82" t="n"/>
      <c r="Q11" s="82" t="n"/>
      <c r="R11" s="82" t="n"/>
      <c r="S11" s="82" t="n"/>
      <c r="T11" s="82" t="n"/>
      <c r="U11" s="82" t="n"/>
      <c r="V11" s="82" t="n"/>
      <c r="W11" s="82" t="n"/>
      <c r="X11" s="82" t="n"/>
      <c r="Y11" s="144" t="inlineStr">
        <is>
          <t>Voice</t>
        </is>
      </c>
      <c r="Z11" s="144" t="inlineStr">
        <is>
          <t>AED</t>
        </is>
      </c>
      <c r="AA11" s="144" t="inlineStr">
        <is>
          <t>Hindi</t>
        </is>
      </c>
      <c r="AB11" s="82" t="n"/>
    </row>
    <row r="12">
      <c r="A12" s="82" t="n"/>
      <c r="B12" s="145" t="inlineStr">
        <is>
          <t>Furnishing</t>
        </is>
      </c>
      <c r="C12" s="145" t="inlineStr">
        <is>
          <t>Dining Room</t>
        </is>
      </c>
      <c r="D12" s="82" t="n"/>
      <c r="E12" s="145" t="inlineStr">
        <is>
          <t>Japandi</t>
        </is>
      </c>
      <c r="F12" s="145" t="inlineStr">
        <is>
          <t>Lighting</t>
        </is>
      </c>
      <c r="G12" s="145" t="inlineStr">
        <is>
          <t>Furniture</t>
        </is>
      </c>
      <c r="H12" s="82" t="n"/>
      <c r="I12" s="82" t="n"/>
      <c r="J12" s="145" t="inlineStr">
        <is>
          <t>Painting</t>
        </is>
      </c>
      <c r="K12" s="82" t="n"/>
      <c r="L12" s="82" t="n"/>
      <c r="M12" s="145" t="inlineStr">
        <is>
          <t>Returned</t>
        </is>
      </c>
      <c r="N12" s="145" t="inlineStr">
        <is>
          <t>Warranty</t>
        </is>
      </c>
      <c r="O12" s="145" t="inlineStr">
        <is>
          <t>Inspector</t>
        </is>
      </c>
      <c r="P12" s="82" t="n"/>
      <c r="Q12" s="82" t="n"/>
      <c r="R12" s="82" t="n"/>
      <c r="S12" s="82" t="n"/>
      <c r="T12" s="82" t="n"/>
      <c r="U12" s="82" t="n"/>
      <c r="V12" s="82" t="n"/>
      <c r="W12" s="82" t="n"/>
      <c r="X12" s="82" t="n"/>
      <c r="Y12" s="82" t="n"/>
      <c r="Z12" s="82" t="n"/>
      <c r="AA12" s="82" t="n"/>
      <c r="AB12" s="82" t="n"/>
    </row>
    <row r="13">
      <c r="A13" s="82" t="n"/>
      <c r="B13" s="144" t="inlineStr">
        <is>
          <t>Inspection</t>
        </is>
      </c>
      <c r="C13" s="144" t="inlineStr">
        <is>
          <t>Office</t>
        </is>
      </c>
      <c r="D13" s="82" t="n"/>
      <c r="E13" s="144" t="inlineStr">
        <is>
          <t>Mediterranean</t>
        </is>
      </c>
      <c r="F13" s="144" t="inlineStr">
        <is>
          <t>Cabinetry</t>
        </is>
      </c>
      <c r="G13" s="144" t="inlineStr">
        <is>
          <t>Inspections</t>
        </is>
      </c>
      <c r="H13" s="82" t="n"/>
      <c r="I13" s="82" t="n"/>
      <c r="J13" s="144" t="inlineStr">
        <is>
          <t>Flooring</t>
        </is>
      </c>
      <c r="K13" s="82" t="n"/>
      <c r="L13" s="82" t="n"/>
      <c r="M13" s="144" t="inlineStr">
        <is>
          <t>Backordered</t>
        </is>
      </c>
      <c r="N13" s="144" t="inlineStr">
        <is>
          <t>Inspection Report</t>
        </is>
      </c>
      <c r="O13" s="144" t="inlineStr">
        <is>
          <t>Accountant</t>
        </is>
      </c>
      <c r="P13" s="82" t="n"/>
      <c r="Q13" s="82" t="n"/>
      <c r="R13" s="82" t="n"/>
      <c r="S13" s="82" t="n"/>
      <c r="T13" s="82" t="n"/>
      <c r="U13" s="82" t="n"/>
      <c r="V13" s="82" t="n"/>
      <c r="W13" s="82" t="n"/>
      <c r="X13" s="82" t="n"/>
      <c r="Y13" s="82" t="n"/>
      <c r="Z13" s="82" t="n"/>
      <c r="AA13" s="82" t="n"/>
      <c r="AB13" s="82" t="n"/>
    </row>
    <row r="14">
      <c r="A14" s="82" t="n"/>
      <c r="B14" s="145" t="inlineStr">
        <is>
          <t>Handover</t>
        </is>
      </c>
      <c r="C14" s="145" t="inlineStr">
        <is>
          <t>Garage</t>
        </is>
      </c>
      <c r="D14" s="82" t="n"/>
      <c r="E14" s="145" t="inlineStr">
        <is>
          <t>Coastal</t>
        </is>
      </c>
      <c r="F14" s="145" t="inlineStr">
        <is>
          <t>Hardware</t>
        </is>
      </c>
      <c r="G14" s="145" t="inlineStr">
        <is>
          <t>Other</t>
        </is>
      </c>
      <c r="H14" s="82" t="n"/>
      <c r="I14" s="82" t="n"/>
      <c r="J14" s="145" t="inlineStr">
        <is>
          <t>Lighting</t>
        </is>
      </c>
      <c r="K14" s="82" t="n"/>
      <c r="L14" s="82" t="n"/>
      <c r="M14" s="82" t="n"/>
      <c r="N14" s="145" t="inlineStr">
        <is>
          <t>Product Manual</t>
        </is>
      </c>
      <c r="O14" s="82" t="n"/>
      <c r="P14" s="82" t="n"/>
      <c r="Q14" s="82" t="n"/>
      <c r="R14" s="82" t="n"/>
      <c r="S14" s="82" t="n"/>
      <c r="T14" s="82" t="n"/>
      <c r="U14" s="82" t="n"/>
      <c r="V14" s="82" t="n"/>
      <c r="W14" s="82" t="n"/>
      <c r="X14" s="82" t="n"/>
      <c r="Y14" s="82" t="n"/>
      <c r="Z14" s="82" t="n"/>
      <c r="AA14" s="82" t="n"/>
      <c r="AB14" s="82" t="n"/>
    </row>
    <row r="15">
      <c r="A15" s="82" t="n"/>
      <c r="B15" s="144" t="inlineStr">
        <is>
          <t>Maintenance</t>
        </is>
      </c>
      <c r="C15" s="144" t="inlineStr">
        <is>
          <t>Exterior</t>
        </is>
      </c>
      <c r="D15" s="82" t="n"/>
      <c r="E15" s="82" t="n"/>
      <c r="F15" s="144" t="inlineStr">
        <is>
          <t>2D Floor Plan</t>
        </is>
      </c>
      <c r="G15" s="82" t="n"/>
      <c r="H15" s="82" t="n"/>
      <c r="I15" s="82" t="n"/>
      <c r="J15" s="144" t="inlineStr">
        <is>
          <t>HVAC</t>
        </is>
      </c>
      <c r="K15" s="82" t="n"/>
      <c r="L15" s="82" t="n"/>
      <c r="M15" s="82" t="n"/>
      <c r="N15" s="144" t="inlineStr">
        <is>
          <t>Photo</t>
        </is>
      </c>
      <c r="O15" s="82" t="n"/>
      <c r="P15" s="82" t="n"/>
      <c r="Q15" s="82" t="n"/>
      <c r="R15" s="82" t="n"/>
      <c r="S15" s="82" t="n"/>
      <c r="T15" s="82" t="n"/>
      <c r="U15" s="82" t="n"/>
      <c r="V15" s="82" t="n"/>
      <c r="W15" s="82" t="n"/>
      <c r="X15" s="82" t="n"/>
      <c r="Y15" s="82" t="n"/>
      <c r="Z15" s="82" t="n"/>
      <c r="AA15" s="82" t="n"/>
      <c r="AB15" s="82" t="n"/>
    </row>
    <row r="16">
      <c r="A16" s="82" t="n"/>
      <c r="B16" s="82" t="n"/>
      <c r="C16" s="145" t="inlineStr">
        <is>
          <t>Garden</t>
        </is>
      </c>
      <c r="D16" s="82" t="n"/>
      <c r="E16" s="82" t="n"/>
      <c r="F16" s="145" t="inlineStr">
        <is>
          <t>3D Visualization</t>
        </is>
      </c>
      <c r="G16" s="82" t="n"/>
      <c r="H16" s="82" t="n"/>
      <c r="I16" s="82" t="n"/>
      <c r="J16" s="145" t="inlineStr">
        <is>
          <t>Carpentry</t>
        </is>
      </c>
      <c r="K16" s="82" t="n"/>
      <c r="L16" s="82" t="n"/>
      <c r="M16" s="82" t="n"/>
      <c r="N16" s="145" t="inlineStr">
        <is>
          <t>Agreement</t>
        </is>
      </c>
      <c r="O16" s="82" t="n"/>
      <c r="P16" s="82" t="n"/>
      <c r="Q16" s="82" t="n"/>
      <c r="R16" s="82" t="n"/>
      <c r="S16" s="82" t="n"/>
      <c r="T16" s="82" t="n"/>
      <c r="U16" s="82" t="n"/>
      <c r="V16" s="82" t="n"/>
      <c r="W16" s="82" t="n"/>
      <c r="X16" s="82" t="n"/>
      <c r="Y16" s="82" t="n"/>
      <c r="Z16" s="82" t="n"/>
      <c r="AA16" s="82" t="n"/>
      <c r="AB16" s="82" t="n"/>
    </row>
    <row r="17">
      <c r="A17" s="82" t="n"/>
      <c r="B17" s="82" t="n"/>
      <c r="C17" s="144" t="inlineStr">
        <is>
          <t>Laundry</t>
        </is>
      </c>
      <c r="D17" s="82" t="n"/>
      <c r="E17" s="82" t="n"/>
      <c r="F17" s="144" t="inlineStr">
        <is>
          <t>AI Concept</t>
        </is>
      </c>
      <c r="G17" s="82" t="n"/>
      <c r="H17" s="82" t="n"/>
      <c r="I17" s="82" t="n"/>
      <c r="J17" s="144" t="inlineStr">
        <is>
          <t>Roofing</t>
        </is>
      </c>
      <c r="K17" s="82" t="n"/>
      <c r="L17" s="82" t="n"/>
      <c r="M17" s="82" t="n"/>
      <c r="N17" s="144" t="inlineStr">
        <is>
          <t>Change Order</t>
        </is>
      </c>
      <c r="O17" s="82" t="n"/>
      <c r="P17" s="82" t="n"/>
      <c r="Q17" s="82" t="n"/>
      <c r="R17" s="82" t="n"/>
      <c r="S17" s="82" t="n"/>
      <c r="T17" s="82" t="n"/>
      <c r="U17" s="82" t="n"/>
      <c r="V17" s="82" t="n"/>
      <c r="W17" s="82" t="n"/>
      <c r="X17" s="82" t="n"/>
      <c r="Y17" s="82" t="n"/>
      <c r="Z17" s="82" t="n"/>
      <c r="AA17" s="82" t="n"/>
      <c r="AB17" s="82" t="n"/>
    </row>
    <row r="18">
      <c r="A18" s="82" t="n"/>
      <c r="B18" s="82" t="n"/>
      <c r="C18" s="145" t="inlineStr">
        <is>
          <t>Entry / Foyer</t>
        </is>
      </c>
      <c r="D18" s="82" t="n"/>
      <c r="E18" s="82" t="n"/>
      <c r="F18" s="82" t="n"/>
      <c r="G18" s="82" t="n"/>
      <c r="H18" s="82" t="n"/>
      <c r="I18" s="82" t="n"/>
      <c r="J18" s="145" t="inlineStr">
        <is>
          <t>Landscaping</t>
        </is>
      </c>
      <c r="K18" s="82" t="n"/>
      <c r="L18" s="82" t="n"/>
      <c r="M18" s="82" t="n"/>
      <c r="N18" s="145" t="inlineStr">
        <is>
          <t>Quote</t>
        </is>
      </c>
      <c r="O18" s="82" t="n"/>
      <c r="P18" s="82" t="n"/>
      <c r="Q18" s="82" t="n"/>
      <c r="R18" s="82" t="n"/>
      <c r="S18" s="82" t="n"/>
      <c r="T18" s="82" t="n"/>
      <c r="U18" s="82" t="n"/>
      <c r="V18" s="82" t="n"/>
      <c r="W18" s="82" t="n"/>
      <c r="X18" s="82" t="n"/>
      <c r="Y18" s="82" t="n"/>
      <c r="Z18" s="82" t="n"/>
      <c r="AA18" s="82" t="n"/>
      <c r="AB18" s="82" t="n"/>
    </row>
    <row r="19">
      <c r="A19" s="82" t="n"/>
      <c r="B19" s="82" t="n"/>
      <c r="C19" s="144" t="inlineStr">
        <is>
          <t>Hallway</t>
        </is>
      </c>
      <c r="D19" s="82" t="n"/>
      <c r="E19" s="82" t="n"/>
      <c r="F19" s="82" t="n"/>
      <c r="G19" s="82" t="n"/>
      <c r="H19" s="82" t="n"/>
      <c r="I19" s="82" t="n"/>
      <c r="J19" s="144" t="inlineStr">
        <is>
          <t>Windows &amp; Doors</t>
        </is>
      </c>
      <c r="K19" s="82" t="n"/>
      <c r="L19" s="82" t="n"/>
      <c r="M19" s="82" t="n"/>
      <c r="N19" s="82" t="n"/>
      <c r="O19" s="82" t="n"/>
      <c r="P19" s="82" t="n"/>
      <c r="Q19" s="82" t="n"/>
      <c r="R19" s="82" t="n"/>
      <c r="S19" s="82" t="n"/>
      <c r="T19" s="82" t="n"/>
      <c r="U19" s="82" t="n"/>
      <c r="V19" s="82" t="n"/>
      <c r="W19" s="82" t="n"/>
      <c r="X19" s="82" t="n"/>
      <c r="Y19" s="82" t="n"/>
      <c r="Z19" s="82" t="n"/>
      <c r="AA19" s="82" t="n"/>
      <c r="AB19" s="82" t="n"/>
    </row>
    <row r="20">
      <c r="A20" s="82" t="n"/>
      <c r="B20" s="82" t="n"/>
      <c r="C20" s="145" t="inlineStr">
        <is>
          <t>Basement</t>
        </is>
      </c>
      <c r="D20" s="82" t="n"/>
      <c r="E20" s="82" t="n"/>
      <c r="F20" s="82" t="n"/>
      <c r="G20" s="82" t="n"/>
      <c r="H20" s="82" t="n"/>
      <c r="I20" s="82" t="n"/>
      <c r="J20" s="145" t="inlineStr">
        <is>
          <t>Appliance</t>
        </is>
      </c>
      <c r="K20" s="82" t="n"/>
      <c r="L20" s="82" t="n"/>
      <c r="M20" s="82" t="n"/>
      <c r="N20" s="82" t="n"/>
      <c r="O20" s="82" t="n"/>
      <c r="P20" s="82" t="n"/>
      <c r="Q20" s="82" t="n"/>
      <c r="R20" s="82" t="n"/>
      <c r="S20" s="82" t="n"/>
      <c r="T20" s="82" t="n"/>
      <c r="U20" s="82" t="n"/>
      <c r="V20" s="82" t="n"/>
      <c r="W20" s="82" t="n"/>
      <c r="X20" s="82" t="n"/>
      <c r="Y20" s="82" t="n"/>
      <c r="Z20" s="82" t="n"/>
      <c r="AA20" s="82" t="n"/>
      <c r="AB20" s="82" t="n"/>
    </row>
    <row r="21">
      <c r="A21" s="82" t="n"/>
      <c r="B21" s="82" t="n"/>
      <c r="C21" s="144" t="inlineStr">
        <is>
          <t>Attic</t>
        </is>
      </c>
      <c r="D21" s="82" t="n"/>
      <c r="E21" s="82" t="n"/>
      <c r="F21" s="82" t="n"/>
      <c r="G21" s="82" t="n"/>
      <c r="H21" s="82" t="n"/>
      <c r="I21" s="82" t="n"/>
      <c r="J21" s="144" t="inlineStr">
        <is>
          <t>Inspection</t>
        </is>
      </c>
      <c r="K21" s="82" t="n"/>
      <c r="L21" s="82" t="n"/>
      <c r="M21" s="82" t="n"/>
      <c r="N21" s="82" t="n"/>
      <c r="O21" s="82" t="n"/>
      <c r="P21" s="82" t="n"/>
      <c r="Q21" s="82" t="n"/>
      <c r="R21" s="82" t="n"/>
      <c r="S21" s="82" t="n"/>
      <c r="T21" s="82" t="n"/>
      <c r="U21" s="82" t="n"/>
      <c r="V21" s="82" t="n"/>
      <c r="W21" s="82" t="n"/>
      <c r="X21" s="82" t="n"/>
      <c r="Y21" s="82" t="n"/>
      <c r="Z21" s="82" t="n"/>
      <c r="AA21" s="82" t="n"/>
      <c r="AB21" s="82" t="n"/>
    </row>
    <row r="22">
      <c r="A22" s="82" t="n"/>
      <c r="B22" s="82" t="n"/>
      <c r="C22" s="145" t="inlineStr">
        <is>
          <t>Custom</t>
        </is>
      </c>
      <c r="D22" s="82" t="n"/>
      <c r="E22" s="82" t="n"/>
      <c r="F22" s="82" t="n"/>
      <c r="G22" s="82" t="n"/>
      <c r="H22" s="82" t="n"/>
      <c r="I22" s="82" t="n"/>
      <c r="J22" s="82" t="n"/>
      <c r="K22" s="82" t="n"/>
      <c r="L22" s="82" t="n"/>
      <c r="M22" s="82" t="n"/>
      <c r="N22" s="82" t="n"/>
      <c r="O22" s="82" t="n"/>
      <c r="P22" s="82" t="n"/>
      <c r="Q22" s="82" t="n"/>
      <c r="R22" s="82" t="n"/>
      <c r="S22" s="82" t="n"/>
      <c r="T22" s="82" t="n"/>
      <c r="U22" s="82" t="n"/>
      <c r="V22" s="82" t="n"/>
      <c r="W22" s="82" t="n"/>
      <c r="X22" s="82" t="n"/>
      <c r="Y22" s="82" t="n"/>
      <c r="Z22" s="82" t="n"/>
      <c r="AA22" s="82" t="n"/>
      <c r="AB22" s="82" t="n"/>
    </row>
    <row r="23">
      <c r="A23" s="82" t="n"/>
      <c r="B23" s="82" t="n"/>
      <c r="C23" s="82" t="n"/>
      <c r="D23" s="82" t="n"/>
      <c r="E23" s="82" t="n"/>
      <c r="F23" s="82" t="n"/>
      <c r="G23" s="82" t="n"/>
      <c r="H23" s="82" t="n"/>
      <c r="I23" s="82" t="n"/>
      <c r="J23" s="82" t="n"/>
      <c r="K23" s="82" t="n"/>
      <c r="L23" s="82" t="n"/>
      <c r="M23" s="82" t="n"/>
      <c r="N23" s="82" t="n"/>
      <c r="O23" s="82" t="n"/>
      <c r="P23" s="82" t="n"/>
      <c r="Q23" s="82" t="n"/>
      <c r="R23" s="82" t="n"/>
      <c r="S23" s="82" t="n"/>
      <c r="T23" s="82" t="n"/>
      <c r="U23" s="82" t="n"/>
      <c r="V23" s="82" t="n"/>
      <c r="W23" s="82" t="n"/>
      <c r="X23" s="82" t="n"/>
      <c r="Y23" s="82" t="n"/>
      <c r="Z23" s="82" t="n"/>
      <c r="AA23" s="82" t="n"/>
      <c r="AB23" s="82" t="n"/>
    </row>
    <row r="24">
      <c r="A24" s="82" t="n"/>
      <c r="B24" s="82" t="n"/>
      <c r="C24" s="82" t="n"/>
      <c r="D24" s="82" t="n"/>
      <c r="E24" s="82" t="n"/>
      <c r="F24" s="82" t="n"/>
      <c r="G24" s="82" t="n"/>
      <c r="H24" s="82" t="n"/>
      <c r="I24" s="82" t="n"/>
      <c r="J24" s="82" t="n"/>
      <c r="K24" s="82" t="n"/>
      <c r="L24" s="82" t="n"/>
      <c r="M24" s="82" t="n"/>
      <c r="N24" s="82" t="n"/>
      <c r="O24" s="82" t="n"/>
      <c r="P24" s="82" t="n"/>
      <c r="Q24" s="82" t="n"/>
      <c r="R24" s="82" t="n"/>
      <c r="S24" s="82" t="n"/>
      <c r="T24" s="82" t="n"/>
      <c r="U24" s="82" t="n"/>
      <c r="V24" s="82" t="n"/>
      <c r="W24" s="82" t="n"/>
      <c r="X24" s="82" t="n"/>
      <c r="Y24" s="82" t="n"/>
      <c r="Z24" s="82" t="n"/>
      <c r="AA24" s="82" t="n"/>
      <c r="AB24" s="82" t="n"/>
    </row>
    <row r="25">
      <c r="A25" s="82" t="n"/>
      <c r="B25" s="82" t="n"/>
      <c r="C25" s="82" t="n"/>
      <c r="D25" s="82" t="n"/>
      <c r="E25" s="82" t="n"/>
      <c r="F25" s="82" t="n"/>
      <c r="G25" s="82" t="n"/>
      <c r="H25" s="82" t="n"/>
      <c r="I25" s="82" t="n"/>
      <c r="J25" s="82" t="n"/>
      <c r="K25" s="82" t="n"/>
      <c r="L25" s="82" t="n"/>
      <c r="M25" s="82" t="n"/>
      <c r="N25" s="82" t="n"/>
      <c r="O25" s="82" t="n"/>
      <c r="P25" s="82" t="n"/>
      <c r="Q25" s="82" t="n"/>
      <c r="R25" s="82" t="n"/>
      <c r="S25" s="82" t="n"/>
      <c r="T25" s="82" t="n"/>
      <c r="U25" s="82" t="n"/>
      <c r="V25" s="82" t="n"/>
      <c r="W25" s="82" t="n"/>
      <c r="X25" s="82" t="n"/>
      <c r="Y25" s="82" t="n"/>
      <c r="Z25" s="82" t="n"/>
      <c r="AA25" s="82" t="n"/>
      <c r="AB25" s="82" t="n"/>
    </row>
    <row r="26">
      <c r="A26" s="82" t="n"/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  <c r="L26" s="82" t="n"/>
      <c r="M26" s="82" t="n"/>
      <c r="N26" s="82" t="n"/>
      <c r="O26" s="82" t="n"/>
      <c r="P26" s="82" t="n"/>
      <c r="Q26" s="82" t="n"/>
      <c r="R26" s="82" t="n"/>
      <c r="S26" s="82" t="n"/>
      <c r="T26" s="82" t="n"/>
      <c r="U26" s="82" t="n"/>
      <c r="V26" s="82" t="n"/>
      <c r="W26" s="82" t="n"/>
      <c r="X26" s="82" t="n"/>
      <c r="Y26" s="82" t="n"/>
      <c r="Z26" s="82" t="n"/>
      <c r="AA26" s="82" t="n"/>
      <c r="AB26" s="82" t="n"/>
    </row>
    <row r="27">
      <c r="A27" s="82" t="n"/>
      <c r="B27" s="82" t="n"/>
      <c r="C27" s="82" t="n"/>
      <c r="D27" s="82" t="n"/>
      <c r="E27" s="82" t="n"/>
      <c r="F27" s="82" t="n"/>
      <c r="G27" s="82" t="n"/>
      <c r="H27" s="82" t="n"/>
      <c r="I27" s="82" t="n"/>
      <c r="J27" s="82" t="n"/>
      <c r="K27" s="82" t="n"/>
      <c r="L27" s="82" t="n"/>
      <c r="M27" s="82" t="n"/>
      <c r="N27" s="82" t="n"/>
      <c r="O27" s="82" t="n"/>
      <c r="P27" s="82" t="n"/>
      <c r="Q27" s="82" t="n"/>
      <c r="R27" s="82" t="n"/>
      <c r="S27" s="82" t="n"/>
      <c r="T27" s="82" t="n"/>
      <c r="U27" s="82" t="n"/>
      <c r="V27" s="82" t="n"/>
      <c r="W27" s="82" t="n"/>
      <c r="X27" s="82" t="n"/>
      <c r="Y27" s="82" t="n"/>
      <c r="Z27" s="82" t="n"/>
      <c r="AA27" s="82" t="n"/>
      <c r="AB27" s="82" t="n"/>
    </row>
    <row r="28">
      <c r="A28" s="82" t="n"/>
      <c r="B28" s="82" t="n"/>
      <c r="C28" s="82" t="n"/>
      <c r="D28" s="82" t="n"/>
      <c r="E28" s="82" t="n"/>
      <c r="F28" s="82" t="n"/>
      <c r="G28" s="82" t="n"/>
      <c r="H28" s="82" t="n"/>
      <c r="I28" s="82" t="n"/>
      <c r="J28" s="82" t="n"/>
      <c r="K28" s="82" t="n"/>
      <c r="L28" s="82" t="n"/>
      <c r="M28" s="82" t="n"/>
      <c r="N28" s="82" t="n"/>
      <c r="O28" s="82" t="n"/>
      <c r="P28" s="82" t="n"/>
      <c r="Q28" s="82" t="n"/>
      <c r="R28" s="82" t="n"/>
      <c r="S28" s="82" t="n"/>
      <c r="T28" s="82" t="n"/>
      <c r="U28" s="82" t="n"/>
      <c r="V28" s="82" t="n"/>
      <c r="W28" s="82" t="n"/>
      <c r="X28" s="82" t="n"/>
      <c r="Y28" s="82" t="n"/>
      <c r="Z28" s="82" t="n"/>
      <c r="AA28" s="82" t="n"/>
      <c r="AB28" s="82" t="n"/>
    </row>
    <row r="29">
      <c r="A29" s="82" t="n"/>
      <c r="B29" s="82" t="n"/>
      <c r="C29" s="82" t="n"/>
      <c r="D29" s="82" t="n"/>
      <c r="E29" s="82" t="n"/>
      <c r="F29" s="82" t="n"/>
      <c r="G29" s="82" t="n"/>
      <c r="H29" s="82" t="n"/>
      <c r="I29" s="82" t="n"/>
      <c r="J29" s="82" t="n"/>
      <c r="K29" s="82" t="n"/>
      <c r="L29" s="82" t="n"/>
      <c r="M29" s="82" t="n"/>
      <c r="N29" s="82" t="n"/>
      <c r="O29" s="82" t="n"/>
      <c r="P29" s="82" t="n"/>
      <c r="Q29" s="82" t="n"/>
      <c r="R29" s="82" t="n"/>
      <c r="S29" s="82" t="n"/>
      <c r="T29" s="82" t="n"/>
      <c r="U29" s="82" t="n"/>
      <c r="V29" s="82" t="n"/>
      <c r="W29" s="82" t="n"/>
      <c r="X29" s="82" t="n"/>
      <c r="Y29" s="82" t="n"/>
      <c r="Z29" s="82" t="n"/>
      <c r="AA29" s="82" t="n"/>
      <c r="AB29" s="82" t="n"/>
    </row>
    <row r="30">
      <c r="A30" s="82" t="n"/>
      <c r="B30" s="82" t="n"/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  <c r="M30" s="82" t="n"/>
      <c r="N30" s="82" t="n"/>
      <c r="O30" s="82" t="n"/>
      <c r="P30" s="82" t="n"/>
      <c r="Q30" s="82" t="n"/>
      <c r="R30" s="82" t="n"/>
      <c r="S30" s="82" t="n"/>
      <c r="T30" s="82" t="n"/>
      <c r="U30" s="82" t="n"/>
      <c r="V30" s="82" t="n"/>
      <c r="W30" s="82" t="n"/>
      <c r="X30" s="82" t="n"/>
      <c r="Y30" s="82" t="n"/>
      <c r="Z30" s="82" t="n"/>
      <c r="AA30" s="82" t="n"/>
      <c r="AB30" s="82" t="n"/>
    </row>
    <row r="31">
      <c r="A31" s="82" t="n"/>
      <c r="B31" s="82" t="n"/>
      <c r="C31" s="82" t="n"/>
      <c r="D31" s="82" t="n"/>
      <c r="E31" s="82" t="n"/>
      <c r="F31" s="82" t="n"/>
      <c r="G31" s="82" t="n"/>
      <c r="H31" s="82" t="n"/>
      <c r="I31" s="82" t="n"/>
      <c r="J31" s="82" t="n"/>
      <c r="K31" s="82" t="n"/>
      <c r="L31" s="82" t="n"/>
      <c r="M31" s="82" t="n"/>
      <c r="N31" s="82" t="n"/>
      <c r="O31" s="82" t="n"/>
      <c r="P31" s="82" t="n"/>
      <c r="Q31" s="82" t="n"/>
      <c r="R31" s="82" t="n"/>
      <c r="S31" s="82" t="n"/>
      <c r="T31" s="82" t="n"/>
      <c r="U31" s="82" t="n"/>
      <c r="V31" s="82" t="n"/>
      <c r="W31" s="82" t="n"/>
      <c r="X31" s="82" t="n"/>
      <c r="Y31" s="82" t="n"/>
      <c r="Z31" s="82" t="n"/>
      <c r="AA31" s="82" t="n"/>
      <c r="AB31" s="82" t="n"/>
    </row>
    <row r="32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  <c r="L32" s="82" t="n"/>
      <c r="M32" s="82" t="n"/>
      <c r="N32" s="82" t="n"/>
      <c r="O32" s="82" t="n"/>
      <c r="P32" s="82" t="n"/>
      <c r="Q32" s="82" t="n"/>
      <c r="R32" s="82" t="n"/>
      <c r="S32" s="82" t="n"/>
      <c r="T32" s="82" t="n"/>
      <c r="U32" s="82" t="n"/>
      <c r="V32" s="82" t="n"/>
      <c r="W32" s="82" t="n"/>
      <c r="X32" s="82" t="n"/>
      <c r="Y32" s="82" t="n"/>
      <c r="Z32" s="82" t="n"/>
      <c r="AA32" s="82" t="n"/>
      <c r="AB32" s="82" t="n"/>
    </row>
    <row r="33">
      <c r="A33" s="82" t="n"/>
      <c r="B33" s="82" t="n"/>
      <c r="C33" s="82" t="n"/>
      <c r="D33" s="82" t="n"/>
      <c r="E33" s="82" t="n"/>
      <c r="F33" s="82" t="n"/>
      <c r="G33" s="82" t="n"/>
      <c r="H33" s="82" t="n"/>
      <c r="I33" s="82" t="n"/>
      <c r="J33" s="82" t="n"/>
      <c r="K33" s="82" t="n"/>
      <c r="L33" s="82" t="n"/>
      <c r="M33" s="82" t="n"/>
      <c r="N33" s="82" t="n"/>
      <c r="O33" s="82" t="n"/>
      <c r="P33" s="82" t="n"/>
      <c r="Q33" s="82" t="n"/>
      <c r="R33" s="82" t="n"/>
      <c r="S33" s="82" t="n"/>
      <c r="T33" s="82" t="n"/>
      <c r="U33" s="82" t="n"/>
      <c r="V33" s="82" t="n"/>
      <c r="W33" s="82" t="n"/>
      <c r="X33" s="82" t="n"/>
      <c r="Y33" s="82" t="n"/>
      <c r="Z33" s="82" t="n"/>
      <c r="AA33" s="82" t="n"/>
      <c r="AB33" s="82" t="n"/>
    </row>
    <row r="34">
      <c r="A34" s="82" t="n"/>
      <c r="B34" s="82" t="n"/>
      <c r="C34" s="82" t="n"/>
      <c r="D34" s="82" t="n"/>
      <c r="E34" s="82" t="n"/>
      <c r="F34" s="82" t="n"/>
      <c r="G34" s="82" t="n"/>
      <c r="H34" s="82" t="n"/>
      <c r="I34" s="82" t="n"/>
      <c r="J34" s="82" t="n"/>
      <c r="K34" s="82" t="n"/>
      <c r="L34" s="82" t="n"/>
      <c r="M34" s="82" t="n"/>
      <c r="N34" s="82" t="n"/>
      <c r="O34" s="82" t="n"/>
      <c r="P34" s="82" t="n"/>
      <c r="Q34" s="82" t="n"/>
      <c r="R34" s="82" t="n"/>
      <c r="S34" s="82" t="n"/>
      <c r="T34" s="82" t="n"/>
      <c r="U34" s="82" t="n"/>
      <c r="V34" s="82" t="n"/>
      <c r="W34" s="82" t="n"/>
      <c r="X34" s="82" t="n"/>
      <c r="Y34" s="82" t="n"/>
      <c r="Z34" s="82" t="n"/>
      <c r="AA34" s="82" t="n"/>
      <c r="AB34" s="82" t="n"/>
    </row>
    <row r="35">
      <c r="A35" s="82" t="n"/>
      <c r="B35" s="82" t="n"/>
      <c r="C35" s="82" t="n"/>
      <c r="D35" s="82" t="n"/>
      <c r="E35" s="82" t="n"/>
      <c r="F35" s="82" t="n"/>
      <c r="G35" s="82" t="n"/>
      <c r="H35" s="82" t="n"/>
      <c r="I35" s="82" t="n"/>
      <c r="J35" s="82" t="n"/>
      <c r="K35" s="82" t="n"/>
      <c r="L35" s="82" t="n"/>
      <c r="M35" s="82" t="n"/>
      <c r="N35" s="82" t="n"/>
      <c r="O35" s="82" t="n"/>
      <c r="P35" s="82" t="n"/>
      <c r="Q35" s="82" t="n"/>
      <c r="R35" s="82" t="n"/>
      <c r="S35" s="82" t="n"/>
      <c r="T35" s="82" t="n"/>
      <c r="U35" s="82" t="n"/>
      <c r="V35" s="82" t="n"/>
      <c r="W35" s="82" t="n"/>
      <c r="X35" s="82" t="n"/>
      <c r="Y35" s="82" t="n"/>
      <c r="Z35" s="82" t="n"/>
      <c r="AA35" s="82" t="n"/>
      <c r="AB35" s="82" t="n"/>
    </row>
    <row r="36">
      <c r="A36" s="82" t="n"/>
      <c r="B36" s="82" t="n"/>
      <c r="C36" s="82" t="n"/>
      <c r="D36" s="82" t="n"/>
      <c r="E36" s="82" t="n"/>
      <c r="F36" s="82" t="n"/>
      <c r="G36" s="82" t="n"/>
      <c r="H36" s="82" t="n"/>
      <c r="I36" s="82" t="n"/>
      <c r="J36" s="82" t="n"/>
      <c r="K36" s="82" t="n"/>
      <c r="L36" s="82" t="n"/>
      <c r="M36" s="82" t="n"/>
      <c r="N36" s="82" t="n"/>
      <c r="O36" s="82" t="n"/>
      <c r="P36" s="82" t="n"/>
      <c r="Q36" s="82" t="n"/>
      <c r="R36" s="82" t="n"/>
      <c r="S36" s="82" t="n"/>
      <c r="T36" s="82" t="n"/>
      <c r="U36" s="82" t="n"/>
      <c r="V36" s="82" t="n"/>
      <c r="W36" s="82" t="n"/>
      <c r="X36" s="82" t="n"/>
      <c r="Y36" s="82" t="n"/>
      <c r="Z36" s="82" t="n"/>
      <c r="AA36" s="82" t="n"/>
      <c r="AB36" s="82" t="n"/>
    </row>
    <row r="37">
      <c r="A37" s="82" t="n"/>
      <c r="B37" s="82" t="n"/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  <c r="L37" s="82" t="n"/>
      <c r="M37" s="82" t="n"/>
      <c r="N37" s="82" t="n"/>
      <c r="O37" s="82" t="n"/>
      <c r="P37" s="82" t="n"/>
      <c r="Q37" s="82" t="n"/>
      <c r="R37" s="82" t="n"/>
      <c r="S37" s="82" t="n"/>
      <c r="T37" s="82" t="n"/>
      <c r="U37" s="82" t="n"/>
      <c r="V37" s="82" t="n"/>
      <c r="W37" s="82" t="n"/>
      <c r="X37" s="82" t="n"/>
      <c r="Y37" s="82" t="n"/>
      <c r="Z37" s="82" t="n"/>
      <c r="AA37" s="82" t="n"/>
      <c r="AB37" s="82" t="n"/>
    </row>
    <row r="38">
      <c r="A38" s="82" t="n"/>
      <c r="B38" s="82" t="n"/>
      <c r="C38" s="82" t="n"/>
      <c r="D38" s="82" t="n"/>
      <c r="E38" s="82" t="n"/>
      <c r="F38" s="82" t="n"/>
      <c r="G38" s="82" t="n"/>
      <c r="H38" s="82" t="n"/>
      <c r="I38" s="82" t="n"/>
      <c r="J38" s="82" t="n"/>
      <c r="K38" s="82" t="n"/>
      <c r="L38" s="82" t="n"/>
      <c r="M38" s="82" t="n"/>
      <c r="N38" s="82" t="n"/>
      <c r="O38" s="82" t="n"/>
      <c r="P38" s="82" t="n"/>
      <c r="Q38" s="82" t="n"/>
      <c r="R38" s="82" t="n"/>
      <c r="S38" s="82" t="n"/>
      <c r="T38" s="82" t="n"/>
      <c r="U38" s="82" t="n"/>
      <c r="V38" s="82" t="n"/>
      <c r="W38" s="82" t="n"/>
      <c r="X38" s="82" t="n"/>
      <c r="Y38" s="82" t="n"/>
      <c r="Z38" s="82" t="n"/>
      <c r="AA38" s="82" t="n"/>
      <c r="AB38" s="82" t="n"/>
    </row>
    <row r="39">
      <c r="A39" s="82" t="n"/>
      <c r="B39" s="82" t="n"/>
      <c r="C39" s="82" t="n"/>
      <c r="D39" s="82" t="n"/>
      <c r="E39" s="82" t="n"/>
      <c r="F39" s="82" t="n"/>
      <c r="G39" s="82" t="n"/>
      <c r="H39" s="82" t="n"/>
      <c r="I39" s="82" t="n"/>
      <c r="J39" s="82" t="n"/>
      <c r="K39" s="82" t="n"/>
      <c r="L39" s="82" t="n"/>
      <c r="M39" s="82" t="n"/>
      <c r="N39" s="82" t="n"/>
      <c r="O39" s="82" t="n"/>
      <c r="P39" s="82" t="n"/>
      <c r="Q39" s="82" t="n"/>
      <c r="R39" s="82" t="n"/>
      <c r="S39" s="82" t="n"/>
      <c r="T39" s="82" t="n"/>
      <c r="U39" s="82" t="n"/>
      <c r="V39" s="82" t="n"/>
      <c r="W39" s="82" t="n"/>
      <c r="X39" s="82" t="n"/>
      <c r="Y39" s="82" t="n"/>
      <c r="Z39" s="82" t="n"/>
      <c r="AA39" s="82" t="n"/>
      <c r="AB39" s="82" t="n"/>
    </row>
    <row r="40">
      <c r="A40" s="82" t="n"/>
      <c r="B40" s="82" t="n"/>
      <c r="C40" s="82" t="n"/>
      <c r="D40" s="82" t="n"/>
      <c r="E40" s="82" t="n"/>
      <c r="F40" s="82" t="n"/>
      <c r="G40" s="82" t="n"/>
      <c r="H40" s="82" t="n"/>
      <c r="I40" s="82" t="n"/>
      <c r="J40" s="82" t="n"/>
      <c r="K40" s="82" t="n"/>
      <c r="L40" s="82" t="n"/>
      <c r="M40" s="82" t="n"/>
      <c r="N40" s="82" t="n"/>
      <c r="O40" s="82" t="n"/>
      <c r="P40" s="82" t="n"/>
      <c r="Q40" s="82" t="n"/>
      <c r="R40" s="82" t="n"/>
      <c r="S40" s="82" t="n"/>
      <c r="T40" s="82" t="n"/>
      <c r="U40" s="82" t="n"/>
      <c r="V40" s="82" t="n"/>
      <c r="W40" s="82" t="n"/>
      <c r="X40" s="82" t="n"/>
      <c r="Y40" s="82" t="n"/>
      <c r="Z40" s="82" t="n"/>
      <c r="AA40" s="82" t="n"/>
      <c r="AB40" s="82" t="n"/>
    </row>
    <row r="41">
      <c r="A41" s="82" t="n"/>
      <c r="B41" s="82" t="n"/>
      <c r="C41" s="82" t="n"/>
      <c r="D41" s="82" t="n"/>
      <c r="E41" s="82" t="n"/>
      <c r="F41" s="82" t="n"/>
      <c r="G41" s="82" t="n"/>
      <c r="H41" s="82" t="n"/>
      <c r="I41" s="82" t="n"/>
      <c r="J41" s="82" t="n"/>
      <c r="K41" s="82" t="n"/>
      <c r="L41" s="82" t="n"/>
      <c r="M41" s="82" t="n"/>
      <c r="N41" s="82" t="n"/>
      <c r="O41" s="82" t="n"/>
      <c r="P41" s="82" t="n"/>
      <c r="Q41" s="82" t="n"/>
      <c r="R41" s="82" t="n"/>
      <c r="S41" s="82" t="n"/>
      <c r="T41" s="82" t="n"/>
      <c r="U41" s="82" t="n"/>
      <c r="V41" s="82" t="n"/>
      <c r="W41" s="82" t="n"/>
      <c r="X41" s="82" t="n"/>
      <c r="Y41" s="82" t="n"/>
      <c r="Z41" s="82" t="n"/>
      <c r="AA41" s="82" t="n"/>
      <c r="AB41" s="82" t="n"/>
    </row>
    <row r="42">
      <c r="A42" s="82" t="n"/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  <c r="L42" s="82" t="n"/>
      <c r="M42" s="82" t="n"/>
      <c r="N42" s="82" t="n"/>
      <c r="O42" s="82" t="n"/>
      <c r="P42" s="82" t="n"/>
      <c r="Q42" s="82" t="n"/>
      <c r="R42" s="82" t="n"/>
      <c r="S42" s="82" t="n"/>
      <c r="T42" s="82" t="n"/>
      <c r="U42" s="82" t="n"/>
      <c r="V42" s="82" t="n"/>
      <c r="W42" s="82" t="n"/>
      <c r="X42" s="82" t="n"/>
      <c r="Y42" s="82" t="n"/>
      <c r="Z42" s="82" t="n"/>
      <c r="AA42" s="82" t="n"/>
      <c r="AB42" s="82" t="n"/>
    </row>
    <row r="43">
      <c r="A43" s="82" t="n"/>
      <c r="B43" s="82" t="n"/>
      <c r="C43" s="82" t="n"/>
      <c r="D43" s="82" t="n"/>
      <c r="E43" s="82" t="n"/>
      <c r="F43" s="82" t="n"/>
      <c r="G43" s="82" t="n"/>
      <c r="H43" s="82" t="n"/>
      <c r="I43" s="82" t="n"/>
      <c r="J43" s="82" t="n"/>
      <c r="K43" s="82" t="n"/>
      <c r="L43" s="82" t="n"/>
      <c r="M43" s="82" t="n"/>
      <c r="N43" s="82" t="n"/>
      <c r="O43" s="82" t="n"/>
      <c r="P43" s="82" t="n"/>
      <c r="Q43" s="82" t="n"/>
      <c r="R43" s="82" t="n"/>
      <c r="S43" s="82" t="n"/>
      <c r="T43" s="82" t="n"/>
      <c r="U43" s="82" t="n"/>
      <c r="V43" s="82" t="n"/>
      <c r="W43" s="82" t="n"/>
      <c r="X43" s="82" t="n"/>
      <c r="Y43" s="82" t="n"/>
      <c r="Z43" s="82" t="n"/>
      <c r="AA43" s="82" t="n"/>
      <c r="AB43" s="82" t="n"/>
    </row>
    <row r="44">
      <c r="A44" s="82" t="n"/>
      <c r="B44" s="82" t="n"/>
      <c r="C44" s="82" t="n"/>
      <c r="D44" s="82" t="n"/>
      <c r="E44" s="82" t="n"/>
      <c r="F44" s="82" t="n"/>
      <c r="G44" s="82" t="n"/>
      <c r="H44" s="82" t="n"/>
      <c r="I44" s="82" t="n"/>
      <c r="J44" s="82" t="n"/>
      <c r="K44" s="82" t="n"/>
      <c r="L44" s="82" t="n"/>
      <c r="M44" s="82" t="n"/>
      <c r="N44" s="82" t="n"/>
      <c r="O44" s="82" t="n"/>
      <c r="P44" s="82" t="n"/>
      <c r="Q44" s="82" t="n"/>
      <c r="R44" s="82" t="n"/>
      <c r="S44" s="82" t="n"/>
      <c r="T44" s="82" t="n"/>
      <c r="U44" s="82" t="n"/>
      <c r="V44" s="82" t="n"/>
      <c r="W44" s="82" t="n"/>
      <c r="X44" s="82" t="n"/>
      <c r="Y44" s="82" t="n"/>
      <c r="Z44" s="82" t="n"/>
      <c r="AA44" s="82" t="n"/>
      <c r="AB44" s="82" t="n"/>
    </row>
    <row r="45">
      <c r="A45" s="82" t="n"/>
      <c r="B45" s="82" t="n"/>
      <c r="C45" s="82" t="n"/>
      <c r="D45" s="82" t="n"/>
      <c r="E45" s="82" t="n"/>
      <c r="F45" s="82" t="n"/>
      <c r="G45" s="82" t="n"/>
      <c r="H45" s="82" t="n"/>
      <c r="I45" s="82" t="n"/>
      <c r="J45" s="82" t="n"/>
      <c r="K45" s="82" t="n"/>
      <c r="L45" s="82" t="n"/>
      <c r="M45" s="82" t="n"/>
      <c r="N45" s="82" t="n"/>
      <c r="O45" s="82" t="n"/>
      <c r="P45" s="82" t="n"/>
      <c r="Q45" s="82" t="n"/>
      <c r="R45" s="82" t="n"/>
      <c r="S45" s="82" t="n"/>
      <c r="T45" s="82" t="n"/>
      <c r="U45" s="82" t="n"/>
      <c r="V45" s="82" t="n"/>
      <c r="W45" s="82" t="n"/>
      <c r="X45" s="82" t="n"/>
      <c r="Y45" s="82" t="n"/>
      <c r="Z45" s="82" t="n"/>
      <c r="AA45" s="82" t="n"/>
      <c r="AB45" s="82" t="n"/>
    </row>
    <row r="46">
      <c r="A46" s="82" t="n"/>
      <c r="B46" s="82" t="n"/>
      <c r="C46" s="82" t="n"/>
      <c r="D46" s="82" t="n"/>
      <c r="E46" s="82" t="n"/>
      <c r="F46" s="82" t="n"/>
      <c r="G46" s="82" t="n"/>
      <c r="H46" s="82" t="n"/>
      <c r="I46" s="82" t="n"/>
      <c r="J46" s="82" t="n"/>
      <c r="K46" s="82" t="n"/>
      <c r="L46" s="82" t="n"/>
      <c r="M46" s="82" t="n"/>
      <c r="N46" s="82" t="n"/>
      <c r="O46" s="82" t="n"/>
      <c r="P46" s="82" t="n"/>
      <c r="Q46" s="82" t="n"/>
      <c r="R46" s="82" t="n"/>
      <c r="S46" s="82" t="n"/>
      <c r="T46" s="82" t="n"/>
      <c r="U46" s="82" t="n"/>
      <c r="V46" s="82" t="n"/>
      <c r="W46" s="82" t="n"/>
      <c r="X46" s="82" t="n"/>
      <c r="Y46" s="82" t="n"/>
      <c r="Z46" s="82" t="n"/>
      <c r="AA46" s="82" t="n"/>
      <c r="AB46" s="82" t="n"/>
    </row>
    <row r="47">
      <c r="A47" s="82" t="n"/>
      <c r="B47" s="82" t="n"/>
      <c r="C47" s="82" t="n"/>
      <c r="D47" s="82" t="n"/>
      <c r="E47" s="82" t="n"/>
      <c r="F47" s="82" t="n"/>
      <c r="G47" s="82" t="n"/>
      <c r="H47" s="82" t="n"/>
      <c r="I47" s="82" t="n"/>
      <c r="J47" s="82" t="n"/>
      <c r="K47" s="82" t="n"/>
      <c r="L47" s="82" t="n"/>
      <c r="M47" s="82" t="n"/>
      <c r="N47" s="82" t="n"/>
      <c r="O47" s="82" t="n"/>
      <c r="P47" s="82" t="n"/>
      <c r="Q47" s="82" t="n"/>
      <c r="R47" s="82" t="n"/>
      <c r="S47" s="82" t="n"/>
      <c r="T47" s="82" t="n"/>
      <c r="U47" s="82" t="n"/>
      <c r="V47" s="82" t="n"/>
      <c r="W47" s="82" t="n"/>
      <c r="X47" s="82" t="n"/>
      <c r="Y47" s="82" t="n"/>
      <c r="Z47" s="82" t="n"/>
      <c r="AA47" s="82" t="n"/>
      <c r="AB47" s="82" t="n"/>
    </row>
    <row r="48">
      <c r="A48" s="82" t="n"/>
      <c r="B48" s="82" t="n"/>
      <c r="C48" s="82" t="n"/>
      <c r="D48" s="82" t="n"/>
      <c r="E48" s="82" t="n"/>
      <c r="F48" s="82" t="n"/>
      <c r="G48" s="82" t="n"/>
      <c r="H48" s="82" t="n"/>
      <c r="I48" s="82" t="n"/>
      <c r="J48" s="82" t="n"/>
      <c r="K48" s="82" t="n"/>
      <c r="L48" s="82" t="n"/>
      <c r="M48" s="82" t="n"/>
      <c r="N48" s="82" t="n"/>
      <c r="O48" s="82" t="n"/>
      <c r="P48" s="82" t="n"/>
      <c r="Q48" s="82" t="n"/>
      <c r="R48" s="82" t="n"/>
      <c r="S48" s="82" t="n"/>
      <c r="T48" s="82" t="n"/>
      <c r="U48" s="82" t="n"/>
      <c r="V48" s="82" t="n"/>
      <c r="W48" s="82" t="n"/>
      <c r="X48" s="82" t="n"/>
      <c r="Y48" s="82" t="n"/>
      <c r="Z48" s="82" t="n"/>
      <c r="AA48" s="82" t="n"/>
      <c r="AB48" s="82" t="n"/>
    </row>
    <row r="49">
      <c r="A49" s="82" t="n"/>
      <c r="B49" s="82" t="n"/>
      <c r="C49" s="82" t="n"/>
      <c r="D49" s="82" t="n"/>
      <c r="E49" s="82" t="n"/>
      <c r="F49" s="82" t="n"/>
      <c r="G49" s="82" t="n"/>
      <c r="H49" s="82" t="n"/>
      <c r="I49" s="82" t="n"/>
      <c r="J49" s="82" t="n"/>
      <c r="K49" s="82" t="n"/>
      <c r="L49" s="82" t="n"/>
      <c r="M49" s="82" t="n"/>
      <c r="N49" s="82" t="n"/>
      <c r="O49" s="82" t="n"/>
      <c r="P49" s="82" t="n"/>
      <c r="Q49" s="82" t="n"/>
      <c r="R49" s="82" t="n"/>
      <c r="S49" s="82" t="n"/>
      <c r="T49" s="82" t="n"/>
      <c r="U49" s="82" t="n"/>
      <c r="V49" s="82" t="n"/>
      <c r="W49" s="82" t="n"/>
      <c r="X49" s="82" t="n"/>
      <c r="Y49" s="82" t="n"/>
      <c r="Z49" s="82" t="n"/>
      <c r="AA49" s="82" t="n"/>
      <c r="AB49" s="82" t="n"/>
    </row>
    <row r="50">
      <c r="A50" s="82" t="n"/>
      <c r="B50" s="82" t="n"/>
      <c r="C50" s="82" t="n"/>
      <c r="D50" s="82" t="n"/>
      <c r="E50" s="82" t="n"/>
      <c r="F50" s="82" t="n"/>
      <c r="G50" s="82" t="n"/>
      <c r="H50" s="82" t="n"/>
      <c r="I50" s="82" t="n"/>
      <c r="J50" s="82" t="n"/>
      <c r="K50" s="82" t="n"/>
      <c r="L50" s="82" t="n"/>
      <c r="M50" s="82" t="n"/>
      <c r="N50" s="82" t="n"/>
      <c r="O50" s="82" t="n"/>
      <c r="P50" s="82" t="n"/>
      <c r="Q50" s="82" t="n"/>
      <c r="R50" s="82" t="n"/>
      <c r="S50" s="82" t="n"/>
      <c r="T50" s="82" t="n"/>
      <c r="U50" s="82" t="n"/>
      <c r="V50" s="82" t="n"/>
      <c r="W50" s="82" t="n"/>
      <c r="X50" s="82" t="n"/>
      <c r="Y50" s="82" t="n"/>
      <c r="Z50" s="82" t="n"/>
      <c r="AA50" s="82" t="n"/>
      <c r="AB50" s="82" t="n"/>
    </row>
    <row r="51">
      <c r="A51" s="82" t="n"/>
      <c r="B51" s="82" t="n"/>
      <c r="C51" s="82" t="n"/>
      <c r="D51" s="82" t="n"/>
      <c r="E51" s="82" t="n"/>
      <c r="F51" s="82" t="n"/>
      <c r="G51" s="82" t="n"/>
      <c r="H51" s="82" t="n"/>
      <c r="I51" s="82" t="n"/>
      <c r="J51" s="82" t="n"/>
      <c r="K51" s="82" t="n"/>
      <c r="L51" s="82" t="n"/>
      <c r="M51" s="82" t="n"/>
      <c r="N51" s="82" t="n"/>
      <c r="O51" s="82" t="n"/>
      <c r="P51" s="82" t="n"/>
      <c r="Q51" s="82" t="n"/>
      <c r="R51" s="82" t="n"/>
      <c r="S51" s="82" t="n"/>
      <c r="T51" s="82" t="n"/>
      <c r="U51" s="82" t="n"/>
      <c r="V51" s="82" t="n"/>
      <c r="W51" s="82" t="n"/>
      <c r="X51" s="82" t="n"/>
      <c r="Y51" s="82" t="n"/>
      <c r="Z51" s="82" t="n"/>
      <c r="AA51" s="82" t="n"/>
      <c r="AB51" s="82" t="n"/>
    </row>
    <row r="52">
      <c r="A52" s="82" t="n"/>
      <c r="B52" s="82" t="n"/>
      <c r="C52" s="82" t="n"/>
      <c r="D52" s="82" t="n"/>
      <c r="E52" s="82" t="n"/>
      <c r="F52" s="82" t="n"/>
      <c r="G52" s="82" t="n"/>
      <c r="H52" s="82" t="n"/>
      <c r="I52" s="82" t="n"/>
      <c r="J52" s="82" t="n"/>
      <c r="K52" s="82" t="n"/>
      <c r="L52" s="82" t="n"/>
      <c r="M52" s="82" t="n"/>
      <c r="N52" s="82" t="n"/>
      <c r="O52" s="82" t="n"/>
      <c r="P52" s="82" t="n"/>
      <c r="Q52" s="82" t="n"/>
      <c r="R52" s="82" t="n"/>
      <c r="S52" s="82" t="n"/>
      <c r="T52" s="82" t="n"/>
      <c r="U52" s="82" t="n"/>
      <c r="V52" s="82" t="n"/>
      <c r="W52" s="82" t="n"/>
      <c r="X52" s="82" t="n"/>
      <c r="Y52" s="82" t="n"/>
      <c r="Z52" s="82" t="n"/>
      <c r="AA52" s="82" t="n"/>
      <c r="AB52" s="82" t="n"/>
    </row>
    <row r="53">
      <c r="A53" s="82" t="n"/>
      <c r="B53" s="82" t="n"/>
      <c r="C53" s="82" t="n"/>
      <c r="D53" s="82" t="n"/>
      <c r="E53" s="82" t="n"/>
      <c r="F53" s="82" t="n"/>
      <c r="G53" s="82" t="n"/>
      <c r="H53" s="82" t="n"/>
      <c r="I53" s="82" t="n"/>
      <c r="J53" s="82" t="n"/>
      <c r="K53" s="82" t="n"/>
      <c r="L53" s="82" t="n"/>
      <c r="M53" s="82" t="n"/>
      <c r="N53" s="82" t="n"/>
      <c r="O53" s="82" t="n"/>
      <c r="P53" s="82" t="n"/>
      <c r="Q53" s="82" t="n"/>
      <c r="R53" s="82" t="n"/>
      <c r="S53" s="82" t="n"/>
      <c r="T53" s="82" t="n"/>
      <c r="U53" s="82" t="n"/>
      <c r="V53" s="82" t="n"/>
      <c r="W53" s="82" t="n"/>
      <c r="X53" s="82" t="n"/>
      <c r="Y53" s="82" t="n"/>
      <c r="Z53" s="82" t="n"/>
      <c r="AA53" s="82" t="n"/>
      <c r="AB53" s="82" t="n"/>
    </row>
    <row r="54">
      <c r="A54" s="82" t="n"/>
      <c r="B54" s="82" t="n"/>
      <c r="C54" s="82" t="n"/>
      <c r="D54" s="82" t="n"/>
      <c r="E54" s="82" t="n"/>
      <c r="F54" s="82" t="n"/>
      <c r="G54" s="82" t="n"/>
      <c r="H54" s="82" t="n"/>
      <c r="I54" s="82" t="n"/>
      <c r="J54" s="82" t="n"/>
      <c r="K54" s="82" t="n"/>
      <c r="L54" s="82" t="n"/>
      <c r="M54" s="82" t="n"/>
      <c r="N54" s="82" t="n"/>
      <c r="O54" s="82" t="n"/>
      <c r="P54" s="82" t="n"/>
      <c r="Q54" s="82" t="n"/>
      <c r="R54" s="82" t="n"/>
      <c r="S54" s="82" t="n"/>
      <c r="T54" s="82" t="n"/>
      <c r="U54" s="82" t="n"/>
      <c r="V54" s="82" t="n"/>
      <c r="W54" s="82" t="n"/>
      <c r="X54" s="82" t="n"/>
      <c r="Y54" s="82" t="n"/>
      <c r="Z54" s="82" t="n"/>
      <c r="AA54" s="82" t="n"/>
      <c r="AB54" s="82" t="n"/>
    </row>
    <row r="55">
      <c r="A55" s="82" t="n"/>
      <c r="B55" s="82" t="n"/>
      <c r="C55" s="82" t="n"/>
      <c r="D55" s="82" t="n"/>
      <c r="E55" s="82" t="n"/>
      <c r="F55" s="82" t="n"/>
      <c r="G55" s="82" t="n"/>
      <c r="H55" s="82" t="n"/>
      <c r="I55" s="82" t="n"/>
      <c r="J55" s="82" t="n"/>
      <c r="K55" s="82" t="n"/>
      <c r="L55" s="82" t="n"/>
      <c r="M55" s="82" t="n"/>
      <c r="N55" s="82" t="n"/>
      <c r="O55" s="82" t="n"/>
      <c r="P55" s="82" t="n"/>
      <c r="Q55" s="82" t="n"/>
      <c r="R55" s="82" t="n"/>
      <c r="S55" s="82" t="n"/>
      <c r="T55" s="82" t="n"/>
      <c r="U55" s="82" t="n"/>
      <c r="V55" s="82" t="n"/>
      <c r="W55" s="82" t="n"/>
      <c r="X55" s="82" t="n"/>
      <c r="Y55" s="82" t="n"/>
      <c r="Z55" s="82" t="n"/>
      <c r="AA55" s="82" t="n"/>
      <c r="AB55" s="82" t="n"/>
    </row>
    <row r="56">
      <c r="A56" s="82" t="n"/>
      <c r="B56" s="82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2" t="n"/>
      <c r="L56" s="82" t="n"/>
      <c r="M56" s="82" t="n"/>
      <c r="N56" s="82" t="n"/>
      <c r="O56" s="82" t="n"/>
      <c r="P56" s="82" t="n"/>
      <c r="Q56" s="82" t="n"/>
      <c r="R56" s="82" t="n"/>
      <c r="S56" s="82" t="n"/>
      <c r="T56" s="82" t="n"/>
      <c r="U56" s="82" t="n"/>
      <c r="V56" s="82" t="n"/>
      <c r="W56" s="82" t="n"/>
      <c r="X56" s="82" t="n"/>
      <c r="Y56" s="82" t="n"/>
      <c r="Z56" s="82" t="n"/>
      <c r="AA56" s="82" t="n"/>
      <c r="AB56" s="82" t="n"/>
    </row>
    <row r="57">
      <c r="A57" s="82" t="n"/>
      <c r="B57" s="82" t="n"/>
      <c r="C57" s="82" t="n"/>
      <c r="D57" s="82" t="n"/>
      <c r="E57" s="82" t="n"/>
      <c r="F57" s="82" t="n"/>
      <c r="G57" s="82" t="n"/>
      <c r="H57" s="82" t="n"/>
      <c r="I57" s="82" t="n"/>
      <c r="J57" s="82" t="n"/>
      <c r="K57" s="82" t="n"/>
      <c r="L57" s="82" t="n"/>
      <c r="M57" s="82" t="n"/>
      <c r="N57" s="82" t="n"/>
      <c r="O57" s="82" t="n"/>
      <c r="P57" s="82" t="n"/>
      <c r="Q57" s="82" t="n"/>
      <c r="R57" s="82" t="n"/>
      <c r="S57" s="82" t="n"/>
      <c r="T57" s="82" t="n"/>
      <c r="U57" s="82" t="n"/>
      <c r="V57" s="82" t="n"/>
      <c r="W57" s="82" t="n"/>
      <c r="X57" s="82" t="n"/>
      <c r="Y57" s="82" t="n"/>
      <c r="Z57" s="82" t="n"/>
      <c r="AA57" s="82" t="n"/>
      <c r="AB57" s="82" t="n"/>
    </row>
    <row r="58">
      <c r="A58" s="82" t="n"/>
      <c r="B58" s="82" t="n"/>
      <c r="C58" s="82" t="n"/>
      <c r="D58" s="82" t="n"/>
      <c r="E58" s="82" t="n"/>
      <c r="F58" s="82" t="n"/>
      <c r="G58" s="82" t="n"/>
      <c r="H58" s="82" t="n"/>
      <c r="I58" s="82" t="n"/>
      <c r="J58" s="82" t="n"/>
      <c r="K58" s="82" t="n"/>
      <c r="L58" s="82" t="n"/>
      <c r="M58" s="82" t="n"/>
      <c r="N58" s="82" t="n"/>
      <c r="O58" s="82" t="n"/>
      <c r="P58" s="82" t="n"/>
      <c r="Q58" s="82" t="n"/>
      <c r="R58" s="82" t="n"/>
      <c r="S58" s="82" t="n"/>
      <c r="T58" s="82" t="n"/>
      <c r="U58" s="82" t="n"/>
      <c r="V58" s="82" t="n"/>
      <c r="W58" s="82" t="n"/>
      <c r="X58" s="82" t="n"/>
      <c r="Y58" s="82" t="n"/>
      <c r="Z58" s="82" t="n"/>
      <c r="AA58" s="82" t="n"/>
      <c r="AB58" s="82" t="n"/>
    </row>
    <row r="59">
      <c r="A59" s="82" t="n"/>
      <c r="B59" s="82" t="n"/>
      <c r="C59" s="82" t="n"/>
      <c r="D59" s="82" t="n"/>
      <c r="E59" s="82" t="n"/>
      <c r="F59" s="82" t="n"/>
      <c r="G59" s="82" t="n"/>
      <c r="H59" s="82" t="n"/>
      <c r="I59" s="82" t="n"/>
      <c r="J59" s="82" t="n"/>
      <c r="K59" s="82" t="n"/>
      <c r="L59" s="82" t="n"/>
      <c r="M59" s="82" t="n"/>
      <c r="N59" s="82" t="n"/>
      <c r="O59" s="82" t="n"/>
      <c r="P59" s="82" t="n"/>
      <c r="Q59" s="82" t="n"/>
      <c r="R59" s="82" t="n"/>
      <c r="S59" s="82" t="n"/>
      <c r="T59" s="82" t="n"/>
      <c r="U59" s="82" t="n"/>
      <c r="V59" s="82" t="n"/>
      <c r="W59" s="82" t="n"/>
      <c r="X59" s="82" t="n"/>
      <c r="Y59" s="82" t="n"/>
      <c r="Z59" s="82" t="n"/>
      <c r="AA59" s="82" t="n"/>
      <c r="AB59" s="82" t="n"/>
    </row>
    <row r="60">
      <c r="A60" s="82" t="n"/>
      <c r="B60" s="82" t="n"/>
      <c r="C60" s="82" t="n"/>
      <c r="D60" s="82" t="n"/>
      <c r="E60" s="82" t="n"/>
      <c r="F60" s="82" t="n"/>
      <c r="G60" s="82" t="n"/>
      <c r="H60" s="82" t="n"/>
      <c r="I60" s="82" t="n"/>
      <c r="J60" s="82" t="n"/>
      <c r="K60" s="82" t="n"/>
      <c r="L60" s="82" t="n"/>
      <c r="M60" s="82" t="n"/>
      <c r="N60" s="82" t="n"/>
      <c r="O60" s="82" t="n"/>
      <c r="P60" s="82" t="n"/>
      <c r="Q60" s="82" t="n"/>
      <c r="R60" s="82" t="n"/>
      <c r="S60" s="82" t="n"/>
      <c r="T60" s="82" t="n"/>
      <c r="U60" s="82" t="n"/>
      <c r="V60" s="82" t="n"/>
      <c r="W60" s="82" t="n"/>
      <c r="X60" s="82" t="n"/>
      <c r="Y60" s="82" t="n"/>
      <c r="Z60" s="82" t="n"/>
      <c r="AA60" s="82" t="n"/>
      <c r="AB60" s="82" t="n"/>
    </row>
    <row r="61">
      <c r="A61" s="82" t="n"/>
      <c r="B61" s="82" t="n"/>
      <c r="C61" s="82" t="n"/>
      <c r="D61" s="82" t="n"/>
      <c r="E61" s="82" t="n"/>
      <c r="F61" s="82" t="n"/>
      <c r="G61" s="82" t="n"/>
      <c r="H61" s="82" t="n"/>
      <c r="I61" s="82" t="n"/>
      <c r="J61" s="82" t="n"/>
      <c r="K61" s="82" t="n"/>
      <c r="L61" s="82" t="n"/>
      <c r="M61" s="82" t="n"/>
      <c r="N61" s="82" t="n"/>
      <c r="O61" s="82" t="n"/>
      <c r="P61" s="82" t="n"/>
      <c r="Q61" s="82" t="n"/>
      <c r="R61" s="82" t="n"/>
      <c r="S61" s="82" t="n"/>
      <c r="T61" s="82" t="n"/>
      <c r="U61" s="82" t="n"/>
      <c r="V61" s="82" t="n"/>
      <c r="W61" s="82" t="n"/>
      <c r="X61" s="82" t="n"/>
      <c r="Y61" s="82" t="n"/>
      <c r="Z61" s="82" t="n"/>
      <c r="AA61" s="82" t="n"/>
      <c r="AB61" s="82" t="n"/>
    </row>
    <row r="62">
      <c r="A62" s="82" t="n"/>
      <c r="B62" s="82" t="n"/>
      <c r="C62" s="82" t="n"/>
      <c r="D62" s="82" t="n"/>
      <c r="E62" s="82" t="n"/>
      <c r="F62" s="82" t="n"/>
      <c r="G62" s="82" t="n"/>
      <c r="H62" s="82" t="n"/>
      <c r="I62" s="82" t="n"/>
      <c r="J62" s="82" t="n"/>
      <c r="K62" s="82" t="n"/>
      <c r="L62" s="82" t="n"/>
      <c r="M62" s="82" t="n"/>
      <c r="N62" s="82" t="n"/>
      <c r="O62" s="82" t="n"/>
      <c r="P62" s="82" t="n"/>
      <c r="Q62" s="82" t="n"/>
      <c r="R62" s="82" t="n"/>
      <c r="S62" s="82" t="n"/>
      <c r="T62" s="82" t="n"/>
      <c r="U62" s="82" t="n"/>
      <c r="V62" s="82" t="n"/>
      <c r="W62" s="82" t="n"/>
      <c r="X62" s="82" t="n"/>
      <c r="Y62" s="82" t="n"/>
      <c r="Z62" s="82" t="n"/>
      <c r="AA62" s="82" t="n"/>
      <c r="AB62" s="82" t="n"/>
    </row>
    <row r="63">
      <c r="A63" s="82" t="n"/>
      <c r="B63" s="82" t="n"/>
      <c r="C63" s="82" t="n"/>
      <c r="D63" s="82" t="n"/>
      <c r="E63" s="82" t="n"/>
      <c r="F63" s="82" t="n"/>
      <c r="G63" s="82" t="n"/>
      <c r="H63" s="82" t="n"/>
      <c r="I63" s="82" t="n"/>
      <c r="J63" s="82" t="n"/>
      <c r="K63" s="82" t="n"/>
      <c r="L63" s="82" t="n"/>
      <c r="M63" s="82" t="n"/>
      <c r="N63" s="82" t="n"/>
      <c r="O63" s="82" t="n"/>
      <c r="P63" s="82" t="n"/>
      <c r="Q63" s="82" t="n"/>
      <c r="R63" s="82" t="n"/>
      <c r="S63" s="82" t="n"/>
      <c r="T63" s="82" t="n"/>
      <c r="U63" s="82" t="n"/>
      <c r="V63" s="82" t="n"/>
      <c r="W63" s="82" t="n"/>
      <c r="X63" s="82" t="n"/>
      <c r="Y63" s="82" t="n"/>
      <c r="Z63" s="82" t="n"/>
      <c r="AA63" s="82" t="n"/>
      <c r="AB63" s="82" t="n"/>
    </row>
    <row r="64">
      <c r="A64" s="82" t="n"/>
      <c r="B64" s="82" t="n"/>
      <c r="C64" s="82" t="n"/>
      <c r="D64" s="82" t="n"/>
      <c r="E64" s="82" t="n"/>
      <c r="F64" s="82" t="n"/>
      <c r="G64" s="82" t="n"/>
      <c r="H64" s="82" t="n"/>
      <c r="I64" s="82" t="n"/>
      <c r="J64" s="82" t="n"/>
      <c r="K64" s="82" t="n"/>
      <c r="L64" s="82" t="n"/>
      <c r="M64" s="82" t="n"/>
      <c r="N64" s="82" t="n"/>
      <c r="O64" s="82" t="n"/>
      <c r="P64" s="82" t="n"/>
      <c r="Q64" s="82" t="n"/>
      <c r="R64" s="82" t="n"/>
      <c r="S64" s="82" t="n"/>
      <c r="T64" s="82" t="n"/>
      <c r="U64" s="82" t="n"/>
      <c r="V64" s="82" t="n"/>
      <c r="W64" s="82" t="n"/>
      <c r="X64" s="82" t="n"/>
      <c r="Y64" s="82" t="n"/>
      <c r="Z64" s="82" t="n"/>
      <c r="AA64" s="82" t="n"/>
      <c r="AB64" s="82" t="n"/>
    </row>
    <row r="65">
      <c r="A65" s="82" t="n"/>
      <c r="B65" s="82" t="n"/>
      <c r="C65" s="82" t="n"/>
      <c r="D65" s="82" t="n"/>
      <c r="E65" s="82" t="n"/>
      <c r="F65" s="82" t="n"/>
      <c r="G65" s="82" t="n"/>
      <c r="H65" s="82" t="n"/>
      <c r="I65" s="82" t="n"/>
      <c r="J65" s="82" t="n"/>
      <c r="K65" s="82" t="n"/>
      <c r="L65" s="82" t="n"/>
      <c r="M65" s="82" t="n"/>
      <c r="N65" s="82" t="n"/>
      <c r="O65" s="82" t="n"/>
      <c r="P65" s="82" t="n"/>
      <c r="Q65" s="82" t="n"/>
      <c r="R65" s="82" t="n"/>
      <c r="S65" s="82" t="n"/>
      <c r="T65" s="82" t="n"/>
      <c r="U65" s="82" t="n"/>
      <c r="V65" s="82" t="n"/>
      <c r="W65" s="82" t="n"/>
      <c r="X65" s="82" t="n"/>
      <c r="Y65" s="82" t="n"/>
      <c r="Z65" s="82" t="n"/>
      <c r="AA65" s="82" t="n"/>
      <c r="AB65" s="82" t="n"/>
    </row>
    <row r="66">
      <c r="A66" s="82" t="n"/>
      <c r="B66" s="82" t="n"/>
      <c r="C66" s="82" t="n"/>
      <c r="D66" s="82" t="n"/>
      <c r="E66" s="82" t="n"/>
      <c r="F66" s="82" t="n"/>
      <c r="G66" s="82" t="n"/>
      <c r="H66" s="82" t="n"/>
      <c r="I66" s="82" t="n"/>
      <c r="J66" s="82" t="n"/>
      <c r="K66" s="82" t="n"/>
      <c r="L66" s="82" t="n"/>
      <c r="M66" s="82" t="n"/>
      <c r="N66" s="82" t="n"/>
      <c r="O66" s="82" t="n"/>
      <c r="P66" s="82" t="n"/>
      <c r="Q66" s="82" t="n"/>
      <c r="R66" s="82" t="n"/>
      <c r="S66" s="82" t="n"/>
      <c r="T66" s="82" t="n"/>
      <c r="U66" s="82" t="n"/>
      <c r="V66" s="82" t="n"/>
      <c r="W66" s="82" t="n"/>
      <c r="X66" s="82" t="n"/>
      <c r="Y66" s="82" t="n"/>
      <c r="Z66" s="82" t="n"/>
      <c r="AA66" s="82" t="n"/>
      <c r="AB66" s="82" t="n"/>
    </row>
    <row r="67">
      <c r="A67" s="82" t="n"/>
      <c r="B67" s="82" t="n"/>
      <c r="C67" s="82" t="n"/>
      <c r="D67" s="82" t="n"/>
      <c r="E67" s="82" t="n"/>
      <c r="F67" s="82" t="n"/>
      <c r="G67" s="82" t="n"/>
      <c r="H67" s="82" t="n"/>
      <c r="I67" s="82" t="n"/>
      <c r="J67" s="82" t="n"/>
      <c r="K67" s="82" t="n"/>
      <c r="L67" s="82" t="n"/>
      <c r="M67" s="82" t="n"/>
      <c r="N67" s="82" t="n"/>
      <c r="O67" s="82" t="n"/>
      <c r="P67" s="82" t="n"/>
      <c r="Q67" s="82" t="n"/>
      <c r="R67" s="82" t="n"/>
      <c r="S67" s="82" t="n"/>
      <c r="T67" s="82" t="n"/>
      <c r="U67" s="82" t="n"/>
      <c r="V67" s="82" t="n"/>
      <c r="W67" s="82" t="n"/>
      <c r="X67" s="82" t="n"/>
      <c r="Y67" s="82" t="n"/>
      <c r="Z67" s="82" t="n"/>
      <c r="AA67" s="82" t="n"/>
      <c r="AB67" s="82" t="n"/>
    </row>
    <row r="68">
      <c r="A68" s="82" t="n"/>
      <c r="B68" s="82" t="n"/>
      <c r="C68" s="82" t="n"/>
      <c r="D68" s="82" t="n"/>
      <c r="E68" s="82" t="n"/>
      <c r="F68" s="82" t="n"/>
      <c r="G68" s="82" t="n"/>
      <c r="H68" s="82" t="n"/>
      <c r="I68" s="82" t="n"/>
      <c r="J68" s="82" t="n"/>
      <c r="K68" s="82" t="n"/>
      <c r="L68" s="82" t="n"/>
      <c r="M68" s="82" t="n"/>
      <c r="N68" s="82" t="n"/>
      <c r="O68" s="82" t="n"/>
      <c r="P68" s="82" t="n"/>
      <c r="Q68" s="82" t="n"/>
      <c r="R68" s="82" t="n"/>
      <c r="S68" s="82" t="n"/>
      <c r="T68" s="82" t="n"/>
      <c r="U68" s="82" t="n"/>
      <c r="V68" s="82" t="n"/>
      <c r="W68" s="82" t="n"/>
      <c r="X68" s="82" t="n"/>
      <c r="Y68" s="82" t="n"/>
      <c r="Z68" s="82" t="n"/>
      <c r="AA68" s="82" t="n"/>
      <c r="AB68" s="82" t="n"/>
    </row>
    <row r="69">
      <c r="A69" s="82" t="n"/>
      <c r="B69" s="82" t="n"/>
      <c r="C69" s="82" t="n"/>
      <c r="D69" s="82" t="n"/>
      <c r="E69" s="82" t="n"/>
      <c r="F69" s="82" t="n"/>
      <c r="G69" s="82" t="n"/>
      <c r="H69" s="82" t="n"/>
      <c r="I69" s="82" t="n"/>
      <c r="J69" s="82" t="n"/>
      <c r="K69" s="82" t="n"/>
      <c r="L69" s="82" t="n"/>
      <c r="M69" s="82" t="n"/>
      <c r="N69" s="82" t="n"/>
      <c r="O69" s="82" t="n"/>
      <c r="P69" s="82" t="n"/>
      <c r="Q69" s="82" t="n"/>
      <c r="R69" s="82" t="n"/>
      <c r="S69" s="82" t="n"/>
      <c r="T69" s="82" t="n"/>
      <c r="U69" s="82" t="n"/>
      <c r="V69" s="82" t="n"/>
      <c r="W69" s="82" t="n"/>
      <c r="X69" s="82" t="n"/>
      <c r="Y69" s="82" t="n"/>
      <c r="Z69" s="82" t="n"/>
      <c r="AA69" s="82" t="n"/>
      <c r="AB69" s="82" t="n"/>
    </row>
    <row r="70">
      <c r="A70" s="82" t="n"/>
      <c r="B70" s="82" t="n"/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  <c r="N70" s="82" t="n"/>
      <c r="O70" s="82" t="n"/>
      <c r="P70" s="82" t="n"/>
      <c r="Q70" s="82" t="n"/>
      <c r="R70" s="82" t="n"/>
      <c r="S70" s="82" t="n"/>
      <c r="T70" s="82" t="n"/>
      <c r="U70" s="82" t="n"/>
      <c r="V70" s="82" t="n"/>
      <c r="W70" s="82" t="n"/>
      <c r="X70" s="82" t="n"/>
      <c r="Y70" s="82" t="n"/>
      <c r="Z70" s="82" t="n"/>
      <c r="AA70" s="82" t="n"/>
      <c r="AB70" s="82" t="n"/>
    </row>
    <row r="71">
      <c r="A71" s="82" t="n"/>
      <c r="B71" s="82" t="n"/>
      <c r="C71" s="82" t="n"/>
      <c r="D71" s="82" t="n"/>
      <c r="E71" s="82" t="n"/>
      <c r="F71" s="82" t="n"/>
      <c r="G71" s="82" t="n"/>
      <c r="H71" s="82" t="n"/>
      <c r="I71" s="82" t="n"/>
      <c r="J71" s="82" t="n"/>
      <c r="K71" s="82" t="n"/>
      <c r="L71" s="82" t="n"/>
      <c r="M71" s="82" t="n"/>
      <c r="N71" s="82" t="n"/>
      <c r="O71" s="82" t="n"/>
      <c r="P71" s="82" t="n"/>
      <c r="Q71" s="82" t="n"/>
      <c r="R71" s="82" t="n"/>
      <c r="S71" s="82" t="n"/>
      <c r="T71" s="82" t="n"/>
      <c r="U71" s="82" t="n"/>
      <c r="V71" s="82" t="n"/>
      <c r="W71" s="82" t="n"/>
      <c r="X71" s="82" t="n"/>
      <c r="Y71" s="82" t="n"/>
      <c r="Z71" s="82" t="n"/>
      <c r="AA71" s="82" t="n"/>
      <c r="AB71" s="82" t="n"/>
    </row>
    <row r="72">
      <c r="A72" s="82" t="n"/>
      <c r="B72" s="82" t="n"/>
      <c r="C72" s="82" t="n"/>
      <c r="D72" s="82" t="n"/>
      <c r="E72" s="82" t="n"/>
      <c r="F72" s="82" t="n"/>
      <c r="G72" s="82" t="n"/>
      <c r="H72" s="82" t="n"/>
      <c r="I72" s="82" t="n"/>
      <c r="J72" s="82" t="n"/>
      <c r="K72" s="82" t="n"/>
      <c r="L72" s="82" t="n"/>
      <c r="M72" s="82" t="n"/>
      <c r="N72" s="82" t="n"/>
      <c r="O72" s="82" t="n"/>
      <c r="P72" s="82" t="n"/>
      <c r="Q72" s="82" t="n"/>
      <c r="R72" s="82" t="n"/>
      <c r="S72" s="82" t="n"/>
      <c r="T72" s="82" t="n"/>
      <c r="U72" s="82" t="n"/>
      <c r="V72" s="82" t="n"/>
      <c r="W72" s="82" t="n"/>
      <c r="X72" s="82" t="n"/>
      <c r="Y72" s="82" t="n"/>
      <c r="Z72" s="82" t="n"/>
      <c r="AA72" s="82" t="n"/>
      <c r="AB72" s="82" t="n"/>
    </row>
    <row r="73">
      <c r="A73" s="82" t="n"/>
      <c r="B73" s="82" t="n"/>
      <c r="C73" s="82" t="n"/>
      <c r="D73" s="82" t="n"/>
      <c r="E73" s="82" t="n"/>
      <c r="F73" s="82" t="n"/>
      <c r="G73" s="82" t="n"/>
      <c r="H73" s="82" t="n"/>
      <c r="I73" s="82" t="n"/>
      <c r="J73" s="82" t="n"/>
      <c r="K73" s="82" t="n"/>
      <c r="L73" s="82" t="n"/>
      <c r="M73" s="82" t="n"/>
      <c r="N73" s="82" t="n"/>
      <c r="O73" s="82" t="n"/>
      <c r="P73" s="82" t="n"/>
      <c r="Q73" s="82" t="n"/>
      <c r="R73" s="82" t="n"/>
      <c r="S73" s="82" t="n"/>
      <c r="T73" s="82" t="n"/>
      <c r="U73" s="82" t="n"/>
      <c r="V73" s="82" t="n"/>
      <c r="W73" s="82" t="n"/>
      <c r="X73" s="82" t="n"/>
      <c r="Y73" s="82" t="n"/>
      <c r="Z73" s="82" t="n"/>
      <c r="AA73" s="82" t="n"/>
      <c r="AB73" s="82" t="n"/>
    </row>
    <row r="74">
      <c r="A74" s="82" t="n"/>
      <c r="B74" s="82" t="n"/>
      <c r="C74" s="82" t="n"/>
      <c r="D74" s="82" t="n"/>
      <c r="E74" s="82" t="n"/>
      <c r="F74" s="82" t="n"/>
      <c r="G74" s="82" t="n"/>
      <c r="H74" s="82" t="n"/>
      <c r="I74" s="82" t="n"/>
      <c r="J74" s="82" t="n"/>
      <c r="K74" s="82" t="n"/>
      <c r="L74" s="82" t="n"/>
      <c r="M74" s="82" t="n"/>
      <c r="N74" s="82" t="n"/>
      <c r="O74" s="82" t="n"/>
      <c r="P74" s="82" t="n"/>
      <c r="Q74" s="82" t="n"/>
      <c r="R74" s="82" t="n"/>
      <c r="S74" s="82" t="n"/>
      <c r="T74" s="82" t="n"/>
      <c r="U74" s="82" t="n"/>
      <c r="V74" s="82" t="n"/>
      <c r="W74" s="82" t="n"/>
      <c r="X74" s="82" t="n"/>
      <c r="Y74" s="82" t="n"/>
      <c r="Z74" s="82" t="n"/>
      <c r="AA74" s="82" t="n"/>
      <c r="AB74" s="82" t="n"/>
    </row>
    <row r="75">
      <c r="A75" s="82" t="n"/>
      <c r="B75" s="82" t="n"/>
      <c r="C75" s="82" t="n"/>
      <c r="D75" s="82" t="n"/>
      <c r="E75" s="82" t="n"/>
      <c r="F75" s="82" t="n"/>
      <c r="G75" s="82" t="n"/>
      <c r="H75" s="82" t="n"/>
      <c r="I75" s="82" t="n"/>
      <c r="J75" s="82" t="n"/>
      <c r="K75" s="82" t="n"/>
      <c r="L75" s="82" t="n"/>
      <c r="M75" s="82" t="n"/>
      <c r="N75" s="82" t="n"/>
      <c r="O75" s="82" t="n"/>
      <c r="P75" s="82" t="n"/>
      <c r="Q75" s="82" t="n"/>
      <c r="R75" s="82" t="n"/>
      <c r="S75" s="82" t="n"/>
      <c r="T75" s="82" t="n"/>
      <c r="U75" s="82" t="n"/>
      <c r="V75" s="82" t="n"/>
      <c r="W75" s="82" t="n"/>
      <c r="X75" s="82" t="n"/>
      <c r="Y75" s="82" t="n"/>
      <c r="Z75" s="82" t="n"/>
      <c r="AA75" s="82" t="n"/>
      <c r="AB75" s="82" t="n"/>
    </row>
    <row r="76">
      <c r="A76" s="82" t="n"/>
      <c r="B76" s="82" t="n"/>
      <c r="C76" s="82" t="n"/>
      <c r="D76" s="82" t="n"/>
      <c r="E76" s="82" t="n"/>
      <c r="F76" s="82" t="n"/>
      <c r="G76" s="82" t="n"/>
      <c r="H76" s="82" t="n"/>
      <c r="I76" s="82" t="n"/>
      <c r="J76" s="82" t="n"/>
      <c r="K76" s="82" t="n"/>
      <c r="L76" s="82" t="n"/>
      <c r="M76" s="82" t="n"/>
      <c r="N76" s="82" t="n"/>
      <c r="O76" s="82" t="n"/>
      <c r="P76" s="82" t="n"/>
      <c r="Q76" s="82" t="n"/>
      <c r="R76" s="82" t="n"/>
      <c r="S76" s="82" t="n"/>
      <c r="T76" s="82" t="n"/>
      <c r="U76" s="82" t="n"/>
      <c r="V76" s="82" t="n"/>
      <c r="W76" s="82" t="n"/>
      <c r="X76" s="82" t="n"/>
      <c r="Y76" s="82" t="n"/>
      <c r="Z76" s="82" t="n"/>
      <c r="AA76" s="82" t="n"/>
      <c r="AB76" s="82" t="n"/>
    </row>
    <row r="77">
      <c r="A77" s="82" t="n"/>
      <c r="B77" s="82" t="n"/>
      <c r="C77" s="82" t="n"/>
      <c r="D77" s="82" t="n"/>
      <c r="E77" s="82" t="n"/>
      <c r="F77" s="82" t="n"/>
      <c r="G77" s="82" t="n"/>
      <c r="H77" s="82" t="n"/>
      <c r="I77" s="82" t="n"/>
      <c r="J77" s="82" t="n"/>
      <c r="K77" s="82" t="n"/>
      <c r="L77" s="82" t="n"/>
      <c r="M77" s="82" t="n"/>
      <c r="N77" s="82" t="n"/>
      <c r="O77" s="82" t="n"/>
      <c r="P77" s="82" t="n"/>
      <c r="Q77" s="82" t="n"/>
      <c r="R77" s="82" t="n"/>
      <c r="S77" s="82" t="n"/>
      <c r="T77" s="82" t="n"/>
      <c r="U77" s="82" t="n"/>
      <c r="V77" s="82" t="n"/>
      <c r="W77" s="82" t="n"/>
      <c r="X77" s="82" t="n"/>
      <c r="Y77" s="82" t="n"/>
      <c r="Z77" s="82" t="n"/>
      <c r="AA77" s="82" t="n"/>
      <c r="AB77" s="82" t="n"/>
    </row>
    <row r="78">
      <c r="A78" s="82" t="n"/>
      <c r="B78" s="82" t="n"/>
      <c r="C78" s="82" t="n"/>
      <c r="D78" s="82" t="n"/>
      <c r="E78" s="82" t="n"/>
      <c r="F78" s="82" t="n"/>
      <c r="G78" s="82" t="n"/>
      <c r="H78" s="82" t="n"/>
      <c r="I78" s="82" t="n"/>
      <c r="J78" s="82" t="n"/>
      <c r="K78" s="82" t="n"/>
      <c r="L78" s="82" t="n"/>
      <c r="M78" s="82" t="n"/>
      <c r="N78" s="82" t="n"/>
      <c r="O78" s="82" t="n"/>
      <c r="P78" s="82" t="n"/>
      <c r="Q78" s="82" t="n"/>
      <c r="R78" s="82" t="n"/>
      <c r="S78" s="82" t="n"/>
      <c r="T78" s="82" t="n"/>
      <c r="U78" s="82" t="n"/>
      <c r="V78" s="82" t="n"/>
      <c r="W78" s="82" t="n"/>
      <c r="X78" s="82" t="n"/>
      <c r="Y78" s="82" t="n"/>
      <c r="Z78" s="82" t="n"/>
      <c r="AA78" s="82" t="n"/>
      <c r="AB78" s="82" t="n"/>
    </row>
    <row r="79">
      <c r="A79" s="82" t="n"/>
      <c r="B79" s="82" t="n"/>
      <c r="C79" s="82" t="n"/>
      <c r="D79" s="82" t="n"/>
      <c r="E79" s="82" t="n"/>
      <c r="F79" s="82" t="n"/>
      <c r="G79" s="82" t="n"/>
      <c r="H79" s="82" t="n"/>
      <c r="I79" s="82" t="n"/>
      <c r="J79" s="82" t="n"/>
      <c r="K79" s="82" t="n"/>
      <c r="L79" s="82" t="n"/>
      <c r="M79" s="82" t="n"/>
      <c r="N79" s="82" t="n"/>
      <c r="O79" s="82" t="n"/>
      <c r="P79" s="82" t="n"/>
      <c r="Q79" s="82" t="n"/>
      <c r="R79" s="82" t="n"/>
      <c r="S79" s="82" t="n"/>
      <c r="T79" s="82" t="n"/>
      <c r="U79" s="82" t="n"/>
      <c r="V79" s="82" t="n"/>
      <c r="W79" s="82" t="n"/>
      <c r="X79" s="82" t="n"/>
      <c r="Y79" s="82" t="n"/>
      <c r="Z79" s="82" t="n"/>
      <c r="AA79" s="82" t="n"/>
      <c r="AB79" s="82" t="n"/>
    </row>
    <row r="80">
      <c r="A80" s="82" t="n"/>
      <c r="B80" s="82" t="n"/>
      <c r="C80" s="82" t="n"/>
      <c r="D80" s="82" t="n"/>
      <c r="E80" s="82" t="n"/>
      <c r="F80" s="82" t="n"/>
      <c r="G80" s="82" t="n"/>
      <c r="H80" s="82" t="n"/>
      <c r="I80" s="82" t="n"/>
      <c r="J80" s="82" t="n"/>
      <c r="K80" s="82" t="n"/>
      <c r="L80" s="82" t="n"/>
      <c r="M80" s="82" t="n"/>
      <c r="N80" s="82" t="n"/>
      <c r="O80" s="82" t="n"/>
      <c r="P80" s="82" t="n"/>
      <c r="Q80" s="82" t="n"/>
      <c r="R80" s="82" t="n"/>
      <c r="S80" s="82" t="n"/>
      <c r="T80" s="82" t="n"/>
      <c r="U80" s="82" t="n"/>
      <c r="V80" s="82" t="n"/>
      <c r="W80" s="82" t="n"/>
      <c r="X80" s="82" t="n"/>
      <c r="Y80" s="82" t="n"/>
      <c r="Z80" s="82" t="n"/>
      <c r="AA80" s="82" t="n"/>
      <c r="AB80" s="82" t="n"/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mergeCells count="3">
    <mergeCell ref="A2:AB2"/>
    <mergeCell ref="A3:L3"/>
    <mergeCell ref="A1:AB1"/>
  </mergeCells>
  <pageMargins left="0.4" right="0.4" top="0.6" bottom="0.5" header="0.25" footer="0.25"/>
  <pageSetup orientation="landscape" paperSize="3" fitToHeight="0" fitToWidth="1"/>
  <headerFooter>
    <oddHeader>&amp;LNovality Store  ·  Home Renovation System&amp;RLookups</oddHeader>
    <oddFooter>&amp;LConfidential  ·  Digital twin of the home&amp;RPage &amp;P of &amp;N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tabColor rgb="005C6560"/>
    <outlinePr summaryBelow="1" summaryRight="1"/>
    <pageSetUpPr fitToPage="1"/>
  </sheetPr>
  <dimension ref="A1:G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6" customWidth="1" min="4" max="4"/>
    <col width="16" customWidth="1" min="5" max="5"/>
    <col width="12" customWidth="1" min="6" max="6"/>
    <col width="48" customWidth="1" min="7" max="7"/>
  </cols>
  <sheetData>
    <row r="1" ht="28" customHeight="1">
      <c r="A1" s="1" t="inlineStr">
        <is>
          <t>AUDIT LOG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Who changed what  ·  append-only in the live product</t>
        </is>
      </c>
      <c r="B2" s="4" t="n"/>
      <c r="C2" s="4" t="n"/>
      <c r="D2" s="4" t="n"/>
      <c r="E2" s="4" t="n"/>
      <c r="F2" s="4" t="n"/>
      <c r="G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</row>
    <row r="4" ht="22" customHeight="1">
      <c r="A4" s="66" t="inlineStr">
        <is>
          <t>Audit ID</t>
        </is>
      </c>
      <c r="B4" s="66" t="inlineStr">
        <is>
          <t>Timestamp</t>
        </is>
      </c>
      <c r="C4" s="66" t="inlineStr">
        <is>
          <t>User ID</t>
        </is>
      </c>
      <c r="D4" s="66" t="inlineStr">
        <is>
          <t>User Name</t>
        </is>
      </c>
      <c r="E4" s="66" t="inlineStr">
        <is>
          <t>Module</t>
        </is>
      </c>
      <c r="F4" s="66" t="inlineStr">
        <is>
          <t>Record ID</t>
        </is>
      </c>
      <c r="G4" s="66" t="inlineStr">
        <is>
          <t>Action</t>
        </is>
      </c>
    </row>
    <row r="5" ht="18" customHeight="1">
      <c r="A5" s="67" t="inlineStr">
        <is>
          <t>AUD-001</t>
        </is>
      </c>
      <c r="B5" s="116" t="n">
        <v>46258.34027777778</v>
      </c>
      <c r="C5" s="67" t="inlineStr">
        <is>
          <t>AD-001</t>
        </is>
      </c>
      <c r="D5" s="67" t="inlineStr">
        <is>
          <t>Morgan Ellis</t>
        </is>
      </c>
      <c r="E5" s="68" t="inlineStr">
        <is>
          <t>AI Insights</t>
        </is>
      </c>
      <c r="F5" s="68" t="inlineStr">
        <is>
          <t>AI-005</t>
        </is>
      </c>
      <c r="G5" s="68" t="inlineStr">
        <is>
          <t>Created contingency alert</t>
        </is>
      </c>
    </row>
    <row r="6" ht="18" customHeight="1">
      <c r="A6" s="75" t="inlineStr">
        <is>
          <t>AUD-002</t>
        </is>
      </c>
      <c r="B6" s="117" t="n">
        <v>46255.68194444444</v>
      </c>
      <c r="C6" s="75" t="inlineStr">
        <is>
          <t>HO-001</t>
        </is>
      </c>
      <c r="D6" s="75" t="inlineStr">
        <is>
          <t>Alex Rivera</t>
        </is>
      </c>
      <c r="E6" s="76" t="inlineStr">
        <is>
          <t>Change Orders</t>
        </is>
      </c>
      <c r="F6" s="76" t="inlineStr">
        <is>
          <t>CO-002</t>
        </is>
      </c>
      <c r="G6" s="76" t="inlineStr">
        <is>
          <t>Approved design direction (pending formal sign)</t>
        </is>
      </c>
    </row>
    <row r="7" ht="18" customHeight="1">
      <c r="A7" s="67" t="inlineStr">
        <is>
          <t>AUD-003</t>
        </is>
      </c>
      <c r="B7" s="116" t="n">
        <v>46255.58680555555</v>
      </c>
      <c r="C7" s="67" t="inlineStr">
        <is>
          <t>DS-001</t>
        </is>
      </c>
      <c r="D7" s="67" t="inlineStr">
        <is>
          <t>Sofia Alvarez</t>
        </is>
      </c>
      <c r="E7" s="68" t="inlineStr">
        <is>
          <t>Design Studio</t>
        </is>
      </c>
      <c r="F7" s="68" t="inlineStr">
        <is>
          <t>DSN-006</t>
        </is>
      </c>
      <c r="G7" s="68" t="inlineStr">
        <is>
          <t>Published porcelain material board</t>
        </is>
      </c>
    </row>
    <row r="8" ht="18" customHeight="1">
      <c r="A8" s="75" t="inlineStr">
        <is>
          <t>AUD-004</t>
        </is>
      </c>
      <c r="B8" s="117" t="n">
        <v>46254.31944444445</v>
      </c>
      <c r="C8" s="75" t="inlineStr">
        <is>
          <t>CT-001</t>
        </is>
      </c>
      <c r="D8" s="75" t="inlineStr">
        <is>
          <t>Maya Chen</t>
        </is>
      </c>
      <c r="E8" s="76" t="inlineStr">
        <is>
          <t>Materials</t>
        </is>
      </c>
      <c r="F8" s="76" t="inlineStr">
        <is>
          <t>MAT-001</t>
        </is>
      </c>
      <c r="G8" s="76" t="inlineStr">
        <is>
          <t>Marked cabinets Delivered</t>
        </is>
      </c>
    </row>
    <row r="9" ht="18" customHeight="1">
      <c r="A9" s="67" t="inlineStr">
        <is>
          <t>AUD-005</t>
        </is>
      </c>
      <c r="B9" s="116" t="n">
        <v>46252.70972222222</v>
      </c>
      <c r="C9" s="67" t="inlineStr">
        <is>
          <t>AC-001</t>
        </is>
      </c>
      <c r="D9" s="67" t="inlineStr">
        <is>
          <t>Jamie Cole</t>
        </is>
      </c>
      <c r="E9" s="68" t="inlineStr">
        <is>
          <t>Payments</t>
        </is>
      </c>
      <c r="F9" s="68" t="inlineStr">
        <is>
          <t>PAY-008</t>
        </is>
      </c>
      <c r="G9" s="68" t="inlineStr">
        <is>
          <t>Recorded Ironwood August draw</t>
        </is>
      </c>
    </row>
    <row r="10" ht="18" customHeight="1">
      <c r="A10" s="75" t="inlineStr">
        <is>
          <t>AUD-006</t>
        </is>
      </c>
      <c r="B10" s="117" t="n">
        <v>46248.45833333334</v>
      </c>
      <c r="C10" s="75" t="inlineStr">
        <is>
          <t>PM-001</t>
        </is>
      </c>
      <c r="D10" s="75" t="inlineStr">
        <is>
          <t>Marcus Webb</t>
        </is>
      </c>
      <c r="E10" s="76" t="inlineStr">
        <is>
          <t>Inspections</t>
        </is>
      </c>
      <c r="F10" s="76" t="inlineStr">
        <is>
          <t>INS-002</t>
        </is>
      </c>
      <c r="G10" s="76" t="inlineStr">
        <is>
          <t>Attached electrical rough report</t>
        </is>
      </c>
    </row>
    <row r="11" ht="18" customHeight="1">
      <c r="A11" s="67" t="inlineStr">
        <is>
          <t>AUD-007</t>
        </is>
      </c>
      <c r="B11" s="116" t="n">
        <v>46246.62638888889</v>
      </c>
      <c r="C11" s="67" t="inlineStr">
        <is>
          <t>IN-001</t>
        </is>
      </c>
      <c r="D11" s="67" t="inlineStr">
        <is>
          <t>Riley Grant</t>
        </is>
      </c>
      <c r="E11" s="68" t="inlineStr">
        <is>
          <t>Inspections</t>
        </is>
      </c>
      <c r="F11" s="68" t="inlineStr">
        <is>
          <t>INS-002</t>
        </is>
      </c>
      <c r="G11" s="68" t="inlineStr">
        <is>
          <t>Result = Pass</t>
        </is>
      </c>
    </row>
    <row r="12" ht="18" customHeight="1">
      <c r="A12" s="75" t="inlineStr">
        <is>
          <t>AUD-008</t>
        </is>
      </c>
      <c r="B12" s="117" t="n">
        <v>46236.38541666666</v>
      </c>
      <c r="C12" s="75" t="inlineStr">
        <is>
          <t>HO-001</t>
        </is>
      </c>
      <c r="D12" s="75" t="inlineStr">
        <is>
          <t>Alex Rivera</t>
        </is>
      </c>
      <c r="E12" s="76" t="inlineStr">
        <is>
          <t>Payments</t>
        </is>
      </c>
      <c r="F12" s="76" t="inlineStr">
        <is>
          <t>PAY-005</t>
        </is>
      </c>
      <c r="G12" s="76" t="inlineStr">
        <is>
          <t>Wired Cascade deposit</t>
        </is>
      </c>
    </row>
    <row r="13" ht="18" customHeight="1">
      <c r="A13" s="67" t="inlineStr">
        <is>
          <t>AUD-009</t>
        </is>
      </c>
      <c r="B13" s="116" t="n">
        <v>46160.41666666666</v>
      </c>
      <c r="C13" s="67" t="inlineStr">
        <is>
          <t>DS-001</t>
        </is>
      </c>
      <c r="D13" s="67" t="inlineStr">
        <is>
          <t>Sofia Alvarez</t>
        </is>
      </c>
      <c r="E13" s="68" t="inlineStr">
        <is>
          <t>Change Orders</t>
        </is>
      </c>
      <c r="F13" s="68" t="inlineStr">
        <is>
          <t>CO-001</t>
        </is>
      </c>
      <c r="G13" s="68" t="inlineStr">
        <is>
          <t>Implemented marble→porcelain</t>
        </is>
      </c>
    </row>
    <row r="14" ht="18" customHeight="1">
      <c r="A14" s="75" t="inlineStr">
        <is>
          <t>AUD-010</t>
        </is>
      </c>
      <c r="B14" s="117" t="n">
        <v>46085.69791666666</v>
      </c>
      <c r="C14" s="75" t="inlineStr">
        <is>
          <t>HO-001</t>
        </is>
      </c>
      <c r="D14" s="75" t="inlineStr">
        <is>
          <t>Alex Rivera</t>
        </is>
      </c>
      <c r="E14" s="76" t="inlineStr">
        <is>
          <t>Documents</t>
        </is>
      </c>
      <c r="F14" s="76" t="inlineStr">
        <is>
          <t>DOC-001</t>
        </is>
      </c>
      <c r="G14" s="76" t="inlineStr">
        <is>
          <t>Signed GC agreement</t>
        </is>
      </c>
    </row>
    <row r="15">
      <c r="A15" s="82" t="n"/>
      <c r="B15" s="82" t="n"/>
      <c r="C15" s="82" t="n"/>
      <c r="D15" s="82" t="n"/>
      <c r="E15" s="82" t="n"/>
      <c r="F15" s="82" t="n"/>
      <c r="G15" s="82" t="n"/>
    </row>
    <row r="16">
      <c r="A16" s="82" t="n"/>
      <c r="B16" s="82" t="n"/>
      <c r="C16" s="82" t="n"/>
      <c r="D16" s="82" t="n"/>
      <c r="E16" s="82" t="n"/>
      <c r="F16" s="82" t="n"/>
      <c r="G16" s="82" t="n"/>
    </row>
    <row r="17">
      <c r="A17" s="82" t="n"/>
      <c r="B17" s="82" t="n"/>
      <c r="C17" s="82" t="n"/>
      <c r="D17" s="82" t="n"/>
      <c r="E17" s="82" t="n"/>
      <c r="F17" s="82" t="n"/>
      <c r="G17" s="82" t="n"/>
    </row>
    <row r="18">
      <c r="A18" s="82" t="n"/>
      <c r="B18" s="82" t="n"/>
      <c r="C18" s="82" t="n"/>
      <c r="D18" s="82" t="n"/>
      <c r="E18" s="82" t="n"/>
      <c r="F18" s="82" t="n"/>
      <c r="G18" s="82" t="n"/>
    </row>
    <row r="19">
      <c r="A19" s="82" t="n"/>
      <c r="B19" s="82" t="n"/>
      <c r="C19" s="82" t="n"/>
      <c r="D19" s="82" t="n"/>
      <c r="E19" s="82" t="n"/>
      <c r="F19" s="82" t="n"/>
      <c r="G19" s="82" t="n"/>
    </row>
    <row r="20">
      <c r="A20" s="82" t="n"/>
      <c r="B20" s="82" t="n"/>
      <c r="C20" s="82" t="n"/>
      <c r="D20" s="82" t="n"/>
      <c r="E20" s="82" t="n"/>
      <c r="F20" s="82" t="n"/>
      <c r="G20" s="82" t="n"/>
    </row>
    <row r="21">
      <c r="A21" s="82" t="n"/>
      <c r="B21" s="82" t="n"/>
      <c r="C21" s="82" t="n"/>
      <c r="D21" s="82" t="n"/>
      <c r="E21" s="82" t="n"/>
      <c r="F21" s="82" t="n"/>
      <c r="G21" s="82" t="n"/>
    </row>
    <row r="22">
      <c r="A22" s="82" t="n"/>
      <c r="B22" s="82" t="n"/>
      <c r="C22" s="82" t="n"/>
      <c r="D22" s="82" t="n"/>
      <c r="E22" s="82" t="n"/>
      <c r="F22" s="82" t="n"/>
      <c r="G22" s="82" t="n"/>
    </row>
    <row r="23">
      <c r="A23" s="82" t="n"/>
      <c r="B23" s="82" t="n"/>
      <c r="C23" s="82" t="n"/>
      <c r="D23" s="82" t="n"/>
      <c r="E23" s="82" t="n"/>
      <c r="F23" s="82" t="n"/>
      <c r="G23" s="82" t="n"/>
    </row>
    <row r="24">
      <c r="A24" s="82" t="n"/>
      <c r="B24" s="82" t="n"/>
      <c r="C24" s="82" t="n"/>
      <c r="D24" s="82" t="n"/>
      <c r="E24" s="82" t="n"/>
      <c r="F24" s="82" t="n"/>
      <c r="G24" s="82" t="n"/>
    </row>
    <row r="25">
      <c r="A25" s="82" t="n"/>
      <c r="B25" s="82" t="n"/>
      <c r="C25" s="82" t="n"/>
      <c r="D25" s="82" t="n"/>
      <c r="E25" s="82" t="n"/>
      <c r="F25" s="82" t="n"/>
      <c r="G25" s="82" t="n"/>
    </row>
    <row r="26">
      <c r="A26" s="82" t="n"/>
      <c r="B26" s="82" t="n"/>
      <c r="C26" s="82" t="n"/>
      <c r="D26" s="82" t="n"/>
      <c r="E26" s="82" t="n"/>
      <c r="F26" s="82" t="n"/>
      <c r="G26" s="82" t="n"/>
    </row>
    <row r="27">
      <c r="A27" s="82" t="n"/>
      <c r="B27" s="82" t="n"/>
      <c r="C27" s="82" t="n"/>
      <c r="D27" s="82" t="n"/>
      <c r="E27" s="82" t="n"/>
      <c r="F27" s="82" t="n"/>
      <c r="G27" s="82" t="n"/>
    </row>
    <row r="28">
      <c r="A28" s="82" t="n"/>
      <c r="B28" s="82" t="n"/>
      <c r="C28" s="82" t="n"/>
      <c r="D28" s="82" t="n"/>
      <c r="E28" s="82" t="n"/>
      <c r="F28" s="82" t="n"/>
      <c r="G28" s="82" t="n"/>
    </row>
    <row r="29">
      <c r="A29" s="82" t="n"/>
      <c r="B29" s="82" t="n"/>
      <c r="C29" s="82" t="n"/>
      <c r="D29" s="82" t="n"/>
      <c r="E29" s="82" t="n"/>
      <c r="F29" s="82" t="n"/>
      <c r="G29" s="82" t="n"/>
    </row>
    <row r="30">
      <c r="A30" s="82" t="n"/>
      <c r="B30" s="82" t="n"/>
      <c r="C30" s="82" t="n"/>
      <c r="D30" s="82" t="n"/>
      <c r="E30" s="82" t="n"/>
      <c r="F30" s="82" t="n"/>
      <c r="G30" s="82" t="n"/>
    </row>
    <row r="31">
      <c r="A31" s="82" t="n"/>
      <c r="B31" s="82" t="n"/>
      <c r="C31" s="82" t="n"/>
      <c r="D31" s="82" t="n"/>
      <c r="E31" s="82" t="n"/>
      <c r="F31" s="82" t="n"/>
      <c r="G31" s="82" t="n"/>
    </row>
    <row r="32">
      <c r="A32" s="82" t="n"/>
      <c r="B32" s="82" t="n"/>
      <c r="C32" s="82" t="n"/>
      <c r="D32" s="82" t="n"/>
      <c r="E32" s="82" t="n"/>
      <c r="F32" s="82" t="n"/>
      <c r="G32" s="82" t="n"/>
    </row>
    <row r="33">
      <c r="A33" s="82" t="n"/>
      <c r="B33" s="82" t="n"/>
      <c r="C33" s="82" t="n"/>
      <c r="D33" s="82" t="n"/>
      <c r="E33" s="82" t="n"/>
      <c r="F33" s="82" t="n"/>
      <c r="G33" s="82" t="n"/>
    </row>
    <row r="34">
      <c r="A34" s="82" t="n"/>
      <c r="B34" s="82" t="n"/>
      <c r="C34" s="82" t="n"/>
      <c r="D34" s="82" t="n"/>
      <c r="E34" s="82" t="n"/>
      <c r="F34" s="82" t="n"/>
      <c r="G34" s="82" t="n"/>
    </row>
    <row r="35">
      <c r="A35" s="82" t="n"/>
      <c r="B35" s="82" t="n"/>
      <c r="C35" s="82" t="n"/>
      <c r="D35" s="82" t="n"/>
      <c r="E35" s="82" t="n"/>
      <c r="F35" s="82" t="n"/>
      <c r="G35" s="82" t="n"/>
    </row>
    <row r="36">
      <c r="A36" s="82" t="n"/>
      <c r="B36" s="82" t="n"/>
      <c r="C36" s="82" t="n"/>
      <c r="D36" s="82" t="n"/>
      <c r="E36" s="82" t="n"/>
      <c r="F36" s="82" t="n"/>
      <c r="G36" s="82" t="n"/>
    </row>
    <row r="37">
      <c r="A37" s="82" t="n"/>
      <c r="B37" s="82" t="n"/>
      <c r="C37" s="82" t="n"/>
      <c r="D37" s="82" t="n"/>
      <c r="E37" s="82" t="n"/>
      <c r="F37" s="82" t="n"/>
      <c r="G37" s="82" t="n"/>
    </row>
    <row r="38">
      <c r="A38" s="82" t="n"/>
      <c r="B38" s="82" t="n"/>
      <c r="C38" s="82" t="n"/>
      <c r="D38" s="82" t="n"/>
      <c r="E38" s="82" t="n"/>
      <c r="F38" s="82" t="n"/>
      <c r="G38" s="82" t="n"/>
    </row>
    <row r="39">
      <c r="A39" s="82" t="n"/>
      <c r="B39" s="82" t="n"/>
      <c r="C39" s="82" t="n"/>
      <c r="D39" s="82" t="n"/>
      <c r="E39" s="82" t="n"/>
      <c r="F39" s="82" t="n"/>
      <c r="G39" s="82" t="n"/>
    </row>
    <row r="40">
      <c r="A40" s="82" t="n"/>
      <c r="B40" s="82" t="n"/>
      <c r="C40" s="82" t="n"/>
      <c r="D40" s="82" t="n"/>
      <c r="E40" s="82" t="n"/>
      <c r="F40" s="82" t="n"/>
      <c r="G40" s="82" t="n"/>
    </row>
    <row r="41">
      <c r="A41" s="82" t="n"/>
      <c r="B41" s="82" t="n"/>
      <c r="C41" s="82" t="n"/>
      <c r="D41" s="82" t="n"/>
      <c r="E41" s="82" t="n"/>
      <c r="F41" s="82" t="n"/>
      <c r="G41" s="82" t="n"/>
    </row>
    <row r="42">
      <c r="A42" s="82" t="n"/>
      <c r="B42" s="82" t="n"/>
      <c r="C42" s="82" t="n"/>
      <c r="D42" s="82" t="n"/>
      <c r="E42" s="82" t="n"/>
      <c r="F42" s="82" t="n"/>
      <c r="G42" s="82" t="n"/>
    </row>
    <row r="43">
      <c r="A43" s="82" t="n"/>
      <c r="B43" s="82" t="n"/>
      <c r="C43" s="82" t="n"/>
      <c r="D43" s="82" t="n"/>
      <c r="E43" s="82" t="n"/>
      <c r="F43" s="82" t="n"/>
      <c r="G43" s="82" t="n"/>
    </row>
    <row r="44">
      <c r="A44" s="82" t="n"/>
      <c r="B44" s="82" t="n"/>
      <c r="C44" s="82" t="n"/>
      <c r="D44" s="82" t="n"/>
      <c r="E44" s="82" t="n"/>
      <c r="F44" s="82" t="n"/>
      <c r="G44" s="82" t="n"/>
    </row>
    <row r="45">
      <c r="A45" s="82" t="n"/>
      <c r="B45" s="82" t="n"/>
      <c r="C45" s="82" t="n"/>
      <c r="D45" s="82" t="n"/>
      <c r="E45" s="82" t="n"/>
      <c r="F45" s="82" t="n"/>
      <c r="G45" s="82" t="n"/>
    </row>
    <row r="46">
      <c r="A46" s="82" t="n"/>
      <c r="B46" s="82" t="n"/>
      <c r="C46" s="82" t="n"/>
      <c r="D46" s="82" t="n"/>
      <c r="E46" s="82" t="n"/>
      <c r="F46" s="82" t="n"/>
      <c r="G46" s="82" t="n"/>
    </row>
    <row r="47">
      <c r="A47" s="82" t="n"/>
      <c r="B47" s="82" t="n"/>
      <c r="C47" s="82" t="n"/>
      <c r="D47" s="82" t="n"/>
      <c r="E47" s="82" t="n"/>
      <c r="F47" s="82" t="n"/>
      <c r="G47" s="82" t="n"/>
    </row>
    <row r="48">
      <c r="A48" s="82" t="n"/>
      <c r="B48" s="82" t="n"/>
      <c r="C48" s="82" t="n"/>
      <c r="D48" s="82" t="n"/>
      <c r="E48" s="82" t="n"/>
      <c r="F48" s="82" t="n"/>
      <c r="G48" s="82" t="n"/>
    </row>
    <row r="49">
      <c r="A49" s="82" t="n"/>
      <c r="B49" s="82" t="n"/>
      <c r="C49" s="82" t="n"/>
      <c r="D49" s="82" t="n"/>
      <c r="E49" s="82" t="n"/>
      <c r="F49" s="82" t="n"/>
      <c r="G49" s="82" t="n"/>
    </row>
    <row r="50">
      <c r="A50" s="82" t="n"/>
      <c r="B50" s="82" t="n"/>
      <c r="C50" s="82" t="n"/>
      <c r="D50" s="82" t="n"/>
      <c r="E50" s="82" t="n"/>
      <c r="F50" s="82" t="n"/>
      <c r="G50" s="82" t="n"/>
    </row>
    <row r="51">
      <c r="A51" s="82" t="n"/>
      <c r="B51" s="82" t="n"/>
      <c r="C51" s="82" t="n"/>
      <c r="D51" s="82" t="n"/>
      <c r="E51" s="82" t="n"/>
      <c r="F51" s="82" t="n"/>
      <c r="G51" s="82" t="n"/>
    </row>
    <row r="52">
      <c r="A52" s="82" t="n"/>
      <c r="B52" s="82" t="n"/>
      <c r="C52" s="82" t="n"/>
      <c r="D52" s="82" t="n"/>
      <c r="E52" s="82" t="n"/>
      <c r="F52" s="82" t="n"/>
      <c r="G52" s="82" t="n"/>
    </row>
    <row r="53">
      <c r="A53" s="82" t="n"/>
      <c r="B53" s="82" t="n"/>
      <c r="C53" s="82" t="n"/>
      <c r="D53" s="82" t="n"/>
      <c r="E53" s="82" t="n"/>
      <c r="F53" s="82" t="n"/>
      <c r="G53" s="82" t="n"/>
    </row>
    <row r="54">
      <c r="A54" s="82" t="n"/>
      <c r="B54" s="82" t="n"/>
      <c r="C54" s="82" t="n"/>
      <c r="D54" s="82" t="n"/>
      <c r="E54" s="82" t="n"/>
      <c r="F54" s="82" t="n"/>
      <c r="G54" s="82" t="n"/>
    </row>
    <row r="55">
      <c r="A55" s="82" t="n"/>
      <c r="B55" s="82" t="n"/>
      <c r="C55" s="82" t="n"/>
      <c r="D55" s="82" t="n"/>
      <c r="E55" s="82" t="n"/>
      <c r="F55" s="82" t="n"/>
      <c r="G55" s="82" t="n"/>
    </row>
    <row r="56">
      <c r="A56" s="82" t="n"/>
      <c r="B56" s="82" t="n"/>
      <c r="C56" s="82" t="n"/>
      <c r="D56" s="82" t="n"/>
      <c r="E56" s="82" t="n"/>
      <c r="F56" s="82" t="n"/>
      <c r="G56" s="82" t="n"/>
    </row>
    <row r="57">
      <c r="A57" s="82" t="n"/>
      <c r="B57" s="82" t="n"/>
      <c r="C57" s="82" t="n"/>
      <c r="D57" s="82" t="n"/>
      <c r="E57" s="82" t="n"/>
      <c r="F57" s="82" t="n"/>
      <c r="G57" s="82" t="n"/>
    </row>
    <row r="58">
      <c r="A58" s="82" t="n"/>
      <c r="B58" s="82" t="n"/>
      <c r="C58" s="82" t="n"/>
      <c r="D58" s="82" t="n"/>
      <c r="E58" s="82" t="n"/>
      <c r="F58" s="82" t="n"/>
      <c r="G58" s="82" t="n"/>
    </row>
    <row r="59">
      <c r="A59" s="82" t="n"/>
      <c r="B59" s="82" t="n"/>
      <c r="C59" s="82" t="n"/>
      <c r="D59" s="82" t="n"/>
      <c r="E59" s="82" t="n"/>
      <c r="F59" s="82" t="n"/>
      <c r="G59" s="82" t="n"/>
    </row>
    <row r="60">
      <c r="A60" s="82" t="n"/>
      <c r="B60" s="82" t="n"/>
      <c r="C60" s="82" t="n"/>
      <c r="D60" s="82" t="n"/>
      <c r="E60" s="82" t="n"/>
      <c r="F60" s="82" t="n"/>
      <c r="G60" s="82" t="n"/>
    </row>
    <row r="61">
      <c r="A61" s="82" t="n"/>
      <c r="B61" s="82" t="n"/>
      <c r="C61" s="82" t="n"/>
      <c r="D61" s="82" t="n"/>
      <c r="E61" s="82" t="n"/>
      <c r="F61" s="82" t="n"/>
      <c r="G61" s="82" t="n"/>
    </row>
    <row r="62">
      <c r="A62" s="82" t="n"/>
      <c r="B62" s="82" t="n"/>
      <c r="C62" s="82" t="n"/>
      <c r="D62" s="82" t="n"/>
      <c r="E62" s="82" t="n"/>
      <c r="F62" s="82" t="n"/>
      <c r="G62" s="82" t="n"/>
    </row>
    <row r="63">
      <c r="A63" s="82" t="n"/>
      <c r="B63" s="82" t="n"/>
      <c r="C63" s="82" t="n"/>
      <c r="D63" s="82" t="n"/>
      <c r="E63" s="82" t="n"/>
      <c r="F63" s="82" t="n"/>
      <c r="G63" s="82" t="n"/>
    </row>
    <row r="64">
      <c r="A64" s="82" t="n"/>
      <c r="B64" s="82" t="n"/>
      <c r="C64" s="82" t="n"/>
      <c r="D64" s="82" t="n"/>
      <c r="E64" s="82" t="n"/>
      <c r="F64" s="82" t="n"/>
      <c r="G64" s="82" t="n"/>
    </row>
    <row r="65">
      <c r="A65" s="82" t="n"/>
      <c r="B65" s="82" t="n"/>
      <c r="C65" s="82" t="n"/>
      <c r="D65" s="82" t="n"/>
      <c r="E65" s="82" t="n"/>
      <c r="F65" s="82" t="n"/>
      <c r="G65" s="82" t="n"/>
    </row>
    <row r="66">
      <c r="A66" s="82" t="n"/>
      <c r="B66" s="82" t="n"/>
      <c r="C66" s="82" t="n"/>
      <c r="D66" s="82" t="n"/>
      <c r="E66" s="82" t="n"/>
      <c r="F66" s="82" t="n"/>
      <c r="G66" s="82" t="n"/>
    </row>
    <row r="67">
      <c r="A67" s="82" t="n"/>
      <c r="B67" s="82" t="n"/>
      <c r="C67" s="82" t="n"/>
      <c r="D67" s="82" t="n"/>
      <c r="E67" s="82" t="n"/>
      <c r="F67" s="82" t="n"/>
      <c r="G67" s="82" t="n"/>
    </row>
    <row r="68">
      <c r="A68" s="82" t="n"/>
      <c r="B68" s="82" t="n"/>
      <c r="C68" s="82" t="n"/>
      <c r="D68" s="82" t="n"/>
      <c r="E68" s="82" t="n"/>
      <c r="F68" s="82" t="n"/>
      <c r="G68" s="82" t="n"/>
    </row>
    <row r="69">
      <c r="A69" s="82" t="n"/>
      <c r="B69" s="82" t="n"/>
      <c r="C69" s="82" t="n"/>
      <c r="D69" s="82" t="n"/>
      <c r="E69" s="82" t="n"/>
      <c r="F69" s="82" t="n"/>
      <c r="G69" s="82" t="n"/>
    </row>
    <row r="70">
      <c r="A70" s="82" t="n"/>
      <c r="B70" s="82" t="n"/>
      <c r="C70" s="82" t="n"/>
      <c r="D70" s="82" t="n"/>
      <c r="E70" s="82" t="n"/>
      <c r="F70" s="82" t="n"/>
      <c r="G70" s="82" t="n"/>
    </row>
    <row r="71">
      <c r="A71" s="82" t="n"/>
      <c r="B71" s="82" t="n"/>
      <c r="C71" s="82" t="n"/>
      <c r="D71" s="82" t="n"/>
      <c r="E71" s="82" t="n"/>
      <c r="F71" s="82" t="n"/>
      <c r="G71" s="82" t="n"/>
    </row>
    <row r="72">
      <c r="A72" s="82" t="n"/>
      <c r="B72" s="82" t="n"/>
      <c r="C72" s="82" t="n"/>
      <c r="D72" s="82" t="n"/>
      <c r="E72" s="82" t="n"/>
      <c r="F72" s="82" t="n"/>
      <c r="G72" s="82" t="n"/>
    </row>
    <row r="73">
      <c r="A73" s="82" t="n"/>
      <c r="B73" s="82" t="n"/>
      <c r="C73" s="82" t="n"/>
      <c r="D73" s="82" t="n"/>
      <c r="E73" s="82" t="n"/>
      <c r="F73" s="82" t="n"/>
      <c r="G73" s="82" t="n"/>
    </row>
    <row r="74">
      <c r="A74" s="82" t="n"/>
      <c r="B74" s="82" t="n"/>
      <c r="C74" s="82" t="n"/>
      <c r="D74" s="82" t="n"/>
      <c r="E74" s="82" t="n"/>
      <c r="F74" s="82" t="n"/>
      <c r="G74" s="82" t="n"/>
    </row>
    <row r="75">
      <c r="A75" s="82" t="n"/>
      <c r="B75" s="82" t="n"/>
      <c r="C75" s="82" t="n"/>
      <c r="D75" s="82" t="n"/>
      <c r="E75" s="82" t="n"/>
      <c r="F75" s="82" t="n"/>
      <c r="G75" s="82" t="n"/>
    </row>
    <row r="76">
      <c r="A76" s="82" t="n"/>
      <c r="B76" s="82" t="n"/>
      <c r="C76" s="82" t="n"/>
      <c r="D76" s="82" t="n"/>
      <c r="E76" s="82" t="n"/>
      <c r="F76" s="82" t="n"/>
      <c r="G76" s="82" t="n"/>
    </row>
    <row r="77">
      <c r="A77" s="82" t="n"/>
      <c r="B77" s="82" t="n"/>
      <c r="C77" s="82" t="n"/>
      <c r="D77" s="82" t="n"/>
      <c r="E77" s="82" t="n"/>
      <c r="F77" s="82" t="n"/>
      <c r="G77" s="82" t="n"/>
    </row>
    <row r="78">
      <c r="A78" s="82" t="n"/>
      <c r="B78" s="82" t="n"/>
      <c r="C78" s="82" t="n"/>
      <c r="D78" s="82" t="n"/>
      <c r="E78" s="82" t="n"/>
      <c r="F78" s="82" t="n"/>
      <c r="G78" s="82" t="n"/>
    </row>
    <row r="79">
      <c r="A79" s="82" t="n"/>
      <c r="B79" s="82" t="n"/>
      <c r="C79" s="82" t="n"/>
      <c r="D79" s="82" t="n"/>
      <c r="E79" s="82" t="n"/>
      <c r="F79" s="82" t="n"/>
      <c r="G79" s="82" t="n"/>
    </row>
    <row r="80">
      <c r="A80" s="82" t="n"/>
      <c r="B80" s="82" t="n"/>
      <c r="C80" s="82" t="n"/>
      <c r="D80" s="82" t="n"/>
      <c r="E80" s="82" t="n"/>
      <c r="F80" s="82" t="n"/>
      <c r="G80" s="82" t="n"/>
    </row>
    <row r="81">
      <c r="A81" s="82" t="n"/>
      <c r="B81" s="82" t="n"/>
      <c r="C81" s="82" t="n"/>
      <c r="D81" s="82" t="n"/>
      <c r="E81" s="82" t="n"/>
      <c r="F81" s="82" t="n"/>
      <c r="G81" s="82" t="n"/>
    </row>
    <row r="82">
      <c r="A82" s="82" t="n"/>
      <c r="B82" s="82" t="n"/>
      <c r="C82" s="82" t="n"/>
      <c r="D82" s="82" t="n"/>
      <c r="E82" s="82" t="n"/>
      <c r="F82" s="82" t="n"/>
      <c r="G82" s="82" t="n"/>
    </row>
    <row r="83">
      <c r="A83" s="82" t="n"/>
      <c r="B83" s="82" t="n"/>
      <c r="C83" s="82" t="n"/>
      <c r="D83" s="82" t="n"/>
      <c r="E83" s="82" t="n"/>
      <c r="F83" s="82" t="n"/>
      <c r="G83" s="82" t="n"/>
    </row>
    <row r="84">
      <c r="A84" s="82" t="n"/>
      <c r="B84" s="82" t="n"/>
      <c r="C84" s="82" t="n"/>
      <c r="D84" s="82" t="n"/>
      <c r="E84" s="82" t="n"/>
      <c r="F84" s="82" t="n"/>
      <c r="G84" s="82" t="n"/>
    </row>
    <row r="85">
      <c r="A85" s="82" t="n"/>
      <c r="B85" s="82" t="n"/>
      <c r="C85" s="82" t="n"/>
      <c r="D85" s="82" t="n"/>
      <c r="E85" s="82" t="n"/>
      <c r="F85" s="82" t="n"/>
      <c r="G85" s="82" t="n"/>
    </row>
    <row r="86">
      <c r="A86" s="82" t="n"/>
      <c r="B86" s="82" t="n"/>
      <c r="C86" s="82" t="n"/>
      <c r="D86" s="82" t="n"/>
      <c r="E86" s="82" t="n"/>
      <c r="F86" s="82" t="n"/>
      <c r="G86" s="82" t="n"/>
    </row>
    <row r="87">
      <c r="A87" s="82" t="n"/>
      <c r="B87" s="82" t="n"/>
      <c r="C87" s="82" t="n"/>
      <c r="D87" s="82" t="n"/>
      <c r="E87" s="82" t="n"/>
      <c r="F87" s="82" t="n"/>
      <c r="G87" s="82" t="n"/>
    </row>
    <row r="88">
      <c r="A88" s="82" t="n"/>
      <c r="B88" s="82" t="n"/>
      <c r="C88" s="82" t="n"/>
      <c r="D88" s="82" t="n"/>
      <c r="E88" s="82" t="n"/>
      <c r="F88" s="82" t="n"/>
      <c r="G88" s="82" t="n"/>
    </row>
    <row r="89">
      <c r="A89" s="82" t="n"/>
      <c r="B89" s="82" t="n"/>
      <c r="C89" s="82" t="n"/>
      <c r="D89" s="82" t="n"/>
      <c r="E89" s="82" t="n"/>
      <c r="F89" s="82" t="n"/>
      <c r="G89" s="82" t="n"/>
    </row>
    <row r="90">
      <c r="A90" s="82" t="n"/>
      <c r="B90" s="82" t="n"/>
      <c r="C90" s="82" t="n"/>
      <c r="D90" s="82" t="n"/>
      <c r="E90" s="82" t="n"/>
      <c r="F90" s="82" t="n"/>
      <c r="G90" s="82" t="n"/>
    </row>
    <row r="91">
      <c r="A91" s="82" t="n"/>
      <c r="B91" s="82" t="n"/>
      <c r="C91" s="82" t="n"/>
      <c r="D91" s="82" t="n"/>
      <c r="E91" s="82" t="n"/>
      <c r="F91" s="82" t="n"/>
      <c r="G91" s="82" t="n"/>
    </row>
    <row r="92">
      <c r="A92" s="82" t="n"/>
      <c r="B92" s="82" t="n"/>
      <c r="C92" s="82" t="n"/>
      <c r="D92" s="82" t="n"/>
      <c r="E92" s="82" t="n"/>
      <c r="F92" s="82" t="n"/>
      <c r="G92" s="82" t="n"/>
    </row>
    <row r="93">
      <c r="A93" s="82" t="n"/>
      <c r="B93" s="82" t="n"/>
      <c r="C93" s="82" t="n"/>
      <c r="D93" s="82" t="n"/>
      <c r="E93" s="82" t="n"/>
      <c r="F93" s="82" t="n"/>
      <c r="G93" s="82" t="n"/>
    </row>
    <row r="94">
      <c r="A94" s="82" t="n"/>
      <c r="B94" s="82" t="n"/>
      <c r="C94" s="82" t="n"/>
      <c r="D94" s="82" t="n"/>
      <c r="E94" s="82" t="n"/>
      <c r="F94" s="82" t="n"/>
      <c r="G94" s="82" t="n"/>
    </row>
    <row r="95">
      <c r="A95" s="82" t="n"/>
      <c r="B95" s="82" t="n"/>
      <c r="C95" s="82" t="n"/>
      <c r="D95" s="82" t="n"/>
      <c r="E95" s="82" t="n"/>
      <c r="F95" s="82" t="n"/>
      <c r="G95" s="82" t="n"/>
    </row>
    <row r="96">
      <c r="A96" s="82" t="n"/>
      <c r="B96" s="82" t="n"/>
      <c r="C96" s="82" t="n"/>
      <c r="D96" s="82" t="n"/>
      <c r="E96" s="82" t="n"/>
      <c r="F96" s="82" t="n"/>
      <c r="G96" s="82" t="n"/>
    </row>
    <row r="97">
      <c r="A97" s="82" t="n"/>
      <c r="B97" s="82" t="n"/>
      <c r="C97" s="82" t="n"/>
      <c r="D97" s="82" t="n"/>
      <c r="E97" s="82" t="n"/>
      <c r="F97" s="82" t="n"/>
      <c r="G97" s="82" t="n"/>
    </row>
    <row r="98">
      <c r="A98" s="82" t="n"/>
      <c r="B98" s="82" t="n"/>
      <c r="C98" s="82" t="n"/>
      <c r="D98" s="82" t="n"/>
      <c r="E98" s="82" t="n"/>
      <c r="F98" s="82" t="n"/>
      <c r="G98" s="82" t="n"/>
    </row>
    <row r="99">
      <c r="A99" s="82" t="n"/>
      <c r="B99" s="82" t="n"/>
      <c r="C99" s="82" t="n"/>
      <c r="D99" s="82" t="n"/>
      <c r="E99" s="82" t="n"/>
      <c r="F99" s="82" t="n"/>
      <c r="G99" s="82" t="n"/>
    </row>
    <row r="100">
      <c r="A100" s="82" t="n"/>
      <c r="B100" s="82" t="n"/>
      <c r="C100" s="82" t="n"/>
      <c r="D100" s="82" t="n"/>
      <c r="E100" s="82" t="n"/>
      <c r="F100" s="82" t="n"/>
      <c r="G100" s="82" t="n"/>
    </row>
    <row r="101">
      <c r="A101" s="82" t="n"/>
      <c r="B101" s="82" t="n"/>
      <c r="C101" s="82" t="n"/>
      <c r="D101" s="82" t="n"/>
      <c r="E101" s="82" t="n"/>
      <c r="F101" s="82" t="n"/>
      <c r="G101" s="82" t="n"/>
    </row>
    <row r="102">
      <c r="A102" s="82" t="n"/>
      <c r="B102" s="82" t="n"/>
      <c r="C102" s="82" t="n"/>
      <c r="D102" s="82" t="n"/>
      <c r="E102" s="82" t="n"/>
      <c r="F102" s="82" t="n"/>
      <c r="G102" s="82" t="n"/>
    </row>
    <row r="103">
      <c r="A103" s="82" t="n"/>
      <c r="B103" s="82" t="n"/>
      <c r="C103" s="82" t="n"/>
      <c r="D103" s="82" t="n"/>
      <c r="E103" s="82" t="n"/>
      <c r="F103" s="82" t="n"/>
      <c r="G103" s="82" t="n"/>
    </row>
    <row r="104">
      <c r="A104" s="82" t="n"/>
      <c r="B104" s="82" t="n"/>
      <c r="C104" s="82" t="n"/>
      <c r="D104" s="82" t="n"/>
      <c r="E104" s="82" t="n"/>
      <c r="F104" s="82" t="n"/>
      <c r="G104" s="82" t="n"/>
    </row>
    <row r="105">
      <c r="A105" s="82" t="n"/>
      <c r="B105" s="82" t="n"/>
      <c r="C105" s="82" t="n"/>
      <c r="D105" s="82" t="n"/>
      <c r="E105" s="82" t="n"/>
      <c r="F105" s="82" t="n"/>
      <c r="G105" s="82" t="n"/>
    </row>
    <row r="106">
      <c r="A106" s="82" t="n"/>
      <c r="B106" s="82" t="n"/>
      <c r="C106" s="82" t="n"/>
      <c r="D106" s="82" t="n"/>
      <c r="E106" s="82" t="n"/>
      <c r="F106" s="82" t="n"/>
      <c r="G106" s="82" t="n"/>
    </row>
    <row r="107">
      <c r="A107" s="82" t="n"/>
      <c r="B107" s="82" t="n"/>
      <c r="C107" s="82" t="n"/>
      <c r="D107" s="82" t="n"/>
      <c r="E107" s="82" t="n"/>
      <c r="F107" s="82" t="n"/>
      <c r="G107" s="82" t="n"/>
    </row>
    <row r="108">
      <c r="A108" s="82" t="n"/>
      <c r="B108" s="82" t="n"/>
      <c r="C108" s="82" t="n"/>
      <c r="D108" s="82" t="n"/>
      <c r="E108" s="82" t="n"/>
      <c r="F108" s="82" t="n"/>
      <c r="G108" s="82" t="n"/>
    </row>
    <row r="109">
      <c r="A109" s="82" t="n"/>
      <c r="B109" s="82" t="n"/>
      <c r="C109" s="82" t="n"/>
      <c r="D109" s="82" t="n"/>
      <c r="E109" s="82" t="n"/>
      <c r="F109" s="82" t="n"/>
      <c r="G109" s="82" t="n"/>
    </row>
    <row r="110">
      <c r="A110" s="82" t="n"/>
      <c r="B110" s="82" t="n"/>
      <c r="C110" s="82" t="n"/>
      <c r="D110" s="82" t="n"/>
      <c r="E110" s="82" t="n"/>
      <c r="F110" s="82" t="n"/>
      <c r="G110" s="82" t="n"/>
    </row>
    <row r="111">
      <c r="A111" s="82" t="n"/>
      <c r="B111" s="82" t="n"/>
      <c r="C111" s="82" t="n"/>
      <c r="D111" s="82" t="n"/>
      <c r="E111" s="82" t="n"/>
      <c r="F111" s="82" t="n"/>
      <c r="G111" s="82" t="n"/>
    </row>
    <row r="112">
      <c r="A112" s="82" t="n"/>
      <c r="B112" s="82" t="n"/>
      <c r="C112" s="82" t="n"/>
      <c r="D112" s="82" t="n"/>
      <c r="E112" s="82" t="n"/>
      <c r="F112" s="82" t="n"/>
      <c r="G112" s="82" t="n"/>
    </row>
    <row r="113">
      <c r="A113" s="82" t="n"/>
      <c r="B113" s="82" t="n"/>
      <c r="C113" s="82" t="n"/>
      <c r="D113" s="82" t="n"/>
      <c r="E113" s="82" t="n"/>
      <c r="F113" s="82" t="n"/>
      <c r="G113" s="82" t="n"/>
    </row>
    <row r="114">
      <c r="A114" s="82" t="n"/>
      <c r="B114" s="82" t="n"/>
      <c r="C114" s="82" t="n"/>
      <c r="D114" s="82" t="n"/>
      <c r="E114" s="82" t="n"/>
      <c r="F114" s="82" t="n"/>
      <c r="G114" s="82" t="n"/>
    </row>
    <row r="115">
      <c r="A115" s="82" t="n"/>
      <c r="B115" s="82" t="n"/>
      <c r="C115" s="82" t="n"/>
      <c r="D115" s="82" t="n"/>
      <c r="E115" s="82" t="n"/>
      <c r="F115" s="82" t="n"/>
      <c r="G115" s="82" t="n"/>
    </row>
    <row r="116">
      <c r="A116" s="82" t="n"/>
      <c r="B116" s="82" t="n"/>
      <c r="C116" s="82" t="n"/>
      <c r="D116" s="82" t="n"/>
      <c r="E116" s="82" t="n"/>
      <c r="F116" s="82" t="n"/>
      <c r="G116" s="82" t="n"/>
    </row>
    <row r="117">
      <c r="A117" s="82" t="n"/>
      <c r="B117" s="82" t="n"/>
      <c r="C117" s="82" t="n"/>
      <c r="D117" s="82" t="n"/>
      <c r="E117" s="82" t="n"/>
      <c r="F117" s="82" t="n"/>
      <c r="G117" s="82" t="n"/>
    </row>
    <row r="118">
      <c r="A118" s="82" t="n"/>
      <c r="B118" s="82" t="n"/>
      <c r="C118" s="82" t="n"/>
      <c r="D118" s="82" t="n"/>
      <c r="E118" s="82" t="n"/>
      <c r="F118" s="82" t="n"/>
      <c r="G118" s="82" t="n"/>
    </row>
    <row r="119">
      <c r="A119" s="82" t="n"/>
      <c r="B119" s="82" t="n"/>
      <c r="C119" s="82" t="n"/>
      <c r="D119" s="82" t="n"/>
      <c r="E119" s="82" t="n"/>
      <c r="F119" s="82" t="n"/>
      <c r="G119" s="82" t="n"/>
    </row>
    <row r="120">
      <c r="A120" s="82" t="n"/>
      <c r="B120" s="82" t="n"/>
      <c r="C120" s="82" t="n"/>
      <c r="D120" s="82" t="n"/>
      <c r="E120" s="82" t="n"/>
      <c r="F120" s="82" t="n"/>
      <c r="G120" s="82" t="n"/>
    </row>
    <row r="121">
      <c r="A121" s="82" t="n"/>
      <c r="B121" s="82" t="n"/>
      <c r="C121" s="82" t="n"/>
      <c r="D121" s="82" t="n"/>
      <c r="E121" s="82" t="n"/>
      <c r="F121" s="82" t="n"/>
      <c r="G121" s="82" t="n"/>
    </row>
    <row r="122">
      <c r="A122" s="82" t="n"/>
      <c r="B122" s="82" t="n"/>
      <c r="C122" s="82" t="n"/>
      <c r="D122" s="82" t="n"/>
      <c r="E122" s="82" t="n"/>
      <c r="F122" s="82" t="n"/>
      <c r="G122" s="82" t="n"/>
    </row>
    <row r="123">
      <c r="A123" s="82" t="n"/>
      <c r="B123" s="82" t="n"/>
      <c r="C123" s="82" t="n"/>
      <c r="D123" s="82" t="n"/>
      <c r="E123" s="82" t="n"/>
      <c r="F123" s="82" t="n"/>
      <c r="G123" s="82" t="n"/>
    </row>
    <row r="124">
      <c r="A124" s="82" t="n"/>
      <c r="B124" s="82" t="n"/>
      <c r="C124" s="82" t="n"/>
      <c r="D124" s="82" t="n"/>
      <c r="E124" s="82" t="n"/>
      <c r="F124" s="82" t="n"/>
      <c r="G124" s="82" t="n"/>
    </row>
    <row r="125">
      <c r="A125" s="82" t="n"/>
      <c r="B125" s="82" t="n"/>
      <c r="C125" s="82" t="n"/>
      <c r="D125" s="82" t="n"/>
      <c r="E125" s="82" t="n"/>
      <c r="F125" s="82" t="n"/>
      <c r="G125" s="82" t="n"/>
    </row>
    <row r="126">
      <c r="A126" s="82" t="n"/>
      <c r="B126" s="82" t="n"/>
      <c r="C126" s="82" t="n"/>
      <c r="D126" s="82" t="n"/>
      <c r="E126" s="82" t="n"/>
      <c r="F126" s="82" t="n"/>
      <c r="G126" s="82" t="n"/>
    </row>
    <row r="127">
      <c r="A127" s="82" t="n"/>
      <c r="B127" s="82" t="n"/>
      <c r="C127" s="82" t="n"/>
      <c r="D127" s="82" t="n"/>
      <c r="E127" s="82" t="n"/>
      <c r="F127" s="82" t="n"/>
      <c r="G127" s="82" t="n"/>
    </row>
    <row r="128">
      <c r="A128" s="82" t="n"/>
      <c r="B128" s="82" t="n"/>
      <c r="C128" s="82" t="n"/>
      <c r="D128" s="82" t="n"/>
      <c r="E128" s="82" t="n"/>
      <c r="F128" s="82" t="n"/>
      <c r="G128" s="82" t="n"/>
    </row>
    <row r="129">
      <c r="A129" s="82" t="n"/>
      <c r="B129" s="82" t="n"/>
      <c r="C129" s="82" t="n"/>
      <c r="D129" s="82" t="n"/>
      <c r="E129" s="82" t="n"/>
      <c r="F129" s="82" t="n"/>
      <c r="G129" s="82" t="n"/>
    </row>
    <row r="130">
      <c r="A130" s="82" t="n"/>
      <c r="B130" s="82" t="n"/>
      <c r="C130" s="82" t="n"/>
      <c r="D130" s="82" t="n"/>
      <c r="E130" s="82" t="n"/>
      <c r="F130" s="82" t="n"/>
      <c r="G130" s="82" t="n"/>
    </row>
    <row r="131">
      <c r="A131" s="82" t="n"/>
      <c r="B131" s="82" t="n"/>
      <c r="C131" s="82" t="n"/>
      <c r="D131" s="82" t="n"/>
      <c r="E131" s="82" t="n"/>
      <c r="F131" s="82" t="n"/>
      <c r="G131" s="82" t="n"/>
    </row>
    <row r="132">
      <c r="A132" s="82" t="n"/>
      <c r="B132" s="82" t="n"/>
      <c r="C132" s="82" t="n"/>
      <c r="D132" s="82" t="n"/>
      <c r="E132" s="82" t="n"/>
      <c r="F132" s="82" t="n"/>
      <c r="G132" s="82" t="n"/>
    </row>
    <row r="133">
      <c r="A133" s="82" t="n"/>
      <c r="B133" s="82" t="n"/>
      <c r="C133" s="82" t="n"/>
      <c r="D133" s="82" t="n"/>
      <c r="E133" s="82" t="n"/>
      <c r="F133" s="82" t="n"/>
      <c r="G133" s="82" t="n"/>
    </row>
    <row r="134">
      <c r="A134" s="82" t="n"/>
      <c r="B134" s="82" t="n"/>
      <c r="C134" s="82" t="n"/>
      <c r="D134" s="82" t="n"/>
      <c r="E134" s="82" t="n"/>
      <c r="F134" s="82" t="n"/>
      <c r="G134" s="82" t="n"/>
    </row>
    <row r="135">
      <c r="A135" s="82" t="n"/>
      <c r="B135" s="82" t="n"/>
      <c r="C135" s="82" t="n"/>
      <c r="D135" s="82" t="n"/>
      <c r="E135" s="82" t="n"/>
      <c r="F135" s="82" t="n"/>
      <c r="G135" s="82" t="n"/>
    </row>
    <row r="136">
      <c r="A136" s="82" t="n"/>
      <c r="B136" s="82" t="n"/>
      <c r="C136" s="82" t="n"/>
      <c r="D136" s="82" t="n"/>
      <c r="E136" s="82" t="n"/>
      <c r="F136" s="82" t="n"/>
      <c r="G136" s="82" t="n"/>
    </row>
    <row r="137">
      <c r="A137" s="82" t="n"/>
      <c r="B137" s="82" t="n"/>
      <c r="C137" s="82" t="n"/>
      <c r="D137" s="82" t="n"/>
      <c r="E137" s="82" t="n"/>
      <c r="F137" s="82" t="n"/>
      <c r="G137" s="82" t="n"/>
    </row>
    <row r="138">
      <c r="A138" s="82" t="n"/>
      <c r="B138" s="82" t="n"/>
      <c r="C138" s="82" t="n"/>
      <c r="D138" s="82" t="n"/>
      <c r="E138" s="82" t="n"/>
      <c r="F138" s="82" t="n"/>
      <c r="G138" s="82" t="n"/>
    </row>
    <row r="139">
      <c r="A139" s="82" t="n"/>
      <c r="B139" s="82" t="n"/>
      <c r="C139" s="82" t="n"/>
      <c r="D139" s="82" t="n"/>
      <c r="E139" s="82" t="n"/>
      <c r="F139" s="82" t="n"/>
      <c r="G139" s="82" t="n"/>
    </row>
    <row r="140">
      <c r="A140" s="82" t="n"/>
      <c r="B140" s="82" t="n"/>
      <c r="C140" s="82" t="n"/>
      <c r="D140" s="82" t="n"/>
      <c r="E140" s="82" t="n"/>
      <c r="F140" s="82" t="n"/>
      <c r="G140" s="82" t="n"/>
    </row>
    <row r="141">
      <c r="A141" s="82" t="n"/>
      <c r="B141" s="82" t="n"/>
      <c r="C141" s="82" t="n"/>
      <c r="D141" s="82" t="n"/>
      <c r="E141" s="82" t="n"/>
      <c r="F141" s="82" t="n"/>
      <c r="G141" s="82" t="n"/>
    </row>
    <row r="142">
      <c r="A142" s="82" t="n"/>
      <c r="B142" s="82" t="n"/>
      <c r="C142" s="82" t="n"/>
      <c r="D142" s="82" t="n"/>
      <c r="E142" s="82" t="n"/>
      <c r="F142" s="82" t="n"/>
      <c r="G142" s="82" t="n"/>
    </row>
    <row r="143">
      <c r="A143" s="82" t="n"/>
      <c r="B143" s="82" t="n"/>
      <c r="C143" s="82" t="n"/>
      <c r="D143" s="82" t="n"/>
      <c r="E143" s="82" t="n"/>
      <c r="F143" s="82" t="n"/>
      <c r="G143" s="82" t="n"/>
    </row>
    <row r="144">
      <c r="A144" s="82" t="n"/>
      <c r="B144" s="82" t="n"/>
      <c r="C144" s="82" t="n"/>
      <c r="D144" s="82" t="n"/>
      <c r="E144" s="82" t="n"/>
      <c r="F144" s="82" t="n"/>
      <c r="G144" s="82" t="n"/>
    </row>
    <row r="145">
      <c r="A145" s="82" t="n"/>
      <c r="B145" s="82" t="n"/>
      <c r="C145" s="82" t="n"/>
      <c r="D145" s="82" t="n"/>
      <c r="E145" s="82" t="n"/>
      <c r="F145" s="82" t="n"/>
      <c r="G145" s="82" t="n"/>
    </row>
    <row r="146">
      <c r="A146" s="82" t="n"/>
      <c r="B146" s="82" t="n"/>
      <c r="C146" s="82" t="n"/>
      <c r="D146" s="82" t="n"/>
      <c r="E146" s="82" t="n"/>
      <c r="F146" s="82" t="n"/>
      <c r="G146" s="82" t="n"/>
    </row>
    <row r="147">
      <c r="A147" s="82" t="n"/>
      <c r="B147" s="82" t="n"/>
      <c r="C147" s="82" t="n"/>
      <c r="D147" s="82" t="n"/>
      <c r="E147" s="82" t="n"/>
      <c r="F147" s="82" t="n"/>
      <c r="G147" s="82" t="n"/>
    </row>
    <row r="148">
      <c r="A148" s="82" t="n"/>
      <c r="B148" s="82" t="n"/>
      <c r="C148" s="82" t="n"/>
      <c r="D148" s="82" t="n"/>
      <c r="E148" s="82" t="n"/>
      <c r="F148" s="82" t="n"/>
      <c r="G148" s="82" t="n"/>
    </row>
    <row r="149">
      <c r="A149" s="82" t="n"/>
      <c r="B149" s="82" t="n"/>
      <c r="C149" s="82" t="n"/>
      <c r="D149" s="82" t="n"/>
      <c r="E149" s="82" t="n"/>
      <c r="F149" s="82" t="n"/>
      <c r="G149" s="82" t="n"/>
    </row>
    <row r="150">
      <c r="A150" s="82" t="n"/>
      <c r="B150" s="82" t="n"/>
      <c r="C150" s="82" t="n"/>
      <c r="D150" s="82" t="n"/>
      <c r="E150" s="82" t="n"/>
      <c r="F150" s="82" t="n"/>
      <c r="G150" s="82" t="n"/>
    </row>
    <row r="151">
      <c r="A151" s="82" t="n"/>
      <c r="B151" s="82" t="n"/>
      <c r="C151" s="82" t="n"/>
      <c r="D151" s="82" t="n"/>
      <c r="E151" s="82" t="n"/>
      <c r="F151" s="82" t="n"/>
      <c r="G151" s="82" t="n"/>
    </row>
    <row r="152">
      <c r="A152" s="82" t="n"/>
      <c r="B152" s="82" t="n"/>
      <c r="C152" s="82" t="n"/>
      <c r="D152" s="82" t="n"/>
      <c r="E152" s="82" t="n"/>
      <c r="F152" s="82" t="n"/>
      <c r="G152" s="82" t="n"/>
    </row>
    <row r="153">
      <c r="A153" s="82" t="n"/>
      <c r="B153" s="82" t="n"/>
      <c r="C153" s="82" t="n"/>
      <c r="D153" s="82" t="n"/>
      <c r="E153" s="82" t="n"/>
      <c r="F153" s="82" t="n"/>
      <c r="G153" s="82" t="n"/>
    </row>
    <row r="154">
      <c r="A154" s="82" t="n"/>
      <c r="B154" s="82" t="n"/>
      <c r="C154" s="82" t="n"/>
      <c r="D154" s="82" t="n"/>
      <c r="E154" s="82" t="n"/>
      <c r="F154" s="82" t="n"/>
      <c r="G154" s="82" t="n"/>
    </row>
    <row r="155">
      <c r="A155" s="82" t="n"/>
      <c r="B155" s="82" t="n"/>
      <c r="C155" s="82" t="n"/>
      <c r="D155" s="82" t="n"/>
      <c r="E155" s="82" t="n"/>
      <c r="F155" s="82" t="n"/>
      <c r="G155" s="82" t="n"/>
    </row>
    <row r="156">
      <c r="A156" s="82" t="n"/>
      <c r="B156" s="82" t="n"/>
      <c r="C156" s="82" t="n"/>
      <c r="D156" s="82" t="n"/>
      <c r="E156" s="82" t="n"/>
      <c r="F156" s="82" t="n"/>
      <c r="G156" s="82" t="n"/>
    </row>
    <row r="157">
      <c r="A157" s="82" t="n"/>
      <c r="B157" s="82" t="n"/>
      <c r="C157" s="82" t="n"/>
      <c r="D157" s="82" t="n"/>
      <c r="E157" s="82" t="n"/>
      <c r="F157" s="82" t="n"/>
      <c r="G157" s="82" t="n"/>
    </row>
    <row r="158">
      <c r="A158" s="82" t="n"/>
      <c r="B158" s="82" t="n"/>
      <c r="C158" s="82" t="n"/>
      <c r="D158" s="82" t="n"/>
      <c r="E158" s="82" t="n"/>
      <c r="F158" s="82" t="n"/>
      <c r="G158" s="82" t="n"/>
    </row>
    <row r="159">
      <c r="A159" s="82" t="n"/>
      <c r="B159" s="82" t="n"/>
      <c r="C159" s="82" t="n"/>
      <c r="D159" s="82" t="n"/>
      <c r="E159" s="82" t="n"/>
      <c r="F159" s="82" t="n"/>
      <c r="G159" s="82" t="n"/>
    </row>
    <row r="160">
      <c r="A160" s="82" t="n"/>
      <c r="B160" s="82" t="n"/>
      <c r="C160" s="82" t="n"/>
      <c r="D160" s="82" t="n"/>
      <c r="E160" s="82" t="n"/>
      <c r="F160" s="82" t="n"/>
      <c r="G160" s="82" t="n"/>
    </row>
    <row r="161">
      <c r="A161" s="82" t="n"/>
      <c r="B161" s="82" t="n"/>
      <c r="C161" s="82" t="n"/>
      <c r="D161" s="82" t="n"/>
      <c r="E161" s="82" t="n"/>
      <c r="F161" s="82" t="n"/>
      <c r="G161" s="82" t="n"/>
    </row>
    <row r="162">
      <c r="A162" s="82" t="n"/>
      <c r="B162" s="82" t="n"/>
      <c r="C162" s="82" t="n"/>
      <c r="D162" s="82" t="n"/>
      <c r="E162" s="82" t="n"/>
      <c r="F162" s="82" t="n"/>
      <c r="G162" s="82" t="n"/>
    </row>
    <row r="163">
      <c r="A163" s="82" t="n"/>
      <c r="B163" s="82" t="n"/>
      <c r="C163" s="82" t="n"/>
      <c r="D163" s="82" t="n"/>
      <c r="E163" s="82" t="n"/>
      <c r="F163" s="82" t="n"/>
      <c r="G163" s="82" t="n"/>
    </row>
    <row r="164">
      <c r="A164" s="82" t="n"/>
      <c r="B164" s="82" t="n"/>
      <c r="C164" s="82" t="n"/>
      <c r="D164" s="82" t="n"/>
      <c r="E164" s="82" t="n"/>
      <c r="F164" s="82" t="n"/>
      <c r="G164" s="82" t="n"/>
    </row>
    <row r="165">
      <c r="A165" s="82" t="n"/>
      <c r="B165" s="82" t="n"/>
      <c r="C165" s="82" t="n"/>
      <c r="D165" s="82" t="n"/>
      <c r="E165" s="82" t="n"/>
      <c r="F165" s="82" t="n"/>
      <c r="G165" s="82" t="n"/>
    </row>
    <row r="166">
      <c r="A166" s="82" t="n"/>
      <c r="B166" s="82" t="n"/>
      <c r="C166" s="82" t="n"/>
      <c r="D166" s="82" t="n"/>
      <c r="E166" s="82" t="n"/>
      <c r="F166" s="82" t="n"/>
      <c r="G166" s="82" t="n"/>
    </row>
    <row r="167">
      <c r="A167" s="82" t="n"/>
      <c r="B167" s="82" t="n"/>
      <c r="C167" s="82" t="n"/>
      <c r="D167" s="82" t="n"/>
      <c r="E167" s="82" t="n"/>
      <c r="F167" s="82" t="n"/>
      <c r="G167" s="82" t="n"/>
    </row>
    <row r="168">
      <c r="A168" s="82" t="n"/>
      <c r="B168" s="82" t="n"/>
      <c r="C168" s="82" t="n"/>
      <c r="D168" s="82" t="n"/>
      <c r="E168" s="82" t="n"/>
      <c r="F168" s="82" t="n"/>
      <c r="G168" s="82" t="n"/>
    </row>
    <row r="169">
      <c r="A169" s="82" t="n"/>
      <c r="B169" s="82" t="n"/>
      <c r="C169" s="82" t="n"/>
      <c r="D169" s="82" t="n"/>
      <c r="E169" s="82" t="n"/>
      <c r="F169" s="82" t="n"/>
      <c r="G169" s="82" t="n"/>
    </row>
    <row r="170">
      <c r="A170" s="82" t="n"/>
      <c r="B170" s="82" t="n"/>
      <c r="C170" s="82" t="n"/>
      <c r="D170" s="82" t="n"/>
      <c r="E170" s="82" t="n"/>
      <c r="F170" s="82" t="n"/>
      <c r="G170" s="82" t="n"/>
    </row>
    <row r="171">
      <c r="A171" s="82" t="n"/>
      <c r="B171" s="82" t="n"/>
      <c r="C171" s="82" t="n"/>
      <c r="D171" s="82" t="n"/>
      <c r="E171" s="82" t="n"/>
      <c r="F171" s="82" t="n"/>
      <c r="G171" s="82" t="n"/>
    </row>
    <row r="172">
      <c r="A172" s="82" t="n"/>
      <c r="B172" s="82" t="n"/>
      <c r="C172" s="82" t="n"/>
      <c r="D172" s="82" t="n"/>
      <c r="E172" s="82" t="n"/>
      <c r="F172" s="82" t="n"/>
      <c r="G172" s="82" t="n"/>
    </row>
    <row r="173">
      <c r="A173" s="82" t="n"/>
      <c r="B173" s="82" t="n"/>
      <c r="C173" s="82" t="n"/>
      <c r="D173" s="82" t="n"/>
      <c r="E173" s="82" t="n"/>
      <c r="F173" s="82" t="n"/>
      <c r="G173" s="82" t="n"/>
    </row>
    <row r="174">
      <c r="A174" s="82" t="n"/>
      <c r="B174" s="82" t="n"/>
      <c r="C174" s="82" t="n"/>
      <c r="D174" s="82" t="n"/>
      <c r="E174" s="82" t="n"/>
      <c r="F174" s="82" t="n"/>
      <c r="G174" s="82" t="n"/>
    </row>
    <row r="175">
      <c r="A175" s="82" t="n"/>
      <c r="B175" s="82" t="n"/>
      <c r="C175" s="82" t="n"/>
      <c r="D175" s="82" t="n"/>
      <c r="E175" s="82" t="n"/>
      <c r="F175" s="82" t="n"/>
      <c r="G175" s="82" t="n"/>
    </row>
    <row r="176">
      <c r="A176" s="82" t="n"/>
      <c r="B176" s="82" t="n"/>
      <c r="C176" s="82" t="n"/>
      <c r="D176" s="82" t="n"/>
      <c r="E176" s="82" t="n"/>
      <c r="F176" s="82" t="n"/>
      <c r="G176" s="82" t="n"/>
    </row>
    <row r="177">
      <c r="A177" s="82" t="n"/>
      <c r="B177" s="82" t="n"/>
      <c r="C177" s="82" t="n"/>
      <c r="D177" s="82" t="n"/>
      <c r="E177" s="82" t="n"/>
      <c r="F177" s="82" t="n"/>
      <c r="G177" s="82" t="n"/>
    </row>
    <row r="178">
      <c r="A178" s="82" t="n"/>
      <c r="B178" s="82" t="n"/>
      <c r="C178" s="82" t="n"/>
      <c r="D178" s="82" t="n"/>
      <c r="E178" s="82" t="n"/>
      <c r="F178" s="82" t="n"/>
      <c r="G178" s="82" t="n"/>
    </row>
    <row r="179">
      <c r="A179" s="82" t="n"/>
      <c r="B179" s="82" t="n"/>
      <c r="C179" s="82" t="n"/>
      <c r="D179" s="82" t="n"/>
      <c r="E179" s="82" t="n"/>
      <c r="F179" s="82" t="n"/>
      <c r="G179" s="82" t="n"/>
    </row>
    <row r="180">
      <c r="A180" s="82" t="n"/>
      <c r="B180" s="82" t="n"/>
      <c r="C180" s="82" t="n"/>
      <c r="D180" s="82" t="n"/>
      <c r="E180" s="82" t="n"/>
      <c r="F180" s="82" t="n"/>
      <c r="G180" s="82" t="n"/>
    </row>
    <row r="181">
      <c r="A181" s="82" t="n"/>
      <c r="B181" s="82" t="n"/>
      <c r="C181" s="82" t="n"/>
      <c r="D181" s="82" t="n"/>
      <c r="E181" s="82" t="n"/>
      <c r="F181" s="82" t="n"/>
      <c r="G181" s="82" t="n"/>
    </row>
    <row r="182">
      <c r="A182" s="82" t="n"/>
      <c r="B182" s="82" t="n"/>
      <c r="C182" s="82" t="n"/>
      <c r="D182" s="82" t="n"/>
      <c r="E182" s="82" t="n"/>
      <c r="F182" s="82" t="n"/>
      <c r="G182" s="82" t="n"/>
    </row>
    <row r="183">
      <c r="A183" s="82" t="n"/>
      <c r="B183" s="82" t="n"/>
      <c r="C183" s="82" t="n"/>
      <c r="D183" s="82" t="n"/>
      <c r="E183" s="82" t="n"/>
      <c r="F183" s="82" t="n"/>
      <c r="G183" s="82" t="n"/>
    </row>
    <row r="184">
      <c r="A184" s="82" t="n"/>
      <c r="B184" s="82" t="n"/>
      <c r="C184" s="82" t="n"/>
      <c r="D184" s="82" t="n"/>
      <c r="E184" s="82" t="n"/>
      <c r="F184" s="82" t="n"/>
      <c r="G184" s="82" t="n"/>
    </row>
    <row r="185">
      <c r="A185" s="82" t="n"/>
      <c r="B185" s="82" t="n"/>
      <c r="C185" s="82" t="n"/>
      <c r="D185" s="82" t="n"/>
      <c r="E185" s="82" t="n"/>
      <c r="F185" s="82" t="n"/>
      <c r="G185" s="82" t="n"/>
    </row>
    <row r="186">
      <c r="A186" s="82" t="n"/>
      <c r="B186" s="82" t="n"/>
      <c r="C186" s="82" t="n"/>
      <c r="D186" s="82" t="n"/>
      <c r="E186" s="82" t="n"/>
      <c r="F186" s="82" t="n"/>
      <c r="G186" s="82" t="n"/>
    </row>
    <row r="187">
      <c r="A187" s="82" t="n"/>
      <c r="B187" s="82" t="n"/>
      <c r="C187" s="82" t="n"/>
      <c r="D187" s="82" t="n"/>
      <c r="E187" s="82" t="n"/>
      <c r="F187" s="82" t="n"/>
      <c r="G187" s="82" t="n"/>
    </row>
    <row r="188">
      <c r="A188" s="82" t="n"/>
      <c r="B188" s="82" t="n"/>
      <c r="C188" s="82" t="n"/>
      <c r="D188" s="82" t="n"/>
      <c r="E188" s="82" t="n"/>
      <c r="F188" s="82" t="n"/>
      <c r="G188" s="82" t="n"/>
    </row>
    <row r="189">
      <c r="A189" s="82" t="n"/>
      <c r="B189" s="82" t="n"/>
      <c r="C189" s="82" t="n"/>
      <c r="D189" s="82" t="n"/>
      <c r="E189" s="82" t="n"/>
      <c r="F189" s="82" t="n"/>
      <c r="G189" s="82" t="n"/>
    </row>
    <row r="190">
      <c r="A190" s="82" t="n"/>
      <c r="B190" s="82" t="n"/>
      <c r="C190" s="82" t="n"/>
      <c r="D190" s="82" t="n"/>
      <c r="E190" s="82" t="n"/>
      <c r="F190" s="82" t="n"/>
      <c r="G190" s="82" t="n"/>
    </row>
    <row r="191">
      <c r="A191" s="82" t="n"/>
      <c r="B191" s="82" t="n"/>
      <c r="C191" s="82" t="n"/>
      <c r="D191" s="82" t="n"/>
      <c r="E191" s="82" t="n"/>
      <c r="F191" s="82" t="n"/>
      <c r="G191" s="82" t="n"/>
    </row>
    <row r="192">
      <c r="A192" s="82" t="n"/>
      <c r="B192" s="82" t="n"/>
      <c r="C192" s="82" t="n"/>
      <c r="D192" s="82" t="n"/>
      <c r="E192" s="82" t="n"/>
      <c r="F192" s="82" t="n"/>
      <c r="G192" s="82" t="n"/>
    </row>
    <row r="193">
      <c r="A193" s="82" t="n"/>
      <c r="B193" s="82" t="n"/>
      <c r="C193" s="82" t="n"/>
      <c r="D193" s="82" t="n"/>
      <c r="E193" s="82" t="n"/>
      <c r="F193" s="82" t="n"/>
      <c r="G193" s="82" t="n"/>
    </row>
    <row r="194">
      <c r="A194" s="82" t="n"/>
      <c r="B194" s="82" t="n"/>
      <c r="C194" s="82" t="n"/>
      <c r="D194" s="82" t="n"/>
      <c r="E194" s="82" t="n"/>
      <c r="F194" s="82" t="n"/>
      <c r="G194" s="82" t="n"/>
    </row>
    <row r="195">
      <c r="A195" s="82" t="n"/>
      <c r="B195" s="82" t="n"/>
      <c r="C195" s="82" t="n"/>
      <c r="D195" s="82" t="n"/>
      <c r="E195" s="82" t="n"/>
      <c r="F195" s="82" t="n"/>
      <c r="G195" s="82" t="n"/>
    </row>
    <row r="196">
      <c r="A196" s="82" t="n"/>
      <c r="B196" s="82" t="n"/>
      <c r="C196" s="82" t="n"/>
      <c r="D196" s="82" t="n"/>
      <c r="E196" s="82" t="n"/>
      <c r="F196" s="82" t="n"/>
      <c r="G196" s="82" t="n"/>
    </row>
    <row r="197">
      <c r="A197" s="82" t="n"/>
      <c r="B197" s="82" t="n"/>
      <c r="C197" s="82" t="n"/>
      <c r="D197" s="82" t="n"/>
      <c r="E197" s="82" t="n"/>
      <c r="F197" s="82" t="n"/>
      <c r="G197" s="82" t="n"/>
    </row>
    <row r="198">
      <c r="A198" s="82" t="n"/>
      <c r="B198" s="82" t="n"/>
      <c r="C198" s="82" t="n"/>
      <c r="D198" s="82" t="n"/>
      <c r="E198" s="82" t="n"/>
      <c r="F198" s="82" t="n"/>
      <c r="G198" s="82" t="n"/>
    </row>
    <row r="199">
      <c r="A199" s="82" t="n"/>
      <c r="B199" s="82" t="n"/>
      <c r="C199" s="82" t="n"/>
      <c r="D199" s="82" t="n"/>
      <c r="E199" s="82" t="n"/>
      <c r="F199" s="82" t="n"/>
      <c r="G199" s="82" t="n"/>
    </row>
    <row r="200">
      <c r="A200" s="82" t="n"/>
      <c r="B200" s="82" t="n"/>
      <c r="C200" s="82" t="n"/>
      <c r="D200" s="82" t="n"/>
      <c r="E200" s="82" t="n"/>
      <c r="F200" s="82" t="n"/>
      <c r="G200" s="82" t="n"/>
    </row>
  </sheetData>
  <sheetProtection selectLockedCells="1" selectUnlockedCells="1" sheet="1" objects="0" insertRows="1" insertHyperlinks="1" autoFilter="1" scenarios="1" formatColumns="1" deleteColumns="0" insertColumns="0" pivotTables="1" deleteRows="0" formatCells="0" formatRows="1" sort="1" password="EC7C"/>
  <autoFilter ref="A4:G14"/>
  <mergeCells count="2">
    <mergeCell ref="A2:G2"/>
    <mergeCell ref="A1:G1"/>
  </mergeCells>
  <pageMargins left="0.4" right="0.4" top="0.6" bottom="0.5" header="0.25" footer="0.25"/>
  <pageSetup orientation="landscape" paperSize="3" fitToHeight="0" fitToWidth="1"/>
  <headerFooter>
    <oddHeader>&amp;LNovality Store  ·  Home Renovation System&amp;RAudit Log</oddHeader>
    <oddFooter>&amp;LConfidential  ·  Digital twin of the home&amp;RPage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premium</dc:creator>
  <dc:title>Novality Store — Home Renovation Management System</dc:title>
  <dc:description>Complete home renovation operating system: projects, rooms, design, budget, contractors, tasks, materials, documents, inventory, maintenance. Formula cells locked. Unprotect password: premium.</dc:description>
  <dc:subject>Home Renovation Management System</dc:subject>
  <dcterms:created xsi:type="dcterms:W3CDTF">2026-08-24T15:52:05Z</dcterms:created>
  <dcterms:modified xsi:type="dcterms:W3CDTF">2026-08-24T15:52:07Z</dcterms:modified>
  <cp:lastModifiedBy>premium</cp:lastModifiedBy>
  <cp:category>Spreadsheets</cp:category>
  <cp:keywords>premium, home renovation, spreadsheet, google sheets</cp:keywords>
</cp:coreProperties>
</file>