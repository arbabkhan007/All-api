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Countdown Checklist" sheetId="3" state="visible" r:id="rId3"/>
    <sheet name="Vision Board" sheetId="4" state="visible" r:id="rId4"/>
    <sheet name="Priority Ranking" sheetId="5" state="visible" r:id="rId5"/>
    <sheet name="Master Budget" sheetId="6" state="visible" r:id="rId6"/>
    <sheet name="Payment Tracker" sheetId="7" state="visible" r:id="rId7"/>
    <sheet name="Budget Breakdown" sheetId="8" state="visible" r:id="rId8"/>
    <sheet name="Contributions" sheetId="9" state="visible" r:id="rId9"/>
    <sheet name="Guest List" sheetId="10" state="visible" r:id="rId10"/>
    <sheet name="Invitations Tracker" sheetId="11" state="visible" r:id="rId11"/>
    <sheet name="Seating Chart" sheetId="12" state="visible" r:id="rId12"/>
    <sheet name="Hotel &amp; Welcome Bags" sheetId="13" state="visible" r:id="rId13"/>
    <sheet name="Meal Count Summary" sheetId="14" state="visible" r:id="rId14"/>
    <sheet name="Vendor Contacts" sheetId="15" state="visible" r:id="rId15"/>
    <sheet name="Vendor Comparison" sheetId="16" state="visible" r:id="rId16"/>
    <sheet name="Dress Shopping Log" sheetId="17" state="visible" r:id="rId17"/>
    <sheet name="Bridesmaid Dresses" sheetId="18" state="visible" r:id="rId18"/>
    <sheet name="Groom &amp; Groomsmen" sheetId="19" state="visible" r:id="rId19"/>
    <sheet name="Hair &amp; Makeup Trials" sheetId="20" state="visible" r:id="rId20"/>
    <sheet name="Beauty Timeline" sheetId="21" state="visible" r:id="rId21"/>
    <sheet name="Colors &amp; Theme" sheetId="22" state="visible" r:id="rId22"/>
    <sheet name="Floral Planner" sheetId="23" state="visible" r:id="rId23"/>
    <sheet name="Ceremony Décor" sheetId="24" state="visible" r:id="rId24"/>
    <sheet name="Reception Décor" sheetId="25" state="visible" r:id="rId25"/>
    <sheet name="Stationery Checklist" sheetId="26" state="visible" r:id="rId26"/>
    <sheet name="Menu Planning" sheetId="27" state="visible" r:id="rId27"/>
    <sheet name="Cake Design" sheetId="28" state="visible" r:id="rId28"/>
    <sheet name="Bar &amp; Drinks" sheetId="29" state="visible" r:id="rId29"/>
    <sheet name="Tasting Notes" sheetId="30" state="visible" r:id="rId30"/>
    <sheet name="Late-Night Snacks" sheetId="31" state="visible" r:id="rId31"/>
    <sheet name="Wedding Day Timeline" sheetId="32" state="visible" r:id="rId32"/>
    <sheet name="Rehearsal Dinner" sheetId="33" state="visible" r:id="rId33"/>
    <sheet name="Ceremony Order" sheetId="34" state="visible" r:id="rId34"/>
    <sheet name="Reception Timeline" sheetId="35" state="visible" r:id="rId35"/>
    <sheet name="Emergency Kit" sheetId="36" state="visible" r:id="rId36"/>
    <sheet name="Vendor Arrivals" sheetId="37" state="visible" r:id="rId37"/>
    <sheet name="Ceremony Songs" sheetId="38" state="visible" r:id="rId38"/>
    <sheet name="Reception Playlist" sheetId="39" state="visible" r:id="rId39"/>
    <sheet name="Special Dances" sheetId="40" state="visible" r:id="rId40"/>
    <sheet name="Entertainment Ideas" sheetId="41" state="visible" r:id="rId41"/>
    <sheet name="Shot List" sheetId="42" state="visible" r:id="rId42"/>
    <sheet name="Family Photos" sheetId="43" state="visible" r:id="rId43"/>
    <sheet name="Video Moments" sheetId="44" state="visible" r:id="rId44"/>
    <sheet name="Honeymoon Planner" sheetId="45" state="visible" r:id="rId45"/>
    <sheet name="Name Change Checklist" sheetId="46" state="visible" r:id="rId46"/>
    <sheet name="Favors Tracker" sheetId="47" state="visible" r:id="rId47"/>
    <sheet name="Thank You Cards" sheetId="48" state="visible" r:id="rId48"/>
    <sheet name="Registry Checklist" sheetId="49" state="visible" r:id="rId49"/>
    <sheet name="Vow Worksheet" sheetId="50" state="visible" r:id="rId50"/>
    <sheet name="Hashtag &amp; Social" sheetId="51" state="visible" r:id="rId51"/>
    <sheet name="Legal &amp; Officiant" sheetId="52" state="visible" r:id="rId52"/>
  </sheets>
  <definedNames>
    <definedName name="_xlnm._FilterDatabase" localSheetId="2" hidden="1">'Countdown Checklist'!$B$8:$F$77</definedName>
    <definedName name="_xlnm._FilterDatabase" localSheetId="4" hidden="1">'Priority Ranking'!$B$8:$F$18</definedName>
    <definedName name="_xlnm._FilterDatabase" localSheetId="5" hidden="1">'Master Budget'!$B$8:$I$30</definedName>
    <definedName name="_xlnm._FilterDatabase" localSheetId="6" hidden="1">'Payment Tracker'!$B$8:$I$158</definedName>
    <definedName name="_xlnm._FilterDatabase" localSheetId="7" hidden="1">'Budget Breakdown'!$B$8:$F$25</definedName>
    <definedName name="_xlnm._FilterDatabase" localSheetId="8" hidden="1">'Contributions'!$B$8:$G$38</definedName>
    <definedName name="_xlnm._FilterDatabase" localSheetId="9" hidden="1">'Guest List'!$B$8:$L$208</definedName>
    <definedName name="_xlnm._FilterDatabase" localSheetId="10" hidden="1">'Invitations Tracker'!$B$8:$I$208</definedName>
    <definedName name="_xlnm._FilterDatabase" localSheetId="12" hidden="1">'Hotel &amp; Welcome Bags'!$B$8:$N$48</definedName>
    <definedName name="_xlnm._FilterDatabase" localSheetId="13" hidden="1">'Meal Count Summary'!$B$8:$F$16</definedName>
    <definedName name="_xlnm._FilterDatabase" localSheetId="14" hidden="1">'Vendor Contacts'!$B$8:$L$58</definedName>
    <definedName name="_xlnm._FilterDatabase" localSheetId="15" hidden="1">'Vendor Comparison'!$B$8:$K$20</definedName>
    <definedName name="_xlnm._FilterDatabase" localSheetId="16" hidden="1">'Dress Shopping Log'!$B$8:$J$23</definedName>
    <definedName name="_xlnm._FilterDatabase" localSheetId="17" hidden="1">'Bridesmaid Dresses'!$B$8:$I$22</definedName>
    <definedName name="_xlnm._FilterDatabase" localSheetId="18" hidden="1">'Groom &amp; Groomsmen'!$B$8:$K$22</definedName>
    <definedName name="_xlnm._FilterDatabase" localSheetId="19" hidden="1">'Hair &amp; Makeup Trials'!$B$8:$I$18</definedName>
    <definedName name="_xlnm._FilterDatabase" localSheetId="20" hidden="1">'Beauty Timeline'!$B$8:$E$22</definedName>
    <definedName name="_xlnm._FilterDatabase" localSheetId="22" hidden="1">'Floral Planner'!$B$8:$I$24</definedName>
    <definedName name="_xlnm._FilterDatabase" localSheetId="23" hidden="1">'Ceremony Décor'!$B$8:$G$23</definedName>
    <definedName name="_xlnm._FilterDatabase" localSheetId="24" hidden="1">'Reception Décor'!$B$8:$G$26</definedName>
    <definedName name="_xlnm._FilterDatabase" localSheetId="25" hidden="1">'Stationery Checklist'!$B$8:$H$24</definedName>
    <definedName name="_xlnm._FilterDatabase" localSheetId="26" hidden="1">'Menu Planning'!$B$8:$G$28</definedName>
    <definedName name="_xlnm._FilterDatabase" localSheetId="28" hidden="1">'Bar &amp; Drinks'!$B$8:$H$22</definedName>
    <definedName name="_xlnm._FilterDatabase" localSheetId="29" hidden="1">'Tasting Notes'!$B$8:$H$18</definedName>
    <definedName name="_xlnm._FilterDatabase" localSheetId="30" hidden="1">'Late-Night Snacks'!$B$8:$G$20</definedName>
    <definedName name="_xlnm._FilterDatabase" localSheetId="31" hidden="1">'Wedding Day Timeline'!$B$8:$G$35</definedName>
    <definedName name="_xlnm._FilterDatabase" localSheetId="33" hidden="1">'Ceremony Order'!$B$8:$F$24</definedName>
    <definedName name="_xlnm._FilterDatabase" localSheetId="34" hidden="1">'Reception Timeline'!$B$8:$F$26</definedName>
    <definedName name="_xlnm._FilterDatabase" localSheetId="35" hidden="1">'Emergency Kit'!$B$8:$F$38</definedName>
    <definedName name="_xlnm._FilterDatabase" localSheetId="36" hidden="1">'Vendor Arrivals'!$B$8:$H$23</definedName>
    <definedName name="_xlnm._FilterDatabase" localSheetId="37" hidden="1">'Ceremony Songs'!$B$8:$F$20</definedName>
    <definedName name="_xlnm._FilterDatabase" localSheetId="39" hidden="1">'Special Dances'!$B$8:$F$20</definedName>
    <definedName name="_xlnm._FilterDatabase" localSheetId="40" hidden="1">'Entertainment Ideas'!$B$8:$G$23</definedName>
    <definedName name="_xlnm._FilterDatabase" localSheetId="41" hidden="1">'Shot List'!$B$8:$E$43</definedName>
    <definedName name="_xlnm._FilterDatabase" localSheetId="42" hidden="1">'Family Photos'!$B$8:$F$24</definedName>
    <definedName name="_xlnm._FilterDatabase" localSheetId="43" hidden="1">'Video Moments'!$B$8:$E$26</definedName>
    <definedName name="_xlnm._FilterDatabase" localSheetId="44" hidden="1">'Honeymoon Planner'!$B$11:$F$16</definedName>
    <definedName name="_xlnm._FilterDatabase" localSheetId="45" hidden="1">'Name Change Checklist'!$B$8:$F$25</definedName>
    <definedName name="_xlnm._FilterDatabase" localSheetId="46" hidden="1">'Favors Tracker'!$B$8:$H$20</definedName>
    <definedName name="_xlnm._FilterDatabase" localSheetId="47" hidden="1">'Thank You Cards'!$B$8:$G$208</definedName>
    <definedName name="_xlnm._FilterDatabase" localSheetId="48" hidden="1">'Registry Checklist'!$B$8:$H$24</definedName>
    <definedName name="_xlnm._FilterDatabase" localSheetId="51" hidden="1">'Legal &amp; Officiant'!$B$8:$G$22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 mmm yyyy"/>
    <numFmt numFmtId="166" formatCode="#,##0&quot; days&quot;"/>
    <numFmt numFmtId="167" formatCode="&quot;$&quot;#,##0"/>
    <numFmt numFmtId="168" formatCode="&quot;$&quot;#,##0.00"/>
  </numFmts>
  <fonts count="20">
    <font>
      <name val="Calibri"/>
      <family val="2"/>
      <color theme="1"/>
      <sz val="11"/>
      <scheme val="minor"/>
    </font>
    <font>
      <name val="Georgia"/>
      <b val="1"/>
      <color rgb="00FFFFFF"/>
      <sz val="15"/>
    </font>
    <font>
      <name val="Georgia"/>
      <i val="1"/>
      <color rgb="00A0707A"/>
      <sz val="9"/>
    </font>
    <font>
      <i val="1"/>
      <color rgb="00B58E96"/>
      <sz val="8"/>
    </font>
    <font>
      <name val="Georgia"/>
      <b val="1"/>
      <color rgb="00FFFFFF"/>
      <sz val="10.5"/>
    </font>
    <font>
      <b val="1"/>
      <color rgb="005C4048"/>
      <sz val="10"/>
    </font>
    <font>
      <color rgb="002E2A2B"/>
      <sz val="10"/>
    </font>
    <font>
      <color rgb="004A3A3F"/>
      <sz val="10"/>
    </font>
    <font>
      <b val="1"/>
      <color rgb="008A5A66"/>
      <sz val="10"/>
    </font>
    <font>
      <b val="1"/>
      <color rgb="00B76E79"/>
      <sz val="10"/>
      <u val="single"/>
    </font>
    <font>
      <color rgb="006E5F64"/>
      <sz val="9.5"/>
    </font>
    <font>
      <i val="1"/>
      <color rgb="00A0707A"/>
      <sz val="9"/>
    </font>
    <font>
      <b val="1"/>
      <i val="1"/>
      <color rgb="0055454B"/>
      <sz val="10"/>
    </font>
    <font>
      <b val="1"/>
      <color rgb="00B76E79"/>
      <sz val="12"/>
    </font>
    <font>
      <i val="1"/>
      <color rgb="006E5F64"/>
      <sz val="10"/>
    </font>
    <font>
      <color rgb="005C4048"/>
      <sz val="10"/>
    </font>
    <font>
      <i val="1"/>
      <color rgb="00B58E96"/>
      <sz val="8.5"/>
    </font>
    <font>
      <b val="1"/>
      <color rgb="00FFFFFF"/>
      <sz val="10"/>
    </font>
    <font>
      <i val="1"/>
      <color rgb="008A5A66"/>
      <sz val="9"/>
    </font>
    <font>
      <i val="1"/>
      <color rgb="00A93226"/>
      <sz val="9"/>
    </font>
  </fonts>
  <fills count="16">
    <fill>
      <patternFill/>
    </fill>
    <fill>
      <patternFill patternType="gray125"/>
    </fill>
    <fill>
      <patternFill patternType="solid">
        <fgColor rgb="00B76E79"/>
      </patternFill>
    </fill>
    <fill>
      <patternFill patternType="solid">
        <fgColor rgb="00F6E7EA"/>
      </patternFill>
    </fill>
    <fill>
      <patternFill patternType="solid">
        <fgColor rgb="008A5A66"/>
      </patternFill>
    </fill>
    <fill>
      <patternFill patternType="solid">
        <fgColor rgb="00EBD9DD"/>
      </patternFill>
    </fill>
    <fill>
      <patternFill patternType="solid">
        <fgColor rgb="00FFFBEF"/>
      </patternFill>
    </fill>
    <fill>
      <patternFill patternType="solid">
        <fgColor rgb="00F3EFEF"/>
      </patternFill>
    </fill>
    <fill>
      <patternFill patternType="solid">
        <fgColor rgb="00F7D8DE"/>
      </patternFill>
    </fill>
    <fill>
      <patternFill patternType="solid">
        <fgColor rgb="00E3A6B3"/>
      </patternFill>
    </fill>
    <fill>
      <patternFill patternType="solid">
        <fgColor rgb="009CAF88"/>
      </patternFill>
    </fill>
    <fill>
      <patternFill patternType="solid">
        <fgColor rgb="00D4B483"/>
      </patternFill>
    </fill>
    <fill>
      <patternFill patternType="solid">
        <fgColor rgb="00FDF8F0"/>
      </patternFill>
    </fill>
    <fill>
      <patternFill patternType="solid">
        <fgColor rgb="00C9919C"/>
      </patternFill>
    </fill>
    <fill>
      <patternFill patternType="solid">
        <fgColor rgb="00EAD8C3"/>
      </patternFill>
    </fill>
    <fill>
      <patternFill patternType="solid">
        <fgColor rgb="006E4C5B"/>
      </patternFill>
    </fill>
  </fills>
  <borders count="6">
    <border>
      <left/>
      <right/>
      <top/>
      <bottom/>
      <diagonal/>
    </border>
    <border>
      <left style="thin">
        <color rgb="00DCC3C9"/>
      </left>
      <right style="thin">
        <color rgb="00DCC3C9"/>
      </right>
      <top style="thin">
        <color rgb="00DCC3C9"/>
      </top>
      <bottom style="thin">
        <color rgb="00DCC3C9"/>
      </bottom>
    </border>
    <border>
      <left/>
      <right/>
      <top style="thin">
        <color rgb="00DCC3C9"/>
      </top>
      <bottom/>
      <diagonal/>
    </border>
    <border>
      <left/>
      <right style="thin">
        <color rgb="00DCC3C9"/>
      </right>
      <top style="thin">
        <color rgb="00DCC3C9"/>
      </top>
      <bottom/>
      <diagonal/>
    </border>
    <border>
      <left/>
      <right/>
      <top style="thin">
        <color rgb="00DCC3C9"/>
      </top>
      <bottom style="thin">
        <color rgb="00DCC3C9"/>
      </bottom>
      <diagonal/>
    </border>
    <border>
      <left/>
      <right style="thin">
        <color rgb="00DCC3C9"/>
      </right>
      <top style="thin">
        <color rgb="00DCC3C9"/>
      </top>
      <bottom style="thin">
        <color rgb="00DCC3C9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indent="1"/>
    </xf>
    <xf numFmtId="0" fontId="3" fillId="0" borderId="0" pivotButton="0" quotePrefix="0" xfId="0"/>
    <xf numFmtId="0" fontId="4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9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6" fillId="6" borderId="1" applyAlignment="1" applyProtection="1" pivotButton="0" quotePrefix="0" xfId="0">
      <alignment horizontal="left" vertical="center"/>
      <protection locked="0" hidden="0"/>
    </xf>
    <xf numFmtId="165" fontId="6" fillId="6" borderId="1" applyAlignment="1" applyProtection="1" pivotButton="0" quotePrefix="0" xfId="0">
      <alignment horizontal="left" vertical="center"/>
      <protection locked="0" hidden="0"/>
    </xf>
    <xf numFmtId="166" fontId="1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14" fillId="7" borderId="1" applyAlignment="1" pivotButton="0" quotePrefix="0" xfId="0">
      <alignment horizontal="left" vertical="center" wrapText="1"/>
    </xf>
    <xf numFmtId="0" fontId="0" fillId="8" borderId="1" applyProtection="1" pivotButton="0" quotePrefix="0" xfId="0">
      <protection locked="0" hidden="0"/>
    </xf>
    <xf numFmtId="0" fontId="0" fillId="9" borderId="1" applyProtection="1" pivotButton="0" quotePrefix="0" xfId="0">
      <protection locked="0" hidden="0"/>
    </xf>
    <xf numFmtId="0" fontId="0" fillId="2" borderId="1" applyProtection="1" pivotButton="0" quotePrefix="0" xfId="0">
      <protection locked="0" hidden="0"/>
    </xf>
    <xf numFmtId="0" fontId="0" fillId="10" borderId="1" applyProtection="1" pivotButton="0" quotePrefix="0" xfId="0">
      <protection locked="0" hidden="0"/>
    </xf>
    <xf numFmtId="0" fontId="0" fillId="11" borderId="1" applyProtection="1" pivotButton="0" quotePrefix="0" xfId="0">
      <protection locked="0" hidden="0"/>
    </xf>
    <xf numFmtId="0" fontId="0" fillId="12" borderId="1" applyProtection="1" pivotButton="0" quotePrefix="0" xfId="0">
      <protection locked="0" hidden="0"/>
    </xf>
    <xf numFmtId="0" fontId="6" fillId="6" borderId="1" applyAlignment="1" applyProtection="1" pivotButton="0" quotePrefix="0" xfId="0">
      <alignment horizontal="center" vertical="center"/>
      <protection locked="0" hidden="0"/>
    </xf>
    <xf numFmtId="0" fontId="15" fillId="0" borderId="0" applyAlignment="1" pivotButton="0" quotePrefix="0" xfId="0">
      <alignment horizontal="left" vertical="center"/>
    </xf>
    <xf numFmtId="167" fontId="14" fillId="7" borderId="1" applyAlignment="1" pivotButton="0" quotePrefix="0" xfId="0">
      <alignment horizontal="center" vertical="center"/>
    </xf>
    <xf numFmtId="9" fontId="14" fillId="7" borderId="1" applyAlignment="1" pivotButton="0" quotePrefix="0" xfId="0">
      <alignment horizontal="center" vertical="center"/>
    </xf>
    <xf numFmtId="3" fontId="14" fillId="7" borderId="1" applyAlignment="1" pivotButton="0" quotePrefix="0" xfId="0">
      <alignment horizontal="center" vertical="center"/>
    </xf>
    <xf numFmtId="165" fontId="14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6" fillId="0" borderId="0" pivotButton="0" quotePrefix="0" xfId="0"/>
    <xf numFmtId="0" fontId="17" fillId="13" borderId="1" applyAlignment="1" pivotButton="0" quotePrefix="0" xfId="0">
      <alignment horizontal="center" vertical="center" wrapText="1"/>
    </xf>
    <xf numFmtId="0" fontId="6" fillId="6" borderId="1" applyAlignment="1" applyProtection="1" pivotButton="0" quotePrefix="0" xfId="0">
      <alignment horizontal="left" vertical="center" wrapText="1"/>
      <protection locked="0" hidden="0"/>
    </xf>
    <xf numFmtId="165" fontId="14" fillId="7" borderId="1" applyAlignment="1" pivotButton="0" quotePrefix="0" xfId="0">
      <alignment horizontal="center" vertical="center" wrapText="1"/>
    </xf>
    <xf numFmtId="0" fontId="6" fillId="6" borderId="1" applyAlignment="1" applyProtection="1" pivotButton="0" quotePrefix="0" xfId="0">
      <alignment horizontal="center" vertical="center" wrapText="1"/>
      <protection locked="0" hidden="0"/>
    </xf>
    <xf numFmtId="0" fontId="6" fillId="6" borderId="1" applyAlignment="1" applyProtection="1" pivotButton="0" quotePrefix="0" xfId="0">
      <alignment horizontal="left" vertical="top" wrapText="1"/>
      <protection locked="0" hidden="0"/>
    </xf>
    <xf numFmtId="0" fontId="0" fillId="6" borderId="1" applyProtection="1" pivotButton="0" quotePrefix="0" xfId="0">
      <protection locked="0" hidden="0"/>
    </xf>
    <xf numFmtId="9" fontId="6" fillId="6" borderId="1" applyAlignment="1" applyProtection="1" pivotButton="0" quotePrefix="0" xfId="0">
      <alignment horizontal="center" vertical="center" wrapText="1"/>
      <protection locked="0" hidden="0"/>
    </xf>
    <xf numFmtId="0" fontId="5" fillId="5" borderId="1" applyAlignment="1" pivotButton="0" quotePrefix="0" xfId="0">
      <alignment horizontal="left" vertical="center" wrapText="1"/>
    </xf>
    <xf numFmtId="9" fontId="5" fillId="5" borderId="1" applyAlignment="1" pivotButton="0" quotePrefix="0" xfId="0">
      <alignment horizontal="left" vertical="center" wrapText="1"/>
    </xf>
    <xf numFmtId="0" fontId="18" fillId="0" borderId="0" pivotButton="0" quotePrefix="0" xfId="0"/>
    <xf numFmtId="167" fontId="6" fillId="6" borderId="1" applyAlignment="1" applyProtection="1" pivotButton="0" quotePrefix="0" xfId="0">
      <alignment horizontal="center" vertical="center"/>
      <protection locked="0" hidden="0"/>
    </xf>
    <xf numFmtId="167" fontId="5" fillId="5" borderId="1" applyAlignment="1" pivotButton="0" quotePrefix="0" xfId="0">
      <alignment horizontal="left" vertical="center" wrapText="1"/>
    </xf>
    <xf numFmtId="165" fontId="6" fillId="6" borderId="1" applyAlignment="1" applyProtection="1" pivotButton="0" quotePrefix="0" xfId="0">
      <alignment horizontal="center" vertical="center"/>
      <protection locked="0" hidden="0"/>
    </xf>
    <xf numFmtId="168" fontId="6" fillId="6" borderId="1" applyAlignment="1" applyProtection="1" pivotButton="0" quotePrefix="0" xfId="0">
      <alignment horizontal="center" vertical="center"/>
      <protection locked="0" hidden="0"/>
    </xf>
    <xf numFmtId="168" fontId="14" fillId="7" borderId="1" applyAlignment="1" pivotButton="0" quotePrefix="0" xfId="0">
      <alignment horizontal="center" vertical="center"/>
    </xf>
    <xf numFmtId="168" fontId="5" fillId="5" borderId="1" applyAlignment="1" pivotButton="0" quotePrefix="0" xfId="0">
      <alignment horizontal="left" vertical="center" wrapText="1"/>
    </xf>
    <xf numFmtId="3" fontId="6" fillId="6" borderId="1" applyAlignment="1" applyProtection="1" pivotButton="0" quotePrefix="0" xfId="0">
      <alignment horizontal="center" vertical="center"/>
      <protection locked="0" hidden="0"/>
    </xf>
    <xf numFmtId="3" fontId="5" fillId="5" borderId="1" applyAlignment="1" pivotButton="0" quotePrefix="0" xfId="0">
      <alignment horizontal="left" vertical="center" wrapText="1"/>
    </xf>
    <xf numFmtId="0" fontId="0" fillId="14" borderId="1" applyProtection="1" pivotButton="0" quotePrefix="0" xfId="0">
      <protection locked="0" hidden="0"/>
    </xf>
    <xf numFmtId="0" fontId="0" fillId="15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indent="1"/>
      <protection locked="0" hidden="0"/>
    </xf>
    <xf numFmtId="0" fontId="0" fillId="4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7" fillId="13" borderId="1" applyAlignment="1" applyProtection="1" pivotButton="0" quotePrefix="0" xfId="0">
      <alignment horizontal="center" vertical="center" wrapText="1"/>
      <protection locked="0" hidden="0"/>
    </xf>
    <xf numFmtId="0" fontId="19" fillId="0" borderId="0" pivotButton="0" quotePrefix="0" xfId="0"/>
  </cellXfs>
  <cellStyles count="1">
    <cellStyle name="Normal" xfId="0" builtinId="0" hidden="0"/>
  </cellStyles>
  <dxfs count="4">
    <dxf>
      <font>
        <b val="1"/>
        <color rgb="002E7D46"/>
      </font>
      <fill>
        <patternFill patternType="solid">
          <fgColor rgb="00D9EAD9"/>
        </patternFill>
      </fill>
    </dxf>
    <dxf>
      <font>
        <b val="1"/>
        <color rgb="00B7791F"/>
      </font>
      <fill>
        <patternFill patternType="solid">
          <fgColor rgb="00FCF3CF"/>
        </patternFill>
      </fill>
    </dxf>
    <dxf>
      <font>
        <b val="1"/>
        <color rgb="00A93226"/>
      </font>
      <fill>
        <patternFill patternType="solid">
          <fgColor rgb="00F9D7D5"/>
        </patternFill>
      </fill>
    </dxf>
    <dxf>
      <font>
        <b val="1"/>
        <color rgb="002D5F8A"/>
      </font>
      <fill>
        <patternFill patternType="solid">
          <fgColor rgb="00DCE9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Actual spend by category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'Budget Breakdown'!$B$9:$B$25</f>
            </numRef>
          </cat>
          <val>
            <numRef>
              <f>'Budget Breakdown'!$D$9:$D$25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Meals at a glance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'Meal Count Summary'!$B$9:$B$15</f>
            </numRef>
          </cat>
          <val>
            <numRef>
              <f>'Meal Count Summary'!$E$9:$E$15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40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6E4C5B"/>
    <outlinePr summaryBelow="1" summaryRight="1"/>
    <pageSetUpPr fitToPage="1"/>
  </sheetPr>
  <dimension ref="B1:H81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</cols>
  <sheetData>
    <row r="1" ht="30" customHeight="1">
      <c r="B1" s="1" t="inlineStr">
        <is>
          <t>✨  WEDDING PLANNER — VERSION 2.0</t>
        </is>
      </c>
      <c r="C1" s="2" t="n"/>
      <c r="D1" s="2" t="n"/>
      <c r="E1" s="2" t="n"/>
      <c r="F1" s="2" t="n"/>
      <c r="G1" s="2" t="n"/>
      <c r="H1" s="3" t="n"/>
    </row>
    <row r="2" ht="15" customHeight="1">
      <c r="B2" s="4" t="inlineStr">
        <is>
          <t>Wedding Planner Spreadsheet  •  Novality Store  •  Version 2.0</t>
        </is>
      </c>
      <c r="C2" s="2" t="n"/>
      <c r="D2" s="2" t="n"/>
      <c r="E2" s="2" t="n"/>
      <c r="F2" s="2" t="n"/>
      <c r="G2" s="2" t="n"/>
      <c r="H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5" ht="20" customHeight="1">
      <c r="B5" s="6" t="inlineStr">
        <is>
          <t>ABOUT THIS WORKBOOK</t>
        </is>
      </c>
      <c r="C5" s="7" t="n"/>
      <c r="D5" s="7" t="n"/>
      <c r="E5" s="7" t="n"/>
      <c r="F5" s="7" t="n"/>
      <c r="G5" s="7" t="n"/>
      <c r="H5" s="7" t="n"/>
    </row>
    <row r="6">
      <c r="B6" s="8" t="inlineStr">
        <is>
          <t>Workbook</t>
        </is>
      </c>
      <c r="C6" s="9" t="inlineStr">
        <is>
          <t>Wedding Planner Spreadsheet — Version 2.0</t>
        </is>
      </c>
    </row>
    <row r="7">
      <c r="B7" s="8" t="inlineStr">
        <is>
          <t>Author</t>
        </is>
      </c>
      <c r="C7" s="9" t="inlineStr">
        <is>
          <t>Novality Store</t>
        </is>
      </c>
    </row>
    <row r="8">
      <c r="B8" s="8" t="inlineStr">
        <is>
          <t>Tabs</t>
        </is>
      </c>
      <c r="C8" s="9" t="inlineStr">
        <is>
          <t>52 beautifully linked planning sheets</t>
        </is>
      </c>
    </row>
    <row r="9">
      <c r="B9" s="8" t="inlineStr">
        <is>
          <t>Protection</t>
        </is>
      </c>
      <c r="C9" s="9" t="inlineStr">
        <is>
          <t>Every formula cell is locked — sheets are password-protected</t>
        </is>
      </c>
    </row>
    <row r="11" ht="20" customHeight="1">
      <c r="B11" s="6" t="inlineStr">
        <is>
          <t>HOW IT WORKS</t>
        </is>
      </c>
      <c r="C11" s="7" t="n"/>
      <c r="D11" s="7" t="n"/>
      <c r="E11" s="7" t="n"/>
      <c r="F11" s="7" t="n"/>
      <c r="G11" s="7" t="n"/>
      <c r="H11" s="7" t="n"/>
    </row>
    <row r="12">
      <c r="B12" s="10" t="inlineStr">
        <is>
          <t>1.  Start on the Dashboard — set your wedding date and every countdown updates itself.</t>
        </is>
      </c>
    </row>
    <row r="13">
      <c r="B13" s="10" t="inlineStr">
        <is>
          <t>2.  Fill in the cream cells. Grey cells are formulas — they calculate automatically and are locked.</t>
        </is>
      </c>
    </row>
    <row r="14">
      <c r="B14" s="10" t="inlineStr">
        <is>
          <t>3.  Each sheet is protected so formulas can't be deleted by accident (Review ▸ Unprotect Sheet to customize).</t>
        </is>
      </c>
    </row>
    <row r="15">
      <c r="B15" s="10" t="inlineStr">
        <is>
          <t>4.  The Guest List feeds the Invitations Tracker, Meal Counts, Seating Chart and Thank-You Cards.</t>
        </is>
      </c>
    </row>
    <row r="16">
      <c r="B16" s="10" t="inlineStr">
        <is>
          <t>5.  The Master Budget feeds the Dashboard, Budget Breakdown chart and Contributions tracker.</t>
        </is>
      </c>
    </row>
    <row r="18" ht="20" customHeight="1">
      <c r="B18" s="6" t="inlineStr">
        <is>
          <t>WHAT'S INSIDE  —  TAP ANY TAB NAME TO JUMP THERE</t>
        </is>
      </c>
      <c r="C18" s="7" t="n"/>
      <c r="D18" s="7" t="n"/>
      <c r="E18" s="7" t="n"/>
      <c r="F18" s="7" t="n"/>
      <c r="G18" s="7" t="n"/>
      <c r="H18" s="7" t="n"/>
    </row>
    <row r="19" ht="17" customHeight="1">
      <c r="B19" s="11" t="inlineStr">
        <is>
          <t>BIG PICTURE PLANNING</t>
        </is>
      </c>
      <c r="C19" s="12" t="n"/>
      <c r="D19" s="12" t="n"/>
      <c r="E19" s="12" t="n"/>
      <c r="F19" s="12" t="n"/>
      <c r="G19" s="12" t="n"/>
      <c r="H19" s="12" t="n"/>
    </row>
    <row r="20" ht="15" customHeight="1">
      <c r="B20" s="13" t="inlineStr">
        <is>
          <t>▸  Dashboard</t>
        </is>
      </c>
      <c r="C20" s="14" t="inlineStr">
        <is>
          <t>Wedding overview — date, venue, theme, budget &amp; live counters</t>
        </is>
      </c>
    </row>
    <row r="21" ht="15" customHeight="1">
      <c r="B21" s="13" t="inlineStr">
        <is>
          <t>▸  Countdown Checklist</t>
        </is>
      </c>
      <c r="C21" s="14" t="inlineStr">
        <is>
          <t>12-month, 6-month, 3-month, 1-month, 1-week &amp; day-of tasks</t>
        </is>
      </c>
    </row>
    <row r="22" ht="15" customHeight="1">
      <c r="B22" s="13" t="inlineStr">
        <is>
          <t>▸  Vision Board</t>
        </is>
      </c>
      <c r="C22" s="14" t="inlineStr">
        <is>
          <t>Mood, style keywords and inspiration sources</t>
        </is>
      </c>
    </row>
    <row r="23" ht="15" customHeight="1">
      <c r="B23" s="13" t="inlineStr">
        <is>
          <t>▸  Priority Ranking</t>
        </is>
      </c>
      <c r="C23" s="14" t="inlineStr">
        <is>
          <t>Rank the 3–5 things that matter most</t>
        </is>
      </c>
    </row>
    <row r="24" ht="17" customHeight="1">
      <c r="B24" s="11" t="inlineStr">
        <is>
          <t>BUDGET &amp; FINANCE</t>
        </is>
      </c>
      <c r="C24" s="12" t="n"/>
      <c r="D24" s="12" t="n"/>
      <c r="E24" s="12" t="n"/>
      <c r="F24" s="12" t="n"/>
      <c r="G24" s="12" t="n"/>
      <c r="H24" s="12" t="n"/>
    </row>
    <row r="25" ht="15" customHeight="1">
      <c r="B25" s="13" t="inlineStr">
        <is>
          <t>▸  Master Budget</t>
        </is>
      </c>
      <c r="C25" s="14" t="inlineStr">
        <is>
          <t>Estimated vs actual, deposits paid &amp; balance due per category</t>
        </is>
      </c>
    </row>
    <row r="26" ht="15" customHeight="1">
      <c r="B26" s="13" t="inlineStr">
        <is>
          <t>▸  Payment Tracker</t>
        </is>
      </c>
      <c r="C26" s="14" t="inlineStr">
        <is>
          <t>Every vendor payment — due dates, amounts &amp; status</t>
        </is>
      </c>
    </row>
    <row r="27" ht="15" customHeight="1">
      <c r="B27" s="13" t="inlineStr">
        <is>
          <t>▸  Budget Breakdown</t>
        </is>
      </c>
      <c r="C27" s="14" t="inlineStr">
        <is>
          <t>Category totals, % of budget and a live pie chart</t>
        </is>
      </c>
    </row>
    <row r="28" ht="15" customHeight="1">
      <c r="B28" s="13" t="inlineStr">
        <is>
          <t>▸  Contributions</t>
        </is>
      </c>
      <c r="C28" s="14" t="inlineStr">
        <is>
          <t>Cash fund &amp; who is contributing what</t>
        </is>
      </c>
    </row>
    <row r="29" ht="17" customHeight="1">
      <c r="B29" s="11" t="inlineStr">
        <is>
          <t>GUEST MANAGEMENT</t>
        </is>
      </c>
      <c r="C29" s="12" t="n"/>
      <c r="D29" s="12" t="n"/>
      <c r="E29" s="12" t="n"/>
      <c r="F29" s="12" t="n"/>
      <c r="G29" s="12" t="n"/>
      <c r="H29" s="12" t="n"/>
    </row>
    <row r="30" ht="15" customHeight="1">
      <c r="B30" s="13" t="inlineStr">
        <is>
          <t>▸  Guest List</t>
        </is>
      </c>
      <c r="C30" s="14" t="inlineStr">
        <is>
          <t>Master list — RSVP, meal choice, +1 and table number</t>
        </is>
      </c>
    </row>
    <row r="31" ht="15" customHeight="1">
      <c r="B31" s="13" t="inlineStr">
        <is>
          <t>▸  Invitations Tracker</t>
        </is>
      </c>
      <c r="C31" s="14" t="inlineStr">
        <is>
          <t>Save-the-dates, invitations and RSVP replies</t>
        </is>
      </c>
    </row>
    <row r="32" ht="15" customHeight="1">
      <c r="B32" s="13" t="inlineStr">
        <is>
          <t>▸  Seating Chart</t>
        </is>
      </c>
      <c r="C32" s="14" t="inlineStr">
        <is>
          <t>Assign confirmed guests to reception tables</t>
        </is>
      </c>
    </row>
    <row r="33" ht="15" customHeight="1">
      <c r="B33" s="13" t="inlineStr">
        <is>
          <t>▸  Hotel &amp; Welcome Bags</t>
        </is>
      </c>
      <c r="C33" s="14" t="inlineStr">
        <is>
          <t>Out-of-town guests, room blocks &amp; welcome bags</t>
        </is>
      </c>
    </row>
    <row r="34" ht="15" customHeight="1">
      <c r="B34" s="13" t="inlineStr">
        <is>
          <t>▸  Meal Count Summary</t>
        </is>
      </c>
      <c r="C34" s="14" t="inlineStr">
        <is>
          <t>Caterer-ready meal &amp; dietary counts (auto-calculated)</t>
        </is>
      </c>
    </row>
    <row r="35" ht="17" customHeight="1">
      <c r="B35" s="11" t="inlineStr">
        <is>
          <t>VENDOR MANAGEMENT</t>
        </is>
      </c>
      <c r="C35" s="12" t="n"/>
      <c r="D35" s="12" t="n"/>
      <c r="E35" s="12" t="n"/>
      <c r="F35" s="12" t="n"/>
      <c r="G35" s="12" t="n"/>
      <c r="H35" s="12" t="n"/>
    </row>
    <row r="36" ht="15" customHeight="1">
      <c r="B36" s="13" t="inlineStr">
        <is>
          <t>▸  Vendor Contacts</t>
        </is>
      </c>
      <c r="C36" s="14" t="inlineStr">
        <is>
          <t>All 11 vendor categories — contacts, contracts &amp; balances</t>
        </is>
      </c>
    </row>
    <row r="37" ht="15" customHeight="1">
      <c r="B37" s="13" t="inlineStr">
        <is>
          <t>▸  Vendor Comparison</t>
        </is>
      </c>
      <c r="C37" s="14" t="inlineStr">
        <is>
          <t>Side-by-side comparison of 2–3 options per category</t>
        </is>
      </c>
    </row>
    <row r="38" ht="17" customHeight="1">
      <c r="B38" s="11" t="inlineStr">
        <is>
          <t>ATTIRE &amp; BEAUTY</t>
        </is>
      </c>
      <c r="C38" s="12" t="n"/>
      <c r="D38" s="12" t="n"/>
      <c r="E38" s="12" t="n"/>
      <c r="F38" s="12" t="n"/>
      <c r="G38" s="12" t="n"/>
      <c r="H38" s="12" t="n"/>
    </row>
    <row r="39" ht="15" customHeight="1">
      <c r="B39" s="13" t="inlineStr">
        <is>
          <t>▸  Dress Shopping Log</t>
        </is>
      </c>
      <c r="C39" s="14" t="inlineStr">
        <is>
          <t>Stores, styles, prices &amp; alterations timeline</t>
        </is>
      </c>
    </row>
    <row r="40" ht="15" customHeight="1">
      <c r="B40" s="13" t="inlineStr">
        <is>
          <t>▸  Bridesmaid Dresses</t>
        </is>
      </c>
      <c r="C40" s="14" t="inlineStr">
        <is>
          <t>Sizes, colors, orders &amp; delivery status</t>
        </is>
      </c>
    </row>
    <row r="41" ht="15" customHeight="1">
      <c r="B41" s="13" t="inlineStr">
        <is>
          <t>▸  Groom &amp; Groomsmen</t>
        </is>
      </c>
      <c r="C41" s="14" t="inlineStr">
        <is>
          <t>Suit/tux details, rental vs purchase &amp; fittings</t>
        </is>
      </c>
    </row>
    <row r="42" ht="15" customHeight="1">
      <c r="B42" s="13" t="inlineStr">
        <is>
          <t>▸  Hair &amp; Makeup Trials</t>
        </is>
      </c>
      <c r="C42" s="14" t="inlineStr">
        <is>
          <t>Artists, looks, products &amp; trial notes</t>
        </is>
      </c>
    </row>
    <row r="43" ht="15" customHeight="1">
      <c r="B43" s="13" t="inlineStr">
        <is>
          <t>▸  Beauty Timeline</t>
        </is>
      </c>
      <c r="C43" s="14" t="inlineStr">
        <is>
          <t>Skincare, whitening, tanning &amp; nails schedule</t>
        </is>
      </c>
    </row>
    <row r="44" ht="17" customHeight="1">
      <c r="B44" s="11" t="inlineStr">
        <is>
          <t>DÉCOR &amp; DESIGN</t>
        </is>
      </c>
      <c r="C44" s="12" t="n"/>
      <c r="D44" s="12" t="n"/>
      <c r="E44" s="12" t="n"/>
      <c r="F44" s="12" t="n"/>
      <c r="G44" s="12" t="n"/>
      <c r="H44" s="12" t="n"/>
    </row>
    <row r="45" ht="15" customHeight="1">
      <c r="B45" s="13" t="inlineStr">
        <is>
          <t>▸  Colors &amp; Theme</t>
        </is>
      </c>
      <c r="C45" s="14" t="inlineStr">
        <is>
          <t>Palette swatches and theme keywords</t>
        </is>
      </c>
    </row>
    <row r="46" ht="15" customHeight="1">
      <c r="B46" s="13" t="inlineStr">
        <is>
          <t>▸  Floral Planner</t>
        </is>
      </c>
      <c r="C46" s="14" t="inlineStr">
        <is>
          <t>Bouquets, centerpieces, ceremony flowers &amp; costs</t>
        </is>
      </c>
    </row>
    <row r="47" ht="15" customHeight="1">
      <c r="B47" s="13" t="inlineStr">
        <is>
          <t>▸  Ceremony Décor</t>
        </is>
      </c>
      <c r="C47" s="14" t="inlineStr">
        <is>
          <t>Arch, aisle, signage &amp; programs checklist</t>
        </is>
      </c>
    </row>
    <row r="48" ht="15" customHeight="1">
      <c r="B48" s="13" t="inlineStr">
        <is>
          <t>▸  Reception Décor</t>
        </is>
      </c>
      <c r="C48" s="14" t="inlineStr">
        <is>
          <t>Centerpieces, lighting, draping &amp; backdrop checklist</t>
        </is>
      </c>
    </row>
    <row r="49" ht="15" customHeight="1">
      <c r="B49" s="13" t="inlineStr">
        <is>
          <t>▸  Stationery Checklist</t>
        </is>
      </c>
      <c r="C49" s="14" t="inlineStr">
        <is>
          <t>Invitations, RSVPs, menus, place cards &amp; signage</t>
        </is>
      </c>
    </row>
    <row r="50" ht="17" customHeight="1">
      <c r="B50" s="11" t="inlineStr">
        <is>
          <t>CATERING &amp; MENU</t>
        </is>
      </c>
      <c r="C50" s="12" t="n"/>
      <c r="D50" s="12" t="n"/>
      <c r="E50" s="12" t="n"/>
      <c r="F50" s="12" t="n"/>
      <c r="G50" s="12" t="n"/>
      <c r="H50" s="12" t="n"/>
    </row>
    <row r="51" ht="15" customHeight="1">
      <c r="B51" s="13" t="inlineStr">
        <is>
          <t>▸  Menu Planning</t>
        </is>
      </c>
      <c r="C51" s="14" t="inlineStr">
        <is>
          <t>Appetizers, mains, sides &amp; desserts</t>
        </is>
      </c>
    </row>
    <row r="52" ht="15" customHeight="1">
      <c r="B52" s="13" t="inlineStr">
        <is>
          <t>▸  Cake Design</t>
        </is>
      </c>
      <c r="C52" s="14" t="inlineStr">
        <is>
          <t>Tiers, flavors, fillings &amp; payment balance</t>
        </is>
      </c>
    </row>
    <row r="53" ht="15" customHeight="1">
      <c r="B53" s="13" t="inlineStr">
        <is>
          <t>▸  Bar &amp; Drinks</t>
        </is>
      </c>
      <c r="C53" s="14" t="inlineStr">
        <is>
          <t>Signature cocktails, wine, beer &amp; non-alcoholic</t>
        </is>
      </c>
    </row>
    <row r="54" ht="15" customHeight="1">
      <c r="B54" s="13" t="inlineStr">
        <is>
          <t>▸  Tasting Notes</t>
        </is>
      </c>
      <c r="C54" s="14" t="inlineStr">
        <is>
          <t>Caterer &amp; bakery tasting appointments and ratings</t>
        </is>
      </c>
    </row>
    <row r="55" ht="15" customHeight="1">
      <c r="B55" s="13" t="inlineStr">
        <is>
          <t>▸  Late-Night Snacks</t>
        </is>
      </c>
      <c r="C55" s="14" t="inlineStr">
        <is>
          <t>Ideas, quantities and costs for the midnight run</t>
        </is>
      </c>
    </row>
    <row r="56" ht="17" customHeight="1">
      <c r="B56" s="11" t="inlineStr">
        <is>
          <t>TIMELINE &amp; DAY-OF</t>
        </is>
      </c>
      <c r="C56" s="12" t="n"/>
      <c r="D56" s="12" t="n"/>
      <c r="E56" s="12" t="n"/>
      <c r="F56" s="12" t="n"/>
      <c r="G56" s="12" t="n"/>
      <c r="H56" s="12" t="n"/>
    </row>
    <row r="57" ht="15" customHeight="1">
      <c r="B57" s="13" t="inlineStr">
        <is>
          <t>▸  Wedding Day Timeline</t>
        </is>
      </c>
      <c r="C57" s="14" t="inlineStr">
        <is>
          <t>Hour-by-hour from getting ready to send-off</t>
        </is>
      </c>
    </row>
    <row r="58" ht="15" customHeight="1">
      <c r="B58" s="13" t="inlineStr">
        <is>
          <t>▸  Rehearsal Dinner</t>
        </is>
      </c>
      <c r="C58" s="14" t="inlineStr">
        <is>
          <t>Guest list, venue, menu &amp; toasts</t>
        </is>
      </c>
    </row>
    <row r="59" ht="15" customHeight="1">
      <c r="B59" s="13" t="inlineStr">
        <is>
          <t>▸  Ceremony Order</t>
        </is>
      </c>
      <c r="C59" s="14" t="inlineStr">
        <is>
          <t>Processional, readings, vows &amp; recessional</t>
        </is>
      </c>
    </row>
    <row r="60" ht="15" customHeight="1">
      <c r="B60" s="13" t="inlineStr">
        <is>
          <t>▸  Reception Timeline</t>
        </is>
      </c>
      <c r="C60" s="14" t="inlineStr">
        <is>
          <t>Grand entrance, dances, toasts &amp; cake cutting</t>
        </is>
      </c>
    </row>
    <row r="61" ht="15" customHeight="1">
      <c r="B61" s="13" t="inlineStr">
        <is>
          <t>▸  Emergency Kit</t>
        </is>
      </c>
      <c r="C61" s="14" t="inlineStr">
        <is>
          <t>Day-of survival kit checklist</t>
        </is>
      </c>
    </row>
    <row r="62" ht="15" customHeight="1">
      <c r="B62" s="13" t="inlineStr">
        <is>
          <t>▸  Vendor Arrivals</t>
        </is>
      </c>
      <c r="C62" s="14" t="inlineStr">
        <is>
          <t>Who arrives when on the wedding day</t>
        </is>
      </c>
    </row>
    <row r="63" ht="17" customHeight="1">
      <c r="B63" s="11" t="inlineStr">
        <is>
          <t>MUSIC &amp; PHOTOS</t>
        </is>
      </c>
      <c r="C63" s="12" t="n"/>
      <c r="D63" s="12" t="n"/>
      <c r="E63" s="12" t="n"/>
      <c r="F63" s="12" t="n"/>
      <c r="G63" s="12" t="n"/>
      <c r="H63" s="12" t="n"/>
    </row>
    <row r="64" ht="15" customHeight="1">
      <c r="B64" s="13" t="inlineStr">
        <is>
          <t>▸  Ceremony Songs</t>
        </is>
      </c>
      <c r="C64" s="14" t="inlineStr">
        <is>
          <t>Processional, interlude &amp; recessional music</t>
        </is>
      </c>
    </row>
    <row r="65" ht="15" customHeight="1">
      <c r="B65" s="13" t="inlineStr">
        <is>
          <t>▸  Reception Playlist</t>
        </is>
      </c>
      <c r="C65" s="14" t="inlineStr">
        <is>
          <t>Must-play and do-not-play lists</t>
        </is>
      </c>
    </row>
    <row r="66" ht="15" customHeight="1">
      <c r="B66" s="13" t="inlineStr">
        <is>
          <t>▸  Special Dances</t>
        </is>
      </c>
      <c r="C66" s="14" t="inlineStr">
        <is>
          <t>First dance, father-daughter &amp; mother-son songs</t>
        </is>
      </c>
    </row>
    <row r="67" ht="15" customHeight="1">
      <c r="B67" s="13" t="inlineStr">
        <is>
          <t>▸  Entertainment Ideas</t>
        </is>
      </c>
      <c r="C67" s="14" t="inlineStr">
        <is>
          <t>Photo booth, live painter, fireworks &amp; more</t>
        </is>
      </c>
    </row>
    <row r="68" ht="15" customHeight="1">
      <c r="B68" s="13" t="inlineStr">
        <is>
          <t>▸  Shot List</t>
        </is>
      </c>
      <c r="C68" s="14" t="inlineStr">
        <is>
          <t>Must-have photos &amp; candid moments</t>
        </is>
      </c>
    </row>
    <row r="69" ht="15" customHeight="1">
      <c r="B69" s="13" t="inlineStr">
        <is>
          <t>▸  Family Photos</t>
        </is>
      </c>
      <c r="C69" s="14" t="inlineStr">
        <is>
          <t>Formal portrait groupings</t>
        </is>
      </c>
    </row>
    <row r="70" ht="15" customHeight="1">
      <c r="B70" s="13" t="inlineStr">
        <is>
          <t>▸  Video Moments</t>
        </is>
      </c>
      <c r="C70" s="14" t="inlineStr">
        <is>
          <t>Video must-capture list</t>
        </is>
      </c>
    </row>
    <row r="71" ht="17" customHeight="1">
      <c r="B71" s="11" t="inlineStr">
        <is>
          <t>EXTRAS</t>
        </is>
      </c>
      <c r="C71" s="12" t="n"/>
      <c r="D71" s="12" t="n"/>
      <c r="E71" s="12" t="n"/>
      <c r="F71" s="12" t="n"/>
      <c r="G71" s="12" t="n"/>
      <c r="H71" s="12" t="n"/>
    </row>
    <row r="72" ht="15" customHeight="1">
      <c r="B72" s="13" t="inlineStr">
        <is>
          <t>▸  Honeymoon Planner</t>
        </is>
      </c>
      <c r="C72" s="14" t="inlineStr">
        <is>
          <t>Destination, budget, itinerary &amp; packing list</t>
        </is>
      </c>
    </row>
    <row r="73" ht="15" customHeight="1">
      <c r="B73" s="13" t="inlineStr">
        <is>
          <t>▸  Name Change Checklist</t>
        </is>
      </c>
      <c r="C73" s="14" t="inlineStr">
        <is>
          <t>Social security, license, bank, passport…</t>
        </is>
      </c>
    </row>
    <row r="74" ht="15" customHeight="1">
      <c r="B74" s="13" t="inlineStr">
        <is>
          <t>▸  Favors Tracker</t>
        </is>
      </c>
      <c r="C74" s="14" t="inlineStr">
        <is>
          <t>Favor ideas, quantities &amp; spend</t>
        </is>
      </c>
    </row>
    <row r="75" ht="15" customHeight="1">
      <c r="B75" s="13" t="inlineStr">
        <is>
          <t>▸  Thank You Cards</t>
        </is>
      </c>
      <c r="C75" s="14" t="inlineStr">
        <is>
          <t>Gifts received &amp; thank-you status (auto)</t>
        </is>
      </c>
    </row>
    <row r="76" ht="15" customHeight="1">
      <c r="B76" s="13" t="inlineStr">
        <is>
          <t>▸  Registry Checklist</t>
        </is>
      </c>
      <c r="C76" s="14" t="inlineStr">
        <is>
          <t>Stores, items &amp; purchased status</t>
        </is>
      </c>
    </row>
    <row r="77" ht="15" customHeight="1">
      <c r="B77" s="13" t="inlineStr">
        <is>
          <t>▸  Vow Worksheet</t>
        </is>
      </c>
      <c r="C77" s="14" t="inlineStr">
        <is>
          <t>Guided prompts to write your vows</t>
        </is>
      </c>
    </row>
    <row r="78" ht="15" customHeight="1">
      <c r="B78" s="13" t="inlineStr">
        <is>
          <t>▸  Hashtag &amp; Social</t>
        </is>
      </c>
      <c r="C78" s="14" t="inlineStr">
        <is>
          <t>Hashtag ideas &amp; social media plan</t>
        </is>
      </c>
    </row>
    <row r="79" ht="15" customHeight="1">
      <c r="B79" s="13" t="inlineStr">
        <is>
          <t>▸  Legal &amp; Officiant</t>
        </is>
      </c>
      <c r="C79" s="14" t="inlineStr">
        <is>
          <t>Marriage license, deadlines &amp; witnesses</t>
        </is>
      </c>
    </row>
    <row r="81">
      <c r="B81" s="15" t="inlineStr">
        <is>
          <t>© Novality Store — Version 2.0  •  Thank you for supporting our small store &amp; happy planning! 💐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mergeCells count="76">
    <mergeCell ref="C25:H25"/>
    <mergeCell ref="C26:H26"/>
    <mergeCell ref="C41:H41"/>
    <mergeCell ref="C47:H47"/>
    <mergeCell ref="C54:H54"/>
    <mergeCell ref="C55:H55"/>
    <mergeCell ref="C65:H65"/>
    <mergeCell ref="C22:H22"/>
    <mergeCell ref="C40:H40"/>
    <mergeCell ref="C9:H9"/>
    <mergeCell ref="C31:H31"/>
    <mergeCell ref="C75:H75"/>
    <mergeCell ref="B24:H24"/>
    <mergeCell ref="B15:H15"/>
    <mergeCell ref="C43:H43"/>
    <mergeCell ref="B5:H5"/>
    <mergeCell ref="C21:H21"/>
    <mergeCell ref="C59:H59"/>
    <mergeCell ref="B63:H63"/>
    <mergeCell ref="C51:H51"/>
    <mergeCell ref="C46:H46"/>
    <mergeCell ref="B50:H50"/>
    <mergeCell ref="C60:H60"/>
    <mergeCell ref="C36:H36"/>
    <mergeCell ref="C27:H27"/>
    <mergeCell ref="B35:H35"/>
    <mergeCell ref="C52:H52"/>
    <mergeCell ref="C70:H70"/>
    <mergeCell ref="C76:H76"/>
    <mergeCell ref="C23:H23"/>
    <mergeCell ref="C61:H61"/>
    <mergeCell ref="C39:H39"/>
    <mergeCell ref="C8:H8"/>
    <mergeCell ref="B16:H16"/>
    <mergeCell ref="C48:H48"/>
    <mergeCell ref="B81:H81"/>
    <mergeCell ref="C7:H7"/>
    <mergeCell ref="C72:H72"/>
    <mergeCell ref="C67:H67"/>
    <mergeCell ref="C32:H32"/>
    <mergeCell ref="C57:H57"/>
    <mergeCell ref="B18:H18"/>
    <mergeCell ref="C28:H28"/>
    <mergeCell ref="B56:H56"/>
    <mergeCell ref="C66:H66"/>
    <mergeCell ref="C64:H64"/>
    <mergeCell ref="C37:H37"/>
    <mergeCell ref="B71:H71"/>
    <mergeCell ref="B12:H12"/>
    <mergeCell ref="C53:H53"/>
    <mergeCell ref="C78:H78"/>
    <mergeCell ref="B2:H2"/>
    <mergeCell ref="C49:H49"/>
    <mergeCell ref="C69:H69"/>
    <mergeCell ref="B11:H11"/>
    <mergeCell ref="C34:H34"/>
    <mergeCell ref="C30:H30"/>
    <mergeCell ref="C68:H68"/>
    <mergeCell ref="C77:H77"/>
    <mergeCell ref="C33:H33"/>
    <mergeCell ref="C6:H6"/>
    <mergeCell ref="B14:H14"/>
    <mergeCell ref="C42:H42"/>
    <mergeCell ref="C58:H58"/>
    <mergeCell ref="C62:H62"/>
    <mergeCell ref="B1:H1"/>
    <mergeCell ref="B13:H13"/>
    <mergeCell ref="B44:H44"/>
    <mergeCell ref="C74:H74"/>
    <mergeCell ref="C45:H45"/>
    <mergeCell ref="C79:H79"/>
    <mergeCell ref="B38:H38"/>
    <mergeCell ref="C73:H73"/>
    <mergeCell ref="B29:H29"/>
    <mergeCell ref="C20:H20"/>
    <mergeCell ref="B19:H19"/>
  </mergeCells>
  <hyperlinks>
    <hyperlink ref="B20" location="'Dashboard'!A1"/>
    <hyperlink ref="B21" location="'Countdown Checklist'!A1"/>
    <hyperlink ref="B22" location="'Vision Board'!A1"/>
    <hyperlink ref="B23" location="'Priority Ranking'!A1"/>
    <hyperlink ref="B25" location="'Master Budget'!A1"/>
    <hyperlink ref="B26" location="'Payment Tracker'!A1"/>
    <hyperlink ref="B27" location="'Budget Breakdown'!A1"/>
    <hyperlink ref="B28" location="'Contributions'!A1"/>
    <hyperlink ref="B30" location="'Guest List'!A1"/>
    <hyperlink ref="B31" location="'Invitations Tracker'!A1"/>
    <hyperlink ref="B32" location="'Seating Chart'!A1"/>
    <hyperlink ref="B33" location="'Hotel &amp; Welcome Bags'!A1"/>
    <hyperlink ref="B34" location="'Meal Count Summary'!A1"/>
    <hyperlink ref="B36" location="'Vendor Contacts'!A1"/>
    <hyperlink ref="B37" location="'Vendor Comparison'!A1"/>
    <hyperlink ref="B39" location="'Dress Shopping Log'!A1"/>
    <hyperlink ref="B40" location="'Bridesmaid Dresses'!A1"/>
    <hyperlink ref="B41" location="'Groom &amp; Groomsmen'!A1"/>
    <hyperlink ref="B42" location="'Hair &amp; Makeup Trials'!A1"/>
    <hyperlink ref="B43" location="'Beauty Timeline'!A1"/>
    <hyperlink ref="B45" location="'Colors &amp; Theme'!A1"/>
    <hyperlink ref="B46" location="'Floral Planner'!A1"/>
    <hyperlink ref="B47" location="'Ceremony Décor'!A1"/>
    <hyperlink ref="B48" location="'Reception Décor'!A1"/>
    <hyperlink ref="B49" location="'Stationery Checklist'!A1"/>
    <hyperlink ref="B51" location="'Menu Planning'!A1"/>
    <hyperlink ref="B52" location="'Cake Design'!A1"/>
    <hyperlink ref="B53" location="'Bar &amp; Drinks'!A1"/>
    <hyperlink ref="B54" location="'Tasting Notes'!A1"/>
    <hyperlink ref="B55" location="'Late-Night Snacks'!A1"/>
    <hyperlink ref="B57" location="'Wedding Day Timeline'!A1"/>
    <hyperlink ref="B58" location="'Rehearsal Dinner'!A1"/>
    <hyperlink ref="B59" location="'Ceremony Order'!A1"/>
    <hyperlink ref="B60" location="'Reception Timeline'!A1"/>
    <hyperlink ref="B61" location="'Emergency Kit'!A1"/>
    <hyperlink ref="B62" location="'Vendor Arrivals'!A1"/>
    <hyperlink ref="B64" location="'Ceremony Songs'!A1"/>
    <hyperlink ref="B65" location="'Reception Playlist'!A1"/>
    <hyperlink ref="B66" location="'Special Dances'!A1"/>
    <hyperlink ref="B67" location="'Entertainment Ideas'!A1"/>
    <hyperlink ref="B68" location="'Shot List'!A1"/>
    <hyperlink ref="B69" location="'Family Photos'!A1"/>
    <hyperlink ref="B70" location="'Video Moments'!A1"/>
    <hyperlink ref="B72" location="'Honeymoon Planner'!A1"/>
    <hyperlink ref="B73" location="'Name Change Checklist'!A1"/>
    <hyperlink ref="B74" location="'Favors Tracker'!A1"/>
    <hyperlink ref="B75" location="'Thank You Cards'!A1"/>
    <hyperlink ref="B76" location="'Registry Checklist'!A1"/>
    <hyperlink ref="B77" location="'Vow Worksheet'!A1"/>
    <hyperlink ref="B78" location="'Hashtag &amp; Social'!A1"/>
    <hyperlink ref="B79" location="'Legal &amp; Officiant'!A1"/>
  </hyperlink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76E79"/>
    <outlinePr summaryBelow="1" summaryRight="1"/>
    <pageSetUpPr fitToPage="1"/>
  </sheetPr>
  <dimension ref="B1:I42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4" customWidth="1" min="2" max="2"/>
    <col width="2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30" customHeight="1">
      <c r="B1" s="1" t="inlineStr">
        <is>
          <t>💒  WEDDING OVERVIEW DASHBOARD</t>
        </is>
      </c>
      <c r="C1" s="2" t="n"/>
      <c r="D1" s="2" t="n"/>
      <c r="E1" s="2" t="n"/>
      <c r="F1" s="2" t="n"/>
      <c r="G1" s="2" t="n"/>
      <c r="H1" s="2" t="n"/>
      <c r="I1" s="3" t="n"/>
    </row>
    <row r="2" ht="15" customHeight="1">
      <c r="B2" s="4" t="inlineStr">
        <is>
          <t>Your big picture at a glance  •  updates automatically</t>
        </is>
      </c>
      <c r="C2" s="2" t="n"/>
      <c r="D2" s="2" t="n"/>
      <c r="E2" s="2" t="n"/>
      <c r="F2" s="2" t="n"/>
      <c r="G2" s="2" t="n"/>
      <c r="H2" s="2" t="n"/>
      <c r="I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5" ht="20" customHeight="1">
      <c r="B5" s="6" t="inlineStr">
        <is>
          <t>THE COUPLE &amp; THE DAY</t>
        </is>
      </c>
      <c r="C5" s="7" t="n"/>
      <c r="D5" s="7" t="n"/>
      <c r="E5" s="7" t="n"/>
      <c r="F5" s="7" t="n"/>
      <c r="G5" s="7" t="n"/>
      <c r="H5" s="7" t="n"/>
      <c r="I5" s="7" t="n"/>
    </row>
    <row r="6">
      <c r="B6" s="8" t="inlineStr">
        <is>
          <t>Partner 1</t>
        </is>
      </c>
      <c r="C6" s="16" t="inlineStr">
        <is>
          <t>Alex Morgan</t>
        </is>
      </c>
    </row>
    <row r="7">
      <c r="B7" s="8" t="inlineStr">
        <is>
          <t>Partner 2</t>
        </is>
      </c>
      <c r="C7" s="16" t="inlineStr">
        <is>
          <t>Jordan Lee</t>
        </is>
      </c>
    </row>
    <row r="8">
      <c r="B8" s="8" t="inlineStr">
        <is>
          <t>Wedding Date</t>
        </is>
      </c>
      <c r="C8" s="17" t="n">
        <v>46529</v>
      </c>
      <c r="E8" s="18">
        <f>IF($C$8="","—",$C$8-TODAY())</f>
        <v/>
      </c>
      <c r="F8" s="19" t="n"/>
    </row>
    <row r="9">
      <c r="B9" s="8" t="inlineStr">
        <is>
          <t>Ceremony Time</t>
        </is>
      </c>
      <c r="C9" s="16" t="inlineStr">
        <is>
          <t>4:00 PM</t>
        </is>
      </c>
    </row>
    <row r="10">
      <c r="B10" s="8" t="inlineStr">
        <is>
          <t>Venue</t>
        </is>
      </c>
      <c r="C10" s="16" t="inlineStr">
        <is>
          <t>The Rosewood Estate</t>
        </is>
      </c>
    </row>
    <row r="11">
      <c r="B11" s="8" t="inlineStr">
        <is>
          <t>City / Location</t>
        </is>
      </c>
      <c r="C11" s="16" t="inlineStr">
        <is>
          <t>Asheville, North Carolina</t>
        </is>
      </c>
    </row>
    <row r="12">
      <c r="B12" s="8" t="inlineStr">
        <is>
          <t>Theme / Style</t>
        </is>
      </c>
      <c r="C12" s="16" t="inlineStr">
        <is>
          <t>Romantic garden party</t>
        </is>
      </c>
    </row>
    <row r="13">
      <c r="B13" s="8" t="inlineStr">
        <is>
          <t>Hashtag (auto)</t>
        </is>
      </c>
      <c r="C13" s="20">
        <f>IF(OR($C$6="",$C$7=""),"","#"&amp;SUBSTITUTE(LOWER($C$6&amp;$C$7)," ",""))</f>
        <v/>
      </c>
    </row>
    <row r="15" ht="20" customHeight="1">
      <c r="B15" s="6" t="inlineStr">
        <is>
          <t>COLOR PALETTE</t>
        </is>
      </c>
      <c r="C15" s="7" t="n"/>
      <c r="D15" s="7" t="n"/>
      <c r="E15" s="7" t="n"/>
      <c r="F15" s="7" t="n"/>
      <c r="G15" s="7" t="n"/>
      <c r="H15" s="7" t="n"/>
      <c r="I15" s="7" t="n"/>
    </row>
    <row r="16" ht="26" customHeight="1">
      <c r="B16" s="8" t="inlineStr">
        <is>
          <t>Swatches</t>
        </is>
      </c>
      <c r="C16" s="21" t="n"/>
      <c r="D16" s="22" t="n"/>
      <c r="E16" s="23" t="n"/>
      <c r="F16" s="24" t="n"/>
      <c r="G16" s="25" t="n"/>
      <c r="H16" s="26" t="n"/>
    </row>
    <row r="17">
      <c r="B17" s="8" t="inlineStr">
        <is>
          <t>Color name</t>
        </is>
      </c>
      <c r="C17" s="27" t="inlineStr">
        <is>
          <t>Blush</t>
        </is>
      </c>
      <c r="D17" s="27" t="inlineStr">
        <is>
          <t>Rose</t>
        </is>
      </c>
      <c r="E17" s="27" t="inlineStr">
        <is>
          <t>Rose Gold</t>
        </is>
      </c>
      <c r="F17" s="27" t="inlineStr">
        <is>
          <t>Sage</t>
        </is>
      </c>
      <c r="G17" s="27" t="inlineStr">
        <is>
          <t>Gold</t>
        </is>
      </c>
      <c r="H17" s="27" t="inlineStr">
        <is>
          <t>Ivory</t>
        </is>
      </c>
    </row>
    <row r="18">
      <c r="B18" s="28" t="inlineStr">
        <is>
          <t>Where it's used</t>
        </is>
      </c>
      <c r="C18" s="27" t="n"/>
      <c r="D18" s="27" t="n"/>
      <c r="E18" s="27" t="n"/>
      <c r="F18" s="27" t="n"/>
      <c r="G18" s="27" t="n"/>
      <c r="H18" s="27" t="n"/>
    </row>
    <row r="20" ht="20" customHeight="1">
      <c r="B20" s="6" t="inlineStr">
        <is>
          <t>BUDGET AT A GLANCE</t>
        </is>
      </c>
      <c r="C20" s="7" t="n"/>
      <c r="D20" s="7" t="n"/>
      <c r="E20" s="7" t="n"/>
      <c r="F20" s="7" t="n"/>
      <c r="G20" s="7" t="n"/>
      <c r="H20" s="7" t="n"/>
      <c r="I20" s="7" t="n"/>
    </row>
    <row r="21">
      <c r="B21" s="8" t="inlineStr">
        <is>
          <t>Total estimated</t>
        </is>
      </c>
      <c r="C21" s="29">
        <f>'Master Budget'!$C$31</f>
        <v/>
      </c>
      <c r="E21" s="30">
        <f>IF(N($C$21)=0,"",N($C21)/$C$21)</f>
        <v/>
      </c>
      <c r="F21" s="19" t="n"/>
    </row>
    <row r="22">
      <c r="B22" s="8" t="inlineStr">
        <is>
          <t>Actual / committed</t>
        </is>
      </c>
      <c r="C22" s="29">
        <f>'Master Budget'!$D$31</f>
        <v/>
      </c>
      <c r="E22" s="30">
        <f>IF(N($C$21)=0,"",N($C22)/$C$21)</f>
        <v/>
      </c>
      <c r="F22" s="19" t="n"/>
    </row>
    <row r="23">
      <c r="B23" s="8" t="inlineStr">
        <is>
          <t>Deposits paid</t>
        </is>
      </c>
      <c r="C23" s="29">
        <f>'Master Budget'!$E$31</f>
        <v/>
      </c>
      <c r="E23" s="30">
        <f>IF(N($C$21)=0,"",N($C23)/$C$21)</f>
        <v/>
      </c>
      <c r="F23" s="19" t="n"/>
    </row>
    <row r="24">
      <c r="B24" s="8" t="inlineStr">
        <is>
          <t>Balance remaining</t>
        </is>
      </c>
      <c r="C24" s="29">
        <f>'Master Budget'!$F$31</f>
        <v/>
      </c>
      <c r="E24" s="30">
        <f>IF(N($C$21)=0,"",N($C24)/$C$21)</f>
        <v/>
      </c>
      <c r="F24" s="19" t="n"/>
    </row>
    <row r="25">
      <c r="B25" s="8" t="inlineStr">
        <is>
          <t>Budget used</t>
        </is>
      </c>
      <c r="C25" s="30">
        <f>IF(N('Master Budget'!$C$31)=0,"",N('Master Budget'!$D$31)/'Master Budget'!$C$31)</f>
        <v/>
      </c>
    </row>
    <row r="27" ht="20" customHeight="1">
      <c r="B27" s="6" t="inlineStr">
        <is>
          <t>GUEST SNAPSHOT</t>
        </is>
      </c>
      <c r="C27" s="7" t="n"/>
      <c r="D27" s="7" t="n"/>
      <c r="E27" s="7" t="n"/>
      <c r="F27" s="7" t="n"/>
      <c r="G27" s="7" t="n"/>
      <c r="H27" s="7" t="n"/>
      <c r="I27" s="7" t="n"/>
    </row>
    <row r="28">
      <c r="B28" s="8" t="inlineStr">
        <is>
          <t>Guests invited</t>
        </is>
      </c>
      <c r="C28" s="31">
        <f>'Guest List'!$C$5</f>
        <v/>
      </c>
    </row>
    <row r="29">
      <c r="B29" s="8" t="inlineStr">
        <is>
          <t>Confirmed</t>
        </is>
      </c>
      <c r="C29" s="31">
        <f>'Guest List'!$E$5</f>
        <v/>
      </c>
    </row>
    <row r="30">
      <c r="B30" s="8" t="inlineStr">
        <is>
          <t>Declined</t>
        </is>
      </c>
      <c r="C30" s="31">
        <f>'Guest List'!$G$5</f>
        <v/>
      </c>
    </row>
    <row r="31">
      <c r="B31" s="8" t="inlineStr">
        <is>
          <t>Awaiting reply</t>
        </is>
      </c>
      <c r="C31" s="31">
        <f>'Guest List'!$I$5</f>
        <v/>
      </c>
    </row>
    <row r="32">
      <c r="B32" s="8" t="inlineStr">
        <is>
          <t>Guests with a +1</t>
        </is>
      </c>
      <c r="C32" s="31">
        <f>'Guest List'!$C$6</f>
        <v/>
      </c>
    </row>
    <row r="34" ht="20" customHeight="1">
      <c r="B34" s="6" t="inlineStr">
        <is>
          <t>ACTIONS &amp; COUNTDOWNS</t>
        </is>
      </c>
      <c r="C34" s="7" t="n"/>
      <c r="D34" s="7" t="n"/>
      <c r="E34" s="7" t="n"/>
      <c r="F34" s="7" t="n"/>
      <c r="G34" s="7" t="n"/>
      <c r="H34" s="7" t="n"/>
      <c r="I34" s="7" t="n"/>
    </row>
    <row r="35">
      <c r="B35" s="8" t="inlineStr">
        <is>
          <t>Payments due in 30 days</t>
        </is>
      </c>
      <c r="C35" s="31">
        <f>COUNTIFS('Payment Tracker'!$E$9:$E$158,"&gt;="&amp;TODAY(),'Payment Tracker'!$E$9:$E$158,"&lt;="&amp;TODAY()+30,'Payment Tracker'!$H$9:$H$158,"&lt;&gt;Paid")</f>
        <v/>
      </c>
    </row>
    <row r="36">
      <c r="B36" s="8" t="inlineStr">
        <is>
          <t>Next unpaid due date</t>
        </is>
      </c>
      <c r="C36" s="32">
        <f>IFERROR(IF(MINIFS('Payment Tracker'!$E$9:$E$158,'Payment Tracker'!$H$9:$H$158,"&lt;&gt;Paid",'Payment Tracker'!$E$9:$E$158,"&gt;="&amp;TODAY())=0,"All caught up!",MINIFS('Payment Tracker'!$E$9:$E$158,'Payment Tracker'!$H$9:$H$158,"&lt;&gt;Paid",'Payment Tracker'!$E$9:$E$158,"&gt;="&amp;TODAY())),"—")</f>
        <v/>
      </c>
    </row>
    <row r="37">
      <c r="B37" s="8" t="inlineStr">
        <is>
          <t>Checklist complete</t>
        </is>
      </c>
      <c r="C37" s="30">
        <f>'Countdown Checklist'!$E$5</f>
        <v/>
      </c>
    </row>
    <row r="38">
      <c r="B38" s="8" t="inlineStr">
        <is>
          <t>Vendors booked</t>
        </is>
      </c>
      <c r="C38" s="33">
        <f>'Vendor Contacts'!$E$5&amp;" of "&amp;'Vendor Contacts'!$C$5</f>
        <v/>
      </c>
    </row>
    <row r="39">
      <c r="B39" s="8" t="inlineStr">
        <is>
          <t>Thank-you cards sent</t>
        </is>
      </c>
      <c r="C39" s="31">
        <f>'Thank You Cards'!$C$5</f>
        <v/>
      </c>
    </row>
    <row r="40">
      <c r="B40" s="8" t="inlineStr">
        <is>
          <t>Honeymoon budget</t>
        </is>
      </c>
      <c r="C40" s="29">
        <f>'Honeymoon Planner'!$C$17</f>
        <v/>
      </c>
    </row>
    <row r="42">
      <c r="B42" s="34" t="inlineStr">
        <is>
          <t>🔒  Everything on this page is calculated automatically from your other tabs.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mergeCells count="12">
    <mergeCell ref="B15:I15"/>
    <mergeCell ref="E24:F24"/>
    <mergeCell ref="B2:I2"/>
    <mergeCell ref="B20:I20"/>
    <mergeCell ref="B34:I34"/>
    <mergeCell ref="E23:F23"/>
    <mergeCell ref="B5:I5"/>
    <mergeCell ref="E22:F22"/>
    <mergeCell ref="B27:I27"/>
    <mergeCell ref="B1:I1"/>
    <mergeCell ref="E8:F8"/>
    <mergeCell ref="E21:F21"/>
  </mergeCell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B76E79"/>
    <outlinePr summaryBelow="1" summaryRight="1"/>
    <pageSetUpPr fitToPage="1"/>
  </sheetPr>
  <dimension ref="B1:F77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0" customWidth="1" min="2" max="2"/>
    <col width="52" customWidth="1" min="3" max="3"/>
    <col width="14" customWidth="1" min="4" max="4"/>
    <col width="14" customWidth="1" min="5" max="5"/>
    <col width="30" customWidth="1" min="6" max="6"/>
  </cols>
  <sheetData>
    <row r="1" ht="30" customHeight="1">
      <c r="B1" s="1" t="inlineStr">
        <is>
          <t>⏳  COUNTDOWN CHECKLIST</t>
        </is>
      </c>
      <c r="C1" s="2" t="n"/>
      <c r="D1" s="2" t="n"/>
      <c r="E1" s="2" t="n"/>
      <c r="F1" s="3" t="n"/>
    </row>
    <row r="2" ht="15" customHeight="1">
      <c r="B2" s="4" t="inlineStr">
        <is>
          <t>12-month → 6-month → 3-month → 1-month → 1-week → day-of</t>
        </is>
      </c>
      <c r="C2" s="2" t="n"/>
      <c r="D2" s="2" t="n"/>
      <c r="E2" s="2" t="n"/>
      <c r="F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5">
      <c r="B5" s="8" t="inlineStr">
        <is>
          <t>TASKS DONE</t>
        </is>
      </c>
      <c r="C5" s="31">
        <f>COUNTIF($E$9:$E$120,"Done")</f>
        <v/>
      </c>
      <c r="D5" s="8" t="inlineStr">
        <is>
          <t>% COMPLETE</t>
        </is>
      </c>
      <c r="E5" s="30">
        <f>IF(COUNTA($C$9:$C$120)=0,"",COUNTIF($E$9:$E$120,"Done")/COUNTA($C$9:$C$120))</f>
        <v/>
      </c>
    </row>
    <row r="8" ht="26" customHeight="1">
      <c r="B8" s="35" t="inlineStr">
        <is>
          <t>Phase</t>
        </is>
      </c>
      <c r="C8" s="35" t="inlineStr">
        <is>
          <t>Task</t>
        </is>
      </c>
      <c r="D8" s="35" t="inlineStr">
        <is>
          <t>Target Date (auto)</t>
        </is>
      </c>
      <c r="E8" s="35" t="inlineStr">
        <is>
          <t>Status</t>
        </is>
      </c>
      <c r="F8" s="35" t="inlineStr">
        <is>
          <t>Notes</t>
        </is>
      </c>
    </row>
    <row r="9">
      <c r="B9" s="36" t="inlineStr">
        <is>
          <t>12 Months Before</t>
        </is>
      </c>
      <c r="C9" s="36" t="inlineStr">
        <is>
          <t>Set the wedding date &amp; book the officiant</t>
        </is>
      </c>
      <c r="D9" s="37">
        <f>IF($B9="","",IF(Dashboard!$C$8="","",IF($B9="Day-Of",Dashboard!$C$8,IF($B9="1 Week Before",Dashboard!$C$8-7,IF($B9="1 Month Before",EDATE(Dashboard!$C$8,-1),IF($B9="3 Months Before",EDATE(Dashboard!$C$8,-3),IF($B9="6 Months Before",EDATE(Dashboard!$C$8,-6),IF($B9="12 Months Before",EDATE(Dashboard!$C$8,-12),""))))))))</f>
        <v/>
      </c>
      <c r="E9" s="38" t="n"/>
      <c r="F9" s="36" t="n"/>
    </row>
    <row r="10">
      <c r="B10" s="36" t="inlineStr">
        <is>
          <t>12 Months Before</t>
        </is>
      </c>
      <c r="C10" s="36" t="inlineStr">
        <is>
          <t>Draft the budget &amp; open a wedding savings account</t>
        </is>
      </c>
      <c r="D10" s="37">
        <f>IF($B10="","",IF(Dashboard!$C$8="","",IF($B10="Day-Of",Dashboard!$C$8,IF($B10="1 Week Before",Dashboard!$C$8-7,IF($B10="1 Month Before",EDATE(Dashboard!$C$8,-1),IF($B10="3 Months Before",EDATE(Dashboard!$C$8,-3),IF($B10="6 Months Before",EDATE(Dashboard!$C$8,-6),IF($B10="12 Months Before",EDATE(Dashboard!$C$8,-12),""))))))))</f>
        <v/>
      </c>
      <c r="E10" s="38" t="n"/>
      <c r="F10" s="36" t="n"/>
    </row>
    <row r="11">
      <c r="B11" s="36" t="inlineStr">
        <is>
          <t>12 Months Before</t>
        </is>
      </c>
      <c r="C11" s="36" t="inlineStr">
        <is>
          <t>Start the master guest list (use the Guest List tab)</t>
        </is>
      </c>
      <c r="D11" s="37">
        <f>IF($B11="","",IF(Dashboard!$C$8="","",IF($B11="Day-Of",Dashboard!$C$8,IF($B11="1 Week Before",Dashboard!$C$8-7,IF($B11="1 Month Before",EDATE(Dashboard!$C$8,-1),IF($B11="3 Months Before",EDATE(Dashboard!$C$8,-3),IF($B11="6 Months Before",EDATE(Dashboard!$C$8,-6),IF($B11="12 Months Before",EDATE(Dashboard!$C$8,-12),""))))))))</f>
        <v/>
      </c>
      <c r="E11" s="38" t="n"/>
      <c r="F11" s="36" t="n"/>
    </row>
    <row r="12">
      <c r="B12" s="36" t="inlineStr">
        <is>
          <t>12 Months Before</t>
        </is>
      </c>
      <c r="C12" s="36" t="inlineStr">
        <is>
          <t>Hire a wedding planner / coordinator</t>
        </is>
      </c>
      <c r="D12" s="37">
        <f>IF($B12="","",IF(Dashboard!$C$8="","",IF($B12="Day-Of",Dashboard!$C$8,IF($B12="1 Week Before",Dashboard!$C$8-7,IF($B12="1 Month Before",EDATE(Dashboard!$C$8,-1),IF($B12="3 Months Before",EDATE(Dashboard!$C$8,-3),IF($B12="6 Months Before",EDATE(Dashboard!$C$8,-6),IF($B12="12 Months Before",EDATE(Dashboard!$C$8,-12),""))))))))</f>
        <v/>
      </c>
      <c r="E12" s="38" t="n"/>
      <c r="F12" s="36" t="n"/>
    </row>
    <row r="13">
      <c r="B13" s="36" t="inlineStr">
        <is>
          <t>12 Months Before</t>
        </is>
      </c>
      <c r="C13" s="36" t="inlineStr">
        <is>
          <t>Tour venues &amp; book your favourite</t>
        </is>
      </c>
      <c r="D13" s="37">
        <f>IF($B13="","",IF(Dashboard!$C$8="","",IF($B13="Day-Of",Dashboard!$C$8,IF($B13="1 Week Before",Dashboard!$C$8-7,IF($B13="1 Month Before",EDATE(Dashboard!$C$8,-1),IF($B13="3 Months Before",EDATE(Dashboard!$C$8,-3),IF($B13="6 Months Before",EDATE(Dashboard!$C$8,-6),IF($B13="12 Months Before",EDATE(Dashboard!$C$8,-12),""))))))))</f>
        <v/>
      </c>
      <c r="E13" s="38" t="n"/>
      <c r="F13" s="36" t="n"/>
    </row>
    <row r="14">
      <c r="B14" s="36" t="inlineStr">
        <is>
          <t>12 Months Before</t>
        </is>
      </c>
      <c r="C14" s="36" t="inlineStr">
        <is>
          <t>Choose your wedding party</t>
        </is>
      </c>
      <c r="D14" s="37">
        <f>IF($B14="","",IF(Dashboard!$C$8="","",IF($B14="Day-Of",Dashboard!$C$8,IF($B14="1 Week Before",Dashboard!$C$8-7,IF($B14="1 Month Before",EDATE(Dashboard!$C$8,-1),IF($B14="3 Months Before",EDATE(Dashboard!$C$8,-3),IF($B14="6 Months Before",EDATE(Dashboard!$C$8,-6),IF($B14="12 Months Before",EDATE(Dashboard!$C$8,-12),""))))))))</f>
        <v/>
      </c>
      <c r="E14" s="38" t="n"/>
      <c r="F14" s="36" t="n"/>
    </row>
    <row r="15">
      <c r="B15" s="36" t="inlineStr">
        <is>
          <t>6 Months Before</t>
        </is>
      </c>
      <c r="C15" s="36" t="inlineStr">
        <is>
          <t>Book the caterer &amp; schedule a tasting</t>
        </is>
      </c>
      <c r="D15" s="37">
        <f>IF($B15="","",IF(Dashboard!$C$8="","",IF($B15="Day-Of",Dashboard!$C$8,IF($B15="1 Week Before",Dashboard!$C$8-7,IF($B15="1 Month Before",EDATE(Dashboard!$C$8,-1),IF($B15="3 Months Before",EDATE(Dashboard!$C$8,-3),IF($B15="6 Months Before",EDATE(Dashboard!$C$8,-6),IF($B15="12 Months Before",EDATE(Dashboard!$C$8,-12),""))))))))</f>
        <v/>
      </c>
      <c r="E15" s="38" t="n"/>
      <c r="F15" s="36" t="n"/>
    </row>
    <row r="16">
      <c r="B16" s="36" t="inlineStr">
        <is>
          <t>6 Months Before</t>
        </is>
      </c>
      <c r="C16" s="36" t="inlineStr">
        <is>
          <t>Book photographer &amp; videographer</t>
        </is>
      </c>
      <c r="D16" s="37">
        <f>IF($B16="","",IF(Dashboard!$C$8="","",IF($B16="Day-Of",Dashboard!$C$8,IF($B16="1 Week Before",Dashboard!$C$8-7,IF($B16="1 Month Before",EDATE(Dashboard!$C$8,-1),IF($B16="3 Months Before",EDATE(Dashboard!$C$8,-3),IF($B16="6 Months Before",EDATE(Dashboard!$C$8,-6),IF($B16="12 Months Before",EDATE(Dashboard!$C$8,-12),""))))))))</f>
        <v/>
      </c>
      <c r="E16" s="38" t="n"/>
      <c r="F16" s="36" t="n"/>
    </row>
    <row r="17">
      <c r="B17" s="36" t="inlineStr">
        <is>
          <t>6 Months Before</t>
        </is>
      </c>
      <c r="C17" s="36" t="inlineStr">
        <is>
          <t>Book DJ / band &amp; extra entertainment</t>
        </is>
      </c>
      <c r="D17" s="37">
        <f>IF($B17="","",IF(Dashboard!$C$8="","",IF($B17="Day-Of",Dashboard!$C$8,IF($B17="1 Week Before",Dashboard!$C$8-7,IF($B17="1 Month Before",EDATE(Dashboard!$C$8,-1),IF($B17="3 Months Before",EDATE(Dashboard!$C$8,-3),IF($B17="6 Months Before",EDATE(Dashboard!$C$8,-6),IF($B17="12 Months Before",EDATE(Dashboard!$C$8,-12),""))))))))</f>
        <v/>
      </c>
      <c r="E17" s="38" t="n"/>
      <c r="F17" s="36" t="n"/>
    </row>
    <row r="18">
      <c r="B18" s="36" t="inlineStr">
        <is>
          <t>6 Months Before</t>
        </is>
      </c>
      <c r="C18" s="36" t="inlineStr">
        <is>
          <t>Order the wedding gown (allow alterations time)</t>
        </is>
      </c>
      <c r="D18" s="37">
        <f>IF($B18="","",IF(Dashboard!$C$8="","",IF($B18="Day-Of",Dashboard!$C$8,IF($B18="1 Week Before",Dashboard!$C$8-7,IF($B18="1 Month Before",EDATE(Dashboard!$C$8,-1),IF($B18="3 Months Before",EDATE(Dashboard!$C$8,-3),IF($B18="6 Months Before",EDATE(Dashboard!$C$8,-6),IF($B18="12 Months Before",EDATE(Dashboard!$C$8,-12),""))))))))</f>
        <v/>
      </c>
      <c r="E18" s="38" t="n"/>
      <c r="F18" s="36" t="n"/>
    </row>
    <row r="19">
      <c r="B19" s="36" t="inlineStr">
        <is>
          <t>6 Months Before</t>
        </is>
      </c>
      <c r="C19" s="36" t="inlineStr">
        <is>
          <t>Send save-the-dates</t>
        </is>
      </c>
      <c r="D19" s="37">
        <f>IF($B19="","",IF(Dashboard!$C$8="","",IF($B19="Day-Of",Dashboard!$C$8,IF($B19="1 Week Before",Dashboard!$C$8-7,IF($B19="1 Month Before",EDATE(Dashboard!$C$8,-1),IF($B19="3 Months Before",EDATE(Dashboard!$C$8,-3),IF($B19="6 Months Before",EDATE(Dashboard!$C$8,-6),IF($B19="12 Months Before",EDATE(Dashboard!$C$8,-12),""))))))))</f>
        <v/>
      </c>
      <c r="E19" s="38" t="n"/>
      <c r="F19" s="36" t="n"/>
    </row>
    <row r="20">
      <c r="B20" s="36" t="inlineStr">
        <is>
          <t>6 Months Before</t>
        </is>
      </c>
      <c r="C20" s="36" t="inlineStr">
        <is>
          <t>Book the florist &amp; lock the décor vision</t>
        </is>
      </c>
      <c r="D20" s="37">
        <f>IF($B20="","",IF(Dashboard!$C$8="","",IF($B20="Day-Of",Dashboard!$C$8,IF($B20="1 Week Before",Dashboard!$C$8-7,IF($B20="1 Month Before",EDATE(Dashboard!$C$8,-1),IF($B20="3 Months Before",EDATE(Dashboard!$C$8,-3),IF($B20="6 Months Before",EDATE(Dashboard!$C$8,-6),IF($B20="12 Months Before",EDATE(Dashboard!$C$8,-12),""))))))))</f>
        <v/>
      </c>
      <c r="E20" s="38" t="n"/>
      <c r="F20" s="36" t="n"/>
    </row>
    <row r="21">
      <c r="B21" s="36" t="inlineStr">
        <is>
          <t>6 Months Before</t>
        </is>
      </c>
      <c r="C21" s="36" t="inlineStr">
        <is>
          <t>Reserve hotel room blocks for guests</t>
        </is>
      </c>
      <c r="D21" s="37">
        <f>IF($B21="","",IF(Dashboard!$C$8="","",IF($B21="Day-Of",Dashboard!$C$8,IF($B21="1 Week Before",Dashboard!$C$8-7,IF($B21="1 Month Before",EDATE(Dashboard!$C$8,-1),IF($B21="3 Months Before",EDATE(Dashboard!$C$8,-3),IF($B21="6 Months Before",EDATE(Dashboard!$C$8,-6),IF($B21="12 Months Before",EDATE(Dashboard!$C$8,-12),""))))))))</f>
        <v/>
      </c>
      <c r="E21" s="38" t="n"/>
      <c r="F21" s="36" t="n"/>
    </row>
    <row r="22">
      <c r="B22" s="36" t="inlineStr">
        <is>
          <t>6 Months Before</t>
        </is>
      </c>
      <c r="C22" s="36" t="inlineStr">
        <is>
          <t>Set up your gift registry</t>
        </is>
      </c>
      <c r="D22" s="37">
        <f>IF($B22="","",IF(Dashboard!$C$8="","",IF($B22="Day-Of",Dashboard!$C$8,IF($B22="1 Week Before",Dashboard!$C$8-7,IF($B22="1 Month Before",EDATE(Dashboard!$C$8,-1),IF($B22="3 Months Before",EDATE(Dashboard!$C$8,-3),IF($B22="6 Months Before",EDATE(Dashboard!$C$8,-6),IF($B22="12 Months Before",EDATE(Dashboard!$C$8,-12),""))))))))</f>
        <v/>
      </c>
      <c r="E22" s="38" t="n"/>
      <c r="F22" s="36" t="n"/>
    </row>
    <row r="23">
      <c r="B23" s="36" t="inlineStr">
        <is>
          <t>3 Months Before</t>
        </is>
      </c>
      <c r="C23" s="36" t="inlineStr">
        <is>
          <t>Finalize the guest list &amp; order invitations</t>
        </is>
      </c>
      <c r="D23" s="37">
        <f>IF($B23="","",IF(Dashboard!$C$8="","",IF($B23="Day-Of",Dashboard!$C$8,IF($B23="1 Week Before",Dashboard!$C$8-7,IF($B23="1 Month Before",EDATE(Dashboard!$C$8,-1),IF($B23="3 Months Before",EDATE(Dashboard!$C$8,-3),IF($B23="6 Months Before",EDATE(Dashboard!$C$8,-6),IF($B23="12 Months Before",EDATE(Dashboard!$C$8,-12),""))))))))</f>
        <v/>
      </c>
      <c r="E23" s="38" t="n"/>
      <c r="F23" s="36" t="n"/>
    </row>
    <row r="24">
      <c r="B24" s="36" t="inlineStr">
        <is>
          <t>3 Months Before</t>
        </is>
      </c>
      <c r="C24" s="36" t="inlineStr">
        <is>
          <t>Do hair &amp; makeup trials</t>
        </is>
      </c>
      <c r="D24" s="37">
        <f>IF($B24="","",IF(Dashboard!$C$8="","",IF($B24="Day-Of",Dashboard!$C$8,IF($B24="1 Week Before",Dashboard!$C$8-7,IF($B24="1 Month Before",EDATE(Dashboard!$C$8,-1),IF($B24="3 Months Before",EDATE(Dashboard!$C$8,-3),IF($B24="6 Months Before",EDATE(Dashboard!$C$8,-6),IF($B24="12 Months Before",EDATE(Dashboard!$C$8,-12),""))))))))</f>
        <v/>
      </c>
      <c r="E24" s="38" t="n"/>
      <c r="F24" s="36" t="n"/>
    </row>
    <row r="25">
      <c r="B25" s="36" t="inlineStr">
        <is>
          <t>3 Months Before</t>
        </is>
      </c>
      <c r="C25" s="36" t="inlineStr">
        <is>
          <t>Order bridesmaid dresses &amp; groom's attire</t>
        </is>
      </c>
      <c r="D25" s="37">
        <f>IF($B25="","",IF(Dashboard!$C$8="","",IF($B25="Day-Of",Dashboard!$C$8,IF($B25="1 Week Before",Dashboard!$C$8-7,IF($B25="1 Month Before",EDATE(Dashboard!$C$8,-1),IF($B25="3 Months Before",EDATE(Dashboard!$C$8,-3),IF($B25="6 Months Before",EDATE(Dashboard!$C$8,-6),IF($B25="12 Months Before",EDATE(Dashboard!$C$8,-12),""))))))))</f>
        <v/>
      </c>
      <c r="E25" s="38" t="n"/>
      <c r="F25" s="36" t="n"/>
    </row>
    <row r="26">
      <c r="B26" s="36" t="inlineStr">
        <is>
          <t>3 Months Before</t>
        </is>
      </c>
      <c r="C26" s="36" t="inlineStr">
        <is>
          <t>Plan &amp; book the honeymoon</t>
        </is>
      </c>
      <c r="D26" s="37">
        <f>IF($B26="","",IF(Dashboard!$C$8="","",IF($B26="Day-Of",Dashboard!$C$8,IF($B26="1 Week Before",Dashboard!$C$8-7,IF($B26="1 Month Before",EDATE(Dashboard!$C$8,-1),IF($B26="3 Months Before",EDATE(Dashboard!$C$8,-3),IF($B26="6 Months Before",EDATE(Dashboard!$C$8,-6),IF($B26="12 Months Before",EDATE(Dashboard!$C$8,-12),""))))))))</f>
        <v/>
      </c>
      <c r="E26" s="38" t="n"/>
      <c r="F26" s="36" t="n"/>
    </row>
    <row r="27">
      <c r="B27" s="36" t="inlineStr">
        <is>
          <t>3 Months Before</t>
        </is>
      </c>
      <c r="C27" s="36" t="inlineStr">
        <is>
          <t>Do the cake tasting &amp; order the cake</t>
        </is>
      </c>
      <c r="D27" s="37">
        <f>IF($B27="","",IF(Dashboard!$C$8="","",IF($B27="Day-Of",Dashboard!$C$8,IF($B27="1 Week Before",Dashboard!$C$8-7,IF($B27="1 Month Before",EDATE(Dashboard!$C$8,-1),IF($B27="3 Months Before",EDATE(Dashboard!$C$8,-3),IF($B27="6 Months Before",EDATE(Dashboard!$C$8,-6),IF($B27="12 Months Before",EDATE(Dashboard!$C$8,-12),""))))))))</f>
        <v/>
      </c>
      <c r="E27" s="38" t="n"/>
      <c r="F27" s="36" t="n"/>
    </row>
    <row r="28">
      <c r="B28" s="36" t="inlineStr">
        <is>
          <t>3 Months Before</t>
        </is>
      </c>
      <c r="C28" s="36" t="inlineStr">
        <is>
          <t>Arrange guest transportation / shuttles</t>
        </is>
      </c>
      <c r="D28" s="37">
        <f>IF($B28="","",IF(Dashboard!$C$8="","",IF($B28="Day-Of",Dashboard!$C$8,IF($B28="1 Week Before",Dashboard!$C$8-7,IF($B28="1 Month Before",EDATE(Dashboard!$C$8,-1),IF($B28="3 Months Before",EDATE(Dashboard!$C$8,-3),IF($B28="6 Months Before",EDATE(Dashboard!$C$8,-6),IF($B28="12 Months Before",EDATE(Dashboard!$C$8,-12),""))))))))</f>
        <v/>
      </c>
      <c r="E28" s="38" t="n"/>
      <c r="F28" s="36" t="n"/>
    </row>
    <row r="29">
      <c r="B29" s="36" t="inlineStr">
        <is>
          <t>3 Months Before</t>
        </is>
      </c>
      <c r="C29" s="36" t="inlineStr">
        <is>
          <t>Buy the wedding rings</t>
        </is>
      </c>
      <c r="D29" s="37">
        <f>IF($B29="","",IF(Dashboard!$C$8="","",IF($B29="Day-Of",Dashboard!$C$8,IF($B29="1 Week Before",Dashboard!$C$8-7,IF($B29="1 Month Before",EDATE(Dashboard!$C$8,-1),IF($B29="3 Months Before",EDATE(Dashboard!$C$8,-3),IF($B29="6 Months Before",EDATE(Dashboard!$C$8,-6),IF($B29="12 Months Before",EDATE(Dashboard!$C$8,-12),""))))))))</f>
        <v/>
      </c>
      <c r="E29" s="38" t="n"/>
      <c r="F29" s="36" t="n"/>
    </row>
    <row r="30">
      <c r="B30" s="36" t="inlineStr">
        <is>
          <t>1 Month Before</t>
        </is>
      </c>
      <c r="C30" s="36" t="inlineStr">
        <is>
          <t>Mail invitations &amp; set the RSVP deadline</t>
        </is>
      </c>
      <c r="D30" s="37">
        <f>IF($B30="","",IF(Dashboard!$C$8="","",IF($B30="Day-Of",Dashboard!$C$8,IF($B30="1 Week Before",Dashboard!$C$8-7,IF($B30="1 Month Before",EDATE(Dashboard!$C$8,-1),IF($B30="3 Months Before",EDATE(Dashboard!$C$8,-3),IF($B30="6 Months Before",EDATE(Dashboard!$C$8,-6),IF($B30="12 Months Before",EDATE(Dashboard!$C$8,-12),""))))))))</f>
        <v/>
      </c>
      <c r="E30" s="38" t="n"/>
      <c r="F30" s="36" t="n"/>
    </row>
    <row r="31">
      <c r="B31" s="36" t="inlineStr">
        <is>
          <t>1 Month Before</t>
        </is>
      </c>
      <c r="C31" s="36" t="inlineStr">
        <is>
          <t>Apply for the marriage license (see Legal &amp; Officiant)</t>
        </is>
      </c>
      <c r="D31" s="37">
        <f>IF($B31="","",IF(Dashboard!$C$8="","",IF($B31="Day-Of",Dashboard!$C$8,IF($B31="1 Week Before",Dashboard!$C$8-7,IF($B31="1 Month Before",EDATE(Dashboard!$C$8,-1),IF($B31="3 Months Before",EDATE(Dashboard!$C$8,-3),IF($B31="6 Months Before",EDATE(Dashboard!$C$8,-6),IF($B31="12 Months Before",EDATE(Dashboard!$C$8,-12),""))))))))</f>
        <v/>
      </c>
      <c r="E31" s="38" t="n"/>
      <c r="F31" s="36" t="n"/>
    </row>
    <row r="32">
      <c r="B32" s="36" t="inlineStr">
        <is>
          <t>1 Month Before</t>
        </is>
      </c>
      <c r="C32" s="36" t="inlineStr">
        <is>
          <t>Final dress fitting</t>
        </is>
      </c>
      <c r="D32" s="37">
        <f>IF($B32="","",IF(Dashboard!$C$8="","",IF($B32="Day-Of",Dashboard!$C$8,IF($B32="1 Week Before",Dashboard!$C$8-7,IF($B32="1 Month Before",EDATE(Dashboard!$C$8,-1),IF($B32="3 Months Before",EDATE(Dashboard!$C$8,-3),IF($B32="6 Months Before",EDATE(Dashboard!$C$8,-6),IF($B32="12 Months Before",EDATE(Dashboard!$C$8,-12),""))))))))</f>
        <v/>
      </c>
      <c r="E32" s="38" t="n"/>
      <c r="F32" s="36" t="n"/>
    </row>
    <row r="33">
      <c r="B33" s="36" t="inlineStr">
        <is>
          <t>1 Month Before</t>
        </is>
      </c>
      <c r="C33" s="36" t="inlineStr">
        <is>
          <t>Confirm every vendor detail in writing</t>
        </is>
      </c>
      <c r="D33" s="37">
        <f>IF($B33="","",IF(Dashboard!$C$8="","",IF($B33="Day-Of",Dashboard!$C$8,IF($B33="1 Week Before",Dashboard!$C$8-7,IF($B33="1 Month Before",EDATE(Dashboard!$C$8,-1),IF($B33="3 Months Before",EDATE(Dashboard!$C$8,-3),IF($B33="6 Months Before",EDATE(Dashboard!$C$8,-6),IF($B33="12 Months Before",EDATE(Dashboard!$C$8,-12),""))))))))</f>
        <v/>
      </c>
      <c r="E33" s="38" t="n"/>
      <c r="F33" s="36" t="n"/>
    </row>
    <row r="34">
      <c r="B34" s="36" t="inlineStr">
        <is>
          <t>1 Month Before</t>
        </is>
      </c>
      <c r="C34" s="36" t="inlineStr">
        <is>
          <t>Give caterer preliminary menu counts</t>
        </is>
      </c>
      <c r="D34" s="37">
        <f>IF($B34="","",IF(Dashboard!$C$8="","",IF($B34="Day-Of",Dashboard!$C$8,IF($B34="1 Week Before",Dashboard!$C$8-7,IF($B34="1 Month Before",EDATE(Dashboard!$C$8,-1),IF($B34="3 Months Before",EDATE(Dashboard!$C$8,-3),IF($B34="6 Months Before",EDATE(Dashboard!$C$8,-6),IF($B34="12 Months Before",EDATE(Dashboard!$C$8,-12),""))))))))</f>
        <v/>
      </c>
      <c r="E34" s="38" t="n"/>
      <c r="F34" s="36" t="n"/>
    </row>
    <row r="35">
      <c r="B35" s="36" t="inlineStr">
        <is>
          <t>1 Month Before</t>
        </is>
      </c>
      <c r="C35" s="36" t="inlineStr">
        <is>
          <t>Write your vows (use the Vow Worksheet)</t>
        </is>
      </c>
      <c r="D35" s="37">
        <f>IF($B35="","",IF(Dashboard!$C$8="","",IF($B35="Day-Of",Dashboard!$C$8,IF($B35="1 Week Before",Dashboard!$C$8-7,IF($B35="1 Month Before",EDATE(Dashboard!$C$8,-1),IF($B35="3 Months Before",EDATE(Dashboard!$C$8,-3),IF($B35="6 Months Before",EDATE(Dashboard!$C$8,-6),IF($B35="12 Months Before",EDATE(Dashboard!$C$8,-12),""))))))))</f>
        <v/>
      </c>
      <c r="E35" s="38" t="n"/>
      <c r="F35" s="36" t="n"/>
    </row>
    <row r="36">
      <c r="B36" s="36" t="inlineStr">
        <is>
          <t>1 Month Before</t>
        </is>
      </c>
      <c r="C36" s="36" t="inlineStr">
        <is>
          <t>Break in your wedding shoes</t>
        </is>
      </c>
      <c r="D36" s="37">
        <f>IF($B36="","",IF(Dashboard!$C$8="","",IF($B36="Day-Of",Dashboard!$C$8,IF($B36="1 Week Before",Dashboard!$C$8-7,IF($B36="1 Month Before",EDATE(Dashboard!$C$8,-1),IF($B36="3 Months Before",EDATE(Dashboard!$C$8,-3),IF($B36="6 Months Before",EDATE(Dashboard!$C$8,-6),IF($B36="12 Months Before",EDATE(Dashboard!$C$8,-12),""))))))))</f>
        <v/>
      </c>
      <c r="E36" s="38" t="n"/>
      <c r="F36" s="36" t="n"/>
    </row>
    <row r="37">
      <c r="B37" s="36" t="inlineStr">
        <is>
          <t>1 Month Before</t>
        </is>
      </c>
      <c r="C37" s="36" t="inlineStr">
        <is>
          <t>Build the day-of timeline &amp; share with vendors</t>
        </is>
      </c>
      <c r="D37" s="37">
        <f>IF($B37="","",IF(Dashboard!$C$8="","",IF($B37="Day-Of",Dashboard!$C$8,IF($B37="1 Week Before",Dashboard!$C$8-7,IF($B37="1 Month Before",EDATE(Dashboard!$C$8,-1),IF($B37="3 Months Before",EDATE(Dashboard!$C$8,-3),IF($B37="6 Months Before",EDATE(Dashboard!$C$8,-6),IF($B37="12 Months Before",EDATE(Dashboard!$C$8,-12),""))))))))</f>
        <v/>
      </c>
      <c r="E37" s="38" t="n"/>
      <c r="F37" s="36" t="n"/>
    </row>
    <row r="38">
      <c r="B38" s="36" t="inlineStr">
        <is>
          <t>1 Week Before</t>
        </is>
      </c>
      <c r="C38" s="36" t="inlineStr">
        <is>
          <t>Confirm the vendor arrival schedule</t>
        </is>
      </c>
      <c r="D38" s="37">
        <f>IF($B38="","",IF(Dashboard!$C$8="","",IF($B38="Day-Of",Dashboard!$C$8,IF($B38="1 Week Before",Dashboard!$C$8-7,IF($B38="1 Month Before",EDATE(Dashboard!$C$8,-1),IF($B38="3 Months Before",EDATE(Dashboard!$C$8,-3),IF($B38="6 Months Before",EDATE(Dashboard!$C$8,-6),IF($B38="12 Months Before",EDATE(Dashboard!$C$8,-12),""))))))))</f>
        <v/>
      </c>
      <c r="E38" s="38" t="n"/>
      <c r="F38" s="36" t="n"/>
    </row>
    <row r="39">
      <c r="B39" s="36" t="inlineStr">
        <is>
          <t>1 Week Before</t>
        </is>
      </c>
      <c r="C39" s="36" t="inlineStr">
        <is>
          <t>Pack the wedding emergency kit</t>
        </is>
      </c>
      <c r="D39" s="37">
        <f>IF($B39="","",IF(Dashboard!$C$8="","",IF($B39="Day-Of",Dashboard!$C$8,IF($B39="1 Week Before",Dashboard!$C$8-7,IF($B39="1 Month Before",EDATE(Dashboard!$C$8,-1),IF($B39="3 Months Before",EDATE(Dashboard!$C$8,-3),IF($B39="6 Months Before",EDATE(Dashboard!$C$8,-6),IF($B39="12 Months Before",EDATE(Dashboard!$C$8,-12),""))))))))</f>
        <v/>
      </c>
      <c r="E39" s="38" t="n"/>
      <c r="F39" s="36" t="n"/>
    </row>
    <row r="40">
      <c r="B40" s="36" t="inlineStr">
        <is>
          <t>1 Week Before</t>
        </is>
      </c>
      <c r="C40" s="36" t="inlineStr">
        <is>
          <t>Pick up the gown &amp; all attire</t>
        </is>
      </c>
      <c r="D40" s="37">
        <f>IF($B40="","",IF(Dashboard!$C$8="","",IF($B40="Day-Of",Dashboard!$C$8,IF($B40="1 Week Before",Dashboard!$C$8-7,IF($B40="1 Month Before",EDATE(Dashboard!$C$8,-1),IF($B40="3 Months Before",EDATE(Dashboard!$C$8,-3),IF($B40="6 Months Before",EDATE(Dashboard!$C$8,-6),IF($B40="12 Months Before",EDATE(Dashboard!$C$8,-12),""))))))))</f>
        <v/>
      </c>
      <c r="E40" s="38" t="n"/>
      <c r="F40" s="36" t="n"/>
    </row>
    <row r="41">
      <c r="B41" s="36" t="inlineStr">
        <is>
          <t>1 Week Before</t>
        </is>
      </c>
      <c r="C41" s="36" t="inlineStr">
        <is>
          <t>Give caterer the final headcount</t>
        </is>
      </c>
      <c r="D41" s="37">
        <f>IF($B41="","",IF(Dashboard!$C$8="","",IF($B41="Day-Of",Dashboard!$C$8,IF($B41="1 Week Before",Dashboard!$C$8-7,IF($B41="1 Month Before",EDATE(Dashboard!$C$8,-1),IF($B41="3 Months Before",EDATE(Dashboard!$C$8,-3),IF($B41="6 Months Before",EDATE(Dashboard!$C$8,-6),IF($B41="12 Months Before",EDATE(Dashboard!$C$8,-12),""))))))))</f>
        <v/>
      </c>
      <c r="E41" s="38" t="n"/>
      <c r="F41" s="36" t="n"/>
    </row>
    <row r="42">
      <c r="B42" s="36" t="inlineStr">
        <is>
          <t>1 Week Before</t>
        </is>
      </c>
      <c r="C42" s="36" t="inlineStr">
        <is>
          <t>Assign day-of helpers &amp; walk through the timeline</t>
        </is>
      </c>
      <c r="D42" s="37">
        <f>IF($B42="","",IF(Dashboard!$C$8="","",IF($B42="Day-Of",Dashboard!$C$8,IF($B42="1 Week Before",Dashboard!$C$8-7,IF($B42="1 Month Before",EDATE(Dashboard!$C$8,-1),IF($B42="3 Months Before",EDATE(Dashboard!$C$8,-3),IF($B42="6 Months Before",EDATE(Dashboard!$C$8,-6),IF($B42="12 Months Before",EDATE(Dashboard!$C$8,-12),""))))))))</f>
        <v/>
      </c>
      <c r="E42" s="38" t="n"/>
      <c r="F42" s="36" t="n"/>
    </row>
    <row r="43">
      <c r="B43" s="36" t="inlineStr">
        <is>
          <t>1 Week Before</t>
        </is>
      </c>
      <c r="C43" s="36" t="inlineStr">
        <is>
          <t>Practice vows &amp; prepare toast cue cards</t>
        </is>
      </c>
      <c r="D43" s="37">
        <f>IF($B43="","",IF(Dashboard!$C$8="","",IF($B43="Day-Of",Dashboard!$C$8,IF($B43="1 Week Before",Dashboard!$C$8-7,IF($B43="1 Month Before",EDATE(Dashboard!$C$8,-1),IF($B43="3 Months Before",EDATE(Dashboard!$C$8,-3),IF($B43="6 Months Before",EDATE(Dashboard!$C$8,-6),IF($B43="12 Months Before",EDATE(Dashboard!$C$8,-12),""))))))))</f>
        <v/>
      </c>
      <c r="E43" s="38" t="n"/>
      <c r="F43" s="36" t="n"/>
    </row>
    <row r="44">
      <c r="B44" s="36" t="inlineStr">
        <is>
          <t>1 Week Before</t>
        </is>
      </c>
      <c r="C44" s="36" t="inlineStr">
        <is>
          <t>Label payment &amp; tip envelopes for vendors</t>
        </is>
      </c>
      <c r="D44" s="37">
        <f>IF($B44="","",IF(Dashboard!$C$8="","",IF($B44="Day-Of",Dashboard!$C$8,IF($B44="1 Week Before",Dashboard!$C$8-7,IF($B44="1 Month Before",EDATE(Dashboard!$C$8,-1),IF($B44="3 Months Before",EDATE(Dashboard!$C$8,-3),IF($B44="6 Months Before",EDATE(Dashboard!$C$8,-6),IF($B44="12 Months Before",EDATE(Dashboard!$C$8,-12),""))))))))</f>
        <v/>
      </c>
      <c r="E44" s="38" t="n"/>
      <c r="F44" s="36" t="n"/>
    </row>
    <row r="45">
      <c r="B45" s="36" t="inlineStr">
        <is>
          <t>Day-Of</t>
        </is>
      </c>
      <c r="C45" s="36" t="inlineStr">
        <is>
          <t>Eat a real breakfast &amp; hydrate 💧</t>
        </is>
      </c>
      <c r="D45" s="37">
        <f>IF($B45="","",IF(Dashboard!$C$8="","",IF($B45="Day-Of",Dashboard!$C$8,IF($B45="1 Week Before",Dashboard!$C$8-7,IF($B45="1 Month Before",EDATE(Dashboard!$C$8,-1),IF($B45="3 Months Before",EDATE(Dashboard!$C$8,-3),IF($B45="6 Months Before",EDATE(Dashboard!$C$8,-6),IF($B45="12 Months Before",EDATE(Dashboard!$C$8,-12),""))))))))</f>
        <v/>
      </c>
      <c r="E45" s="38" t="n"/>
      <c r="F45" s="36" t="n"/>
    </row>
    <row r="46">
      <c r="B46" s="36" t="inlineStr">
        <is>
          <t>Day-Of</t>
        </is>
      </c>
      <c r="C46" s="36" t="inlineStr">
        <is>
          <t>Hair &amp; makeup</t>
        </is>
      </c>
      <c r="D46" s="37">
        <f>IF($B46="","",IF(Dashboard!$C$8="","",IF($B46="Day-Of",Dashboard!$C$8,IF($B46="1 Week Before",Dashboard!$C$8-7,IF($B46="1 Month Before",EDATE(Dashboard!$C$8,-1),IF($B46="3 Months Before",EDATE(Dashboard!$C$8,-3),IF($B46="6 Months Before",EDATE(Dashboard!$C$8,-6),IF($B46="12 Months Before",EDATE(Dashboard!$C$8,-12),""))))))))</f>
        <v/>
      </c>
      <c r="E46" s="38" t="n"/>
      <c r="F46" s="36" t="n"/>
    </row>
    <row r="47">
      <c r="B47" s="36" t="inlineStr">
        <is>
          <t>Day-Of</t>
        </is>
      </c>
      <c r="C47" s="36" t="inlineStr">
        <is>
          <t>Get dressed — detail photos first</t>
        </is>
      </c>
      <c r="D47" s="37">
        <f>IF($B47="","",IF(Dashboard!$C$8="","",IF($B47="Day-Of",Dashboard!$C$8,IF($B47="1 Week Before",Dashboard!$C$8-7,IF($B47="1 Month Before",EDATE(Dashboard!$C$8,-1),IF($B47="3 Months Before",EDATE(Dashboard!$C$8,-3),IF($B47="6 Months Before",EDATE(Dashboard!$C$8,-6),IF($B47="12 Months Before",EDATE(Dashboard!$C$8,-12),""))))))))</f>
        <v/>
      </c>
      <c r="E47" s="38" t="n"/>
      <c r="F47" s="36" t="n"/>
    </row>
    <row r="48">
      <c r="B48" s="36" t="inlineStr">
        <is>
          <t>Day-Of</t>
        </is>
      </c>
      <c r="C48" s="36" t="inlineStr">
        <is>
          <t>First look &amp; wedding party photos</t>
        </is>
      </c>
      <c r="D48" s="37">
        <f>IF($B48="","",IF(Dashboard!$C$8="","",IF($B48="Day-Of",Dashboard!$C$8,IF($B48="1 Week Before",Dashboard!$C$8-7,IF($B48="1 Month Before",EDATE(Dashboard!$C$8,-1),IF($B48="3 Months Before",EDATE(Dashboard!$C$8,-3),IF($B48="6 Months Before",EDATE(Dashboard!$C$8,-6),IF($B48="12 Months Before",EDATE(Dashboard!$C$8,-12),""))))))))</f>
        <v/>
      </c>
      <c r="E48" s="38" t="n"/>
      <c r="F48" s="36" t="n"/>
    </row>
    <row r="49">
      <c r="B49" s="36" t="inlineStr">
        <is>
          <t>Day-Of</t>
        </is>
      </c>
      <c r="C49" s="36" t="inlineStr">
        <is>
          <t>CEREMONY — you're getting married! 💍</t>
        </is>
      </c>
      <c r="D49" s="37">
        <f>IF($B49="","",IF(Dashboard!$C$8="","",IF($B49="Day-Of",Dashboard!$C$8,IF($B49="1 Week Before",Dashboard!$C$8-7,IF($B49="1 Month Before",EDATE(Dashboard!$C$8,-1),IF($B49="3 Months Before",EDATE(Dashboard!$C$8,-3),IF($B49="6 Months Before",EDATE(Dashboard!$C$8,-6),IF($B49="12 Months Before",EDATE(Dashboard!$C$8,-12),""))))))))</f>
        <v/>
      </c>
      <c r="E49" s="38" t="n"/>
      <c r="F49" s="36" t="n"/>
    </row>
    <row r="50">
      <c r="B50" s="36" t="inlineStr">
        <is>
          <t>Day-Of</t>
        </is>
      </c>
      <c r="C50" s="36" t="inlineStr">
        <is>
          <t>Cocktail hour &amp; family formal photos</t>
        </is>
      </c>
      <c r="D50" s="37">
        <f>IF($B50="","",IF(Dashboard!$C$8="","",IF($B50="Day-Of",Dashboard!$C$8,IF($B50="1 Week Before",Dashboard!$C$8-7,IF($B50="1 Month Before",EDATE(Dashboard!$C$8,-1),IF($B50="3 Months Before",EDATE(Dashboard!$C$8,-3),IF($B50="6 Months Before",EDATE(Dashboard!$C$8,-6),IF($B50="12 Months Before",EDATE(Dashboard!$C$8,-12),""))))))))</f>
        <v/>
      </c>
      <c r="E50" s="38" t="n"/>
      <c r="F50" s="36" t="n"/>
    </row>
    <row r="51">
      <c r="B51" s="36" t="inlineStr">
        <is>
          <t>Day-Of</t>
        </is>
      </c>
      <c r="C51" s="36" t="inlineStr">
        <is>
          <t>Grand entrance, dinner &amp; dancing</t>
        </is>
      </c>
      <c r="D51" s="37">
        <f>IF($B51="","",IF(Dashboard!$C$8="","",IF($B51="Day-Of",Dashboard!$C$8,IF($B51="1 Week Before",Dashboard!$C$8-7,IF($B51="1 Month Before",EDATE(Dashboard!$C$8,-1),IF($B51="3 Months Before",EDATE(Dashboard!$C$8,-3),IF($B51="6 Months Before",EDATE(Dashboard!$C$8,-6),IF($B51="12 Months Before",EDATE(Dashboard!$C$8,-12),""))))))))</f>
        <v/>
      </c>
      <c r="E51" s="38" t="n"/>
      <c r="F51" s="36" t="n"/>
    </row>
    <row r="52">
      <c r="B52" s="36" t="inlineStr">
        <is>
          <t>Day-Of</t>
        </is>
      </c>
      <c r="C52" s="36" t="inlineStr">
        <is>
          <t>Send-off &amp; collect keepsakes</t>
        </is>
      </c>
      <c r="D52" s="37">
        <f>IF($B52="","",IF(Dashboard!$C$8="","",IF($B52="Day-Of",Dashboard!$C$8,IF($B52="1 Week Before",Dashboard!$C$8-7,IF($B52="1 Month Before",EDATE(Dashboard!$C$8,-1),IF($B52="3 Months Before",EDATE(Dashboard!$C$8,-3),IF($B52="6 Months Before",EDATE(Dashboard!$C$8,-6),IF($B52="12 Months Before",EDATE(Dashboard!$C$8,-12),""))))))))</f>
        <v/>
      </c>
      <c r="E52" s="38" t="n"/>
      <c r="F52" s="36" t="n"/>
    </row>
    <row r="53">
      <c r="B53" s="36" t="n"/>
      <c r="C53" s="36" t="n"/>
      <c r="D53" s="37">
        <f>IF($B53="","",IF(Dashboard!$C$8="","",IF($B53="Day-Of",Dashboard!$C$8,IF($B53="1 Week Before",Dashboard!$C$8-7,IF($B53="1 Month Before",EDATE(Dashboard!$C$8,-1),IF($B53="3 Months Before",EDATE(Dashboard!$C$8,-3),IF($B53="6 Months Before",EDATE(Dashboard!$C$8,-6),IF($B53="12 Months Before",EDATE(Dashboard!$C$8,-12),""))))))))</f>
        <v/>
      </c>
      <c r="E53" s="38" t="n"/>
      <c r="F53" s="36" t="n"/>
    </row>
    <row r="54">
      <c r="B54" s="36" t="n"/>
      <c r="C54" s="36" t="n"/>
      <c r="D54" s="37">
        <f>IF($B54="","",IF(Dashboard!$C$8="","",IF($B54="Day-Of",Dashboard!$C$8,IF($B54="1 Week Before",Dashboard!$C$8-7,IF($B54="1 Month Before",EDATE(Dashboard!$C$8,-1),IF($B54="3 Months Before",EDATE(Dashboard!$C$8,-3),IF($B54="6 Months Before",EDATE(Dashboard!$C$8,-6),IF($B54="12 Months Before",EDATE(Dashboard!$C$8,-12),""))))))))</f>
        <v/>
      </c>
      <c r="E54" s="38" t="n"/>
      <c r="F54" s="36" t="n"/>
    </row>
    <row r="55">
      <c r="B55" s="36" t="n"/>
      <c r="C55" s="36" t="n"/>
      <c r="D55" s="37">
        <f>IF($B55="","",IF(Dashboard!$C$8="","",IF($B55="Day-Of",Dashboard!$C$8,IF($B55="1 Week Before",Dashboard!$C$8-7,IF($B55="1 Month Before",EDATE(Dashboard!$C$8,-1),IF($B55="3 Months Before",EDATE(Dashboard!$C$8,-3),IF($B55="6 Months Before",EDATE(Dashboard!$C$8,-6),IF($B55="12 Months Before",EDATE(Dashboard!$C$8,-12),""))))))))</f>
        <v/>
      </c>
      <c r="E55" s="38" t="n"/>
      <c r="F55" s="36" t="n"/>
    </row>
    <row r="56">
      <c r="B56" s="36" t="n"/>
      <c r="C56" s="36" t="n"/>
      <c r="D56" s="37">
        <f>IF($B56="","",IF(Dashboard!$C$8="","",IF($B56="Day-Of",Dashboard!$C$8,IF($B56="1 Week Before",Dashboard!$C$8-7,IF($B56="1 Month Before",EDATE(Dashboard!$C$8,-1),IF($B56="3 Months Before",EDATE(Dashboard!$C$8,-3),IF($B56="6 Months Before",EDATE(Dashboard!$C$8,-6),IF($B56="12 Months Before",EDATE(Dashboard!$C$8,-12),""))))))))</f>
        <v/>
      </c>
      <c r="E56" s="38" t="n"/>
      <c r="F56" s="36" t="n"/>
    </row>
    <row r="57">
      <c r="B57" s="36" t="n"/>
      <c r="C57" s="36" t="n"/>
      <c r="D57" s="37">
        <f>IF($B57="","",IF(Dashboard!$C$8="","",IF($B57="Day-Of",Dashboard!$C$8,IF($B57="1 Week Before",Dashboard!$C$8-7,IF($B57="1 Month Before",EDATE(Dashboard!$C$8,-1),IF($B57="3 Months Before",EDATE(Dashboard!$C$8,-3),IF($B57="6 Months Before",EDATE(Dashboard!$C$8,-6),IF($B57="12 Months Before",EDATE(Dashboard!$C$8,-12),""))))))))</f>
        <v/>
      </c>
      <c r="E57" s="38" t="n"/>
      <c r="F57" s="36" t="n"/>
    </row>
    <row r="58">
      <c r="B58" s="36" t="n"/>
      <c r="C58" s="36" t="n"/>
      <c r="D58" s="37">
        <f>IF($B58="","",IF(Dashboard!$C$8="","",IF($B58="Day-Of",Dashboard!$C$8,IF($B58="1 Week Before",Dashboard!$C$8-7,IF($B58="1 Month Before",EDATE(Dashboard!$C$8,-1),IF($B58="3 Months Before",EDATE(Dashboard!$C$8,-3),IF($B58="6 Months Before",EDATE(Dashboard!$C$8,-6),IF($B58="12 Months Before",EDATE(Dashboard!$C$8,-12),""))))))))</f>
        <v/>
      </c>
      <c r="E58" s="38" t="n"/>
      <c r="F58" s="36" t="n"/>
    </row>
    <row r="59">
      <c r="B59" s="36" t="n"/>
      <c r="C59" s="36" t="n"/>
      <c r="D59" s="37">
        <f>IF($B59="","",IF(Dashboard!$C$8="","",IF($B59="Day-Of",Dashboard!$C$8,IF($B59="1 Week Before",Dashboard!$C$8-7,IF($B59="1 Month Before",EDATE(Dashboard!$C$8,-1),IF($B59="3 Months Before",EDATE(Dashboard!$C$8,-3),IF($B59="6 Months Before",EDATE(Dashboard!$C$8,-6),IF($B59="12 Months Before",EDATE(Dashboard!$C$8,-12),""))))))))</f>
        <v/>
      </c>
      <c r="E59" s="38" t="n"/>
      <c r="F59" s="36" t="n"/>
    </row>
    <row r="60">
      <c r="B60" s="36" t="n"/>
      <c r="C60" s="36" t="n"/>
      <c r="D60" s="37">
        <f>IF($B60="","",IF(Dashboard!$C$8="","",IF($B60="Day-Of",Dashboard!$C$8,IF($B60="1 Week Before",Dashboard!$C$8-7,IF($B60="1 Month Before",EDATE(Dashboard!$C$8,-1),IF($B60="3 Months Before",EDATE(Dashboard!$C$8,-3),IF($B60="6 Months Before",EDATE(Dashboard!$C$8,-6),IF($B60="12 Months Before",EDATE(Dashboard!$C$8,-12),""))))))))</f>
        <v/>
      </c>
      <c r="E60" s="38" t="n"/>
      <c r="F60" s="36" t="n"/>
    </row>
    <row r="61">
      <c r="B61" s="36" t="n"/>
      <c r="C61" s="36" t="n"/>
      <c r="D61" s="37">
        <f>IF($B61="","",IF(Dashboard!$C$8="","",IF($B61="Day-Of",Dashboard!$C$8,IF($B61="1 Week Before",Dashboard!$C$8-7,IF($B61="1 Month Before",EDATE(Dashboard!$C$8,-1),IF($B61="3 Months Before",EDATE(Dashboard!$C$8,-3),IF($B61="6 Months Before",EDATE(Dashboard!$C$8,-6),IF($B61="12 Months Before",EDATE(Dashboard!$C$8,-12),""))))))))</f>
        <v/>
      </c>
      <c r="E61" s="38" t="n"/>
      <c r="F61" s="36" t="n"/>
    </row>
    <row r="62">
      <c r="B62" s="36" t="n"/>
      <c r="C62" s="36" t="n"/>
      <c r="D62" s="37">
        <f>IF($B62="","",IF(Dashboard!$C$8="","",IF($B62="Day-Of",Dashboard!$C$8,IF($B62="1 Week Before",Dashboard!$C$8-7,IF($B62="1 Month Before",EDATE(Dashboard!$C$8,-1),IF($B62="3 Months Before",EDATE(Dashboard!$C$8,-3),IF($B62="6 Months Before",EDATE(Dashboard!$C$8,-6),IF($B62="12 Months Before",EDATE(Dashboard!$C$8,-12),""))))))))</f>
        <v/>
      </c>
      <c r="E62" s="38" t="n"/>
      <c r="F62" s="36" t="n"/>
    </row>
    <row r="63">
      <c r="B63" s="36" t="n"/>
      <c r="C63" s="36" t="n"/>
      <c r="D63" s="37">
        <f>IF($B63="","",IF(Dashboard!$C$8="","",IF($B63="Day-Of",Dashboard!$C$8,IF($B63="1 Week Before",Dashboard!$C$8-7,IF($B63="1 Month Before",EDATE(Dashboard!$C$8,-1),IF($B63="3 Months Before",EDATE(Dashboard!$C$8,-3),IF($B63="6 Months Before",EDATE(Dashboard!$C$8,-6),IF($B63="12 Months Before",EDATE(Dashboard!$C$8,-12),""))))))))</f>
        <v/>
      </c>
      <c r="E63" s="38" t="n"/>
      <c r="F63" s="36" t="n"/>
    </row>
    <row r="64">
      <c r="B64" s="36" t="n"/>
      <c r="C64" s="36" t="n"/>
      <c r="D64" s="37">
        <f>IF($B64="","",IF(Dashboard!$C$8="","",IF($B64="Day-Of",Dashboard!$C$8,IF($B64="1 Week Before",Dashboard!$C$8-7,IF($B64="1 Month Before",EDATE(Dashboard!$C$8,-1),IF($B64="3 Months Before",EDATE(Dashboard!$C$8,-3),IF($B64="6 Months Before",EDATE(Dashboard!$C$8,-6),IF($B64="12 Months Before",EDATE(Dashboard!$C$8,-12),""))))))))</f>
        <v/>
      </c>
      <c r="E64" s="38" t="n"/>
      <c r="F64" s="36" t="n"/>
    </row>
    <row r="65">
      <c r="B65" s="36" t="n"/>
      <c r="C65" s="36" t="n"/>
      <c r="D65" s="37">
        <f>IF($B65="","",IF(Dashboard!$C$8="","",IF($B65="Day-Of",Dashboard!$C$8,IF($B65="1 Week Before",Dashboard!$C$8-7,IF($B65="1 Month Before",EDATE(Dashboard!$C$8,-1),IF($B65="3 Months Before",EDATE(Dashboard!$C$8,-3),IF($B65="6 Months Before",EDATE(Dashboard!$C$8,-6),IF($B65="12 Months Before",EDATE(Dashboard!$C$8,-12),""))))))))</f>
        <v/>
      </c>
      <c r="E65" s="38" t="n"/>
      <c r="F65" s="36" t="n"/>
    </row>
    <row r="66">
      <c r="B66" s="36" t="n"/>
      <c r="C66" s="36" t="n"/>
      <c r="D66" s="37">
        <f>IF($B66="","",IF(Dashboard!$C$8="","",IF($B66="Day-Of",Dashboard!$C$8,IF($B66="1 Week Before",Dashboard!$C$8-7,IF($B66="1 Month Before",EDATE(Dashboard!$C$8,-1),IF($B66="3 Months Before",EDATE(Dashboard!$C$8,-3),IF($B66="6 Months Before",EDATE(Dashboard!$C$8,-6),IF($B66="12 Months Before",EDATE(Dashboard!$C$8,-12),""))))))))</f>
        <v/>
      </c>
      <c r="E66" s="38" t="n"/>
      <c r="F66" s="36" t="n"/>
    </row>
    <row r="67">
      <c r="B67" s="36" t="n"/>
      <c r="C67" s="36" t="n"/>
      <c r="D67" s="37">
        <f>IF($B67="","",IF(Dashboard!$C$8="","",IF($B67="Day-Of",Dashboard!$C$8,IF($B67="1 Week Before",Dashboard!$C$8-7,IF($B67="1 Month Before",EDATE(Dashboard!$C$8,-1),IF($B67="3 Months Before",EDATE(Dashboard!$C$8,-3),IF($B67="6 Months Before",EDATE(Dashboard!$C$8,-6),IF($B67="12 Months Before",EDATE(Dashboard!$C$8,-12),""))))))))</f>
        <v/>
      </c>
      <c r="E67" s="38" t="n"/>
      <c r="F67" s="36" t="n"/>
    </row>
    <row r="68">
      <c r="B68" s="36" t="n"/>
      <c r="C68" s="36" t="n"/>
      <c r="D68" s="37">
        <f>IF($B68="","",IF(Dashboard!$C$8="","",IF($B68="Day-Of",Dashboard!$C$8,IF($B68="1 Week Before",Dashboard!$C$8-7,IF($B68="1 Month Before",EDATE(Dashboard!$C$8,-1),IF($B68="3 Months Before",EDATE(Dashboard!$C$8,-3),IF($B68="6 Months Before",EDATE(Dashboard!$C$8,-6),IF($B68="12 Months Before",EDATE(Dashboard!$C$8,-12),""))))))))</f>
        <v/>
      </c>
      <c r="E68" s="38" t="n"/>
      <c r="F68" s="36" t="n"/>
    </row>
    <row r="69">
      <c r="B69" s="36" t="n"/>
      <c r="C69" s="36" t="n"/>
      <c r="D69" s="37">
        <f>IF($B69="","",IF(Dashboard!$C$8="","",IF($B69="Day-Of",Dashboard!$C$8,IF($B69="1 Week Before",Dashboard!$C$8-7,IF($B69="1 Month Before",EDATE(Dashboard!$C$8,-1),IF($B69="3 Months Before",EDATE(Dashboard!$C$8,-3),IF($B69="6 Months Before",EDATE(Dashboard!$C$8,-6),IF($B69="12 Months Before",EDATE(Dashboard!$C$8,-12),""))))))))</f>
        <v/>
      </c>
      <c r="E69" s="38" t="n"/>
      <c r="F69" s="36" t="n"/>
    </row>
    <row r="70">
      <c r="B70" s="36" t="n"/>
      <c r="C70" s="36" t="n"/>
      <c r="D70" s="37">
        <f>IF($B70="","",IF(Dashboard!$C$8="","",IF($B70="Day-Of",Dashboard!$C$8,IF($B70="1 Week Before",Dashboard!$C$8-7,IF($B70="1 Month Before",EDATE(Dashboard!$C$8,-1),IF($B70="3 Months Before",EDATE(Dashboard!$C$8,-3),IF($B70="6 Months Before",EDATE(Dashboard!$C$8,-6),IF($B70="12 Months Before",EDATE(Dashboard!$C$8,-12),""))))))))</f>
        <v/>
      </c>
      <c r="E70" s="38" t="n"/>
      <c r="F70" s="36" t="n"/>
    </row>
    <row r="71">
      <c r="B71" s="36" t="n"/>
      <c r="C71" s="36" t="n"/>
      <c r="D71" s="37">
        <f>IF($B71="","",IF(Dashboard!$C$8="","",IF($B71="Day-Of",Dashboard!$C$8,IF($B71="1 Week Before",Dashboard!$C$8-7,IF($B71="1 Month Before",EDATE(Dashboard!$C$8,-1),IF($B71="3 Months Before",EDATE(Dashboard!$C$8,-3),IF($B71="6 Months Before",EDATE(Dashboard!$C$8,-6),IF($B71="12 Months Before",EDATE(Dashboard!$C$8,-12),""))))))))</f>
        <v/>
      </c>
      <c r="E71" s="38" t="n"/>
      <c r="F71" s="36" t="n"/>
    </row>
    <row r="72">
      <c r="B72" s="36" t="n"/>
      <c r="C72" s="36" t="n"/>
      <c r="D72" s="37">
        <f>IF($B72="","",IF(Dashboard!$C$8="","",IF($B72="Day-Of",Dashboard!$C$8,IF($B72="1 Week Before",Dashboard!$C$8-7,IF($B72="1 Month Before",EDATE(Dashboard!$C$8,-1),IF($B72="3 Months Before",EDATE(Dashboard!$C$8,-3),IF($B72="6 Months Before",EDATE(Dashboard!$C$8,-6),IF($B72="12 Months Before",EDATE(Dashboard!$C$8,-12),""))))))))</f>
        <v/>
      </c>
      <c r="E72" s="38" t="n"/>
      <c r="F72" s="36" t="n"/>
    </row>
    <row r="73">
      <c r="B73" s="36" t="n"/>
      <c r="C73" s="36" t="n"/>
      <c r="D73" s="37">
        <f>IF($B73="","",IF(Dashboard!$C$8="","",IF($B73="Day-Of",Dashboard!$C$8,IF($B73="1 Week Before",Dashboard!$C$8-7,IF($B73="1 Month Before",EDATE(Dashboard!$C$8,-1),IF($B73="3 Months Before",EDATE(Dashboard!$C$8,-3),IF($B73="6 Months Before",EDATE(Dashboard!$C$8,-6),IF($B73="12 Months Before",EDATE(Dashboard!$C$8,-12),""))))))))</f>
        <v/>
      </c>
      <c r="E73" s="38" t="n"/>
      <c r="F73" s="36" t="n"/>
    </row>
    <row r="74">
      <c r="B74" s="36" t="n"/>
      <c r="C74" s="36" t="n"/>
      <c r="D74" s="37">
        <f>IF($B74="","",IF(Dashboard!$C$8="","",IF($B74="Day-Of",Dashboard!$C$8,IF($B74="1 Week Before",Dashboard!$C$8-7,IF($B74="1 Month Before",EDATE(Dashboard!$C$8,-1),IF($B74="3 Months Before",EDATE(Dashboard!$C$8,-3),IF($B74="6 Months Before",EDATE(Dashboard!$C$8,-6),IF($B74="12 Months Before",EDATE(Dashboard!$C$8,-12),""))))))))</f>
        <v/>
      </c>
      <c r="E74" s="38" t="n"/>
      <c r="F74" s="36" t="n"/>
    </row>
    <row r="75">
      <c r="B75" s="36" t="n"/>
      <c r="C75" s="36" t="n"/>
      <c r="D75" s="37">
        <f>IF($B75="","",IF(Dashboard!$C$8="","",IF($B75="Day-Of",Dashboard!$C$8,IF($B75="1 Week Before",Dashboard!$C$8-7,IF($B75="1 Month Before",EDATE(Dashboard!$C$8,-1),IF($B75="3 Months Before",EDATE(Dashboard!$C$8,-3),IF($B75="6 Months Before",EDATE(Dashboard!$C$8,-6),IF($B75="12 Months Before",EDATE(Dashboard!$C$8,-12),""))))))))</f>
        <v/>
      </c>
      <c r="E75" s="38" t="n"/>
      <c r="F75" s="36" t="n"/>
    </row>
    <row r="76">
      <c r="B76" s="36" t="n"/>
      <c r="C76" s="36" t="n"/>
      <c r="D76" s="37">
        <f>IF($B76="","",IF(Dashboard!$C$8="","",IF($B76="Day-Of",Dashboard!$C$8,IF($B76="1 Week Before",Dashboard!$C$8-7,IF($B76="1 Month Before",EDATE(Dashboard!$C$8,-1),IF($B76="3 Months Before",EDATE(Dashboard!$C$8,-3),IF($B76="6 Months Before",EDATE(Dashboard!$C$8,-6),IF($B76="12 Months Before",EDATE(Dashboard!$C$8,-12),""))))))))</f>
        <v/>
      </c>
      <c r="E76" s="38" t="n"/>
      <c r="F76" s="36" t="n"/>
    </row>
    <row r="77">
      <c r="B77" s="36" t="n"/>
      <c r="C77" s="36" t="n"/>
      <c r="D77" s="37">
        <f>IF($B77="","",IF(Dashboard!$C$8="","",IF($B77="Day-Of",Dashboard!$C$8,IF($B77="1 Week Before",Dashboard!$C$8-7,IF($B77="1 Month Before",EDATE(Dashboard!$C$8,-1),IF($B77="3 Months Before",EDATE(Dashboard!$C$8,-3),IF($B77="6 Months Before",EDATE(Dashboard!$C$8,-6),IF($B77="12 Months Before",EDATE(Dashboard!$C$8,-12),""))))))))</f>
        <v/>
      </c>
      <c r="E77" s="38" t="n"/>
      <c r="F77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F77"/>
  <mergeCells count="2">
    <mergeCell ref="B2:F2"/>
    <mergeCell ref="B1:F1"/>
  </mergeCells>
  <conditionalFormatting sqref="E9:E77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"To Do"</formula>
    </cfRule>
  </conditionalFormatting>
  <dataValidations count="1">
    <dataValidation sqref="E9:E77" showDropDown="0" showInputMessage="0" showErrorMessage="0" allowBlank="1" type="list">
      <formula1>"To Do,In Progress,Done,N/A"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76E79"/>
    <outlinePr summaryBelow="1" summaryRight="1"/>
    <pageSetUpPr fitToPage="1"/>
  </sheetPr>
  <dimension ref="B1:F44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6" customWidth="1" min="2" max="2"/>
    <col width="30" customWidth="1" min="3" max="3"/>
    <col width="30" customWidth="1" min="4" max="4"/>
    <col width="22" customWidth="1" min="5" max="5"/>
    <col width="26" customWidth="1" min="6" max="6"/>
  </cols>
  <sheetData>
    <row r="1" ht="30" customHeight="1">
      <c r="B1" s="1" t="inlineStr">
        <is>
          <t>🎨  WEDDING VISION BOARD</t>
        </is>
      </c>
      <c r="C1" s="2" t="n"/>
      <c r="D1" s="2" t="n"/>
      <c r="E1" s="2" t="n"/>
      <c r="F1" s="3" t="n"/>
    </row>
    <row r="2" ht="15" customHeight="1">
      <c r="B2" s="4" t="inlineStr">
        <is>
          <t>Mood, style &amp; inspiration</t>
        </is>
      </c>
      <c r="C2" s="2" t="n"/>
      <c r="D2" s="2" t="n"/>
      <c r="E2" s="2" t="n"/>
      <c r="F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5" ht="20" customHeight="1">
      <c r="B5" s="6" t="inlineStr">
        <is>
          <t>MOOD &amp; FEELING</t>
        </is>
      </c>
      <c r="C5" s="7" t="n"/>
      <c r="D5" s="7" t="n"/>
      <c r="E5" s="7" t="n"/>
      <c r="F5" s="7" t="n"/>
    </row>
    <row r="6" ht="26" customHeight="1">
      <c r="B6" s="35" t="inlineStr">
        <is>
          <t>Mood word</t>
        </is>
      </c>
      <c r="C6" s="35" t="inlineStr">
        <is>
          <t>How it shows up</t>
        </is>
      </c>
    </row>
    <row r="7">
      <c r="B7" s="36" t="inlineStr">
        <is>
          <t>Romantic</t>
        </is>
      </c>
      <c r="C7" s="36" t="inlineStr">
        <is>
          <t>Soft light, candles, flowing fabric</t>
        </is>
      </c>
    </row>
    <row r="8">
      <c r="B8" s="36" t="inlineStr">
        <is>
          <t>Whimsical</t>
        </is>
      </c>
      <c r="C8" s="36" t="inlineStr">
        <is>
          <t>Wildflowers, hand-lettered signs</t>
        </is>
      </c>
    </row>
    <row r="9">
      <c r="B9" s="36" t="inlineStr">
        <is>
          <t>Warm</t>
        </is>
      </c>
      <c r="C9" s="36" t="inlineStr">
        <is>
          <t>Candlelight, wood tones, amber glow</t>
        </is>
      </c>
    </row>
    <row r="10">
      <c r="B10" s="36" t="inlineStr">
        <is>
          <t>Intimate</t>
        </is>
      </c>
      <c r="C10" s="36" t="inlineStr">
        <is>
          <t>Long tables, acoustic music</t>
        </is>
      </c>
    </row>
    <row r="11">
      <c r="B11" s="36" t="inlineStr">
        <is>
          <t>Joyful</t>
        </is>
      </c>
      <c r="C11" s="36" t="inlineStr">
        <is>
          <t>Bright florals, upbeat band set</t>
        </is>
      </c>
    </row>
    <row r="12">
      <c r="B12" s="36" t="n"/>
      <c r="C12" s="36" t="n"/>
    </row>
    <row r="13">
      <c r="B13" s="36" t="n"/>
      <c r="C13" s="36" t="n"/>
    </row>
    <row r="14">
      <c r="B14" s="36" t="n"/>
      <c r="C14" s="36" t="n"/>
    </row>
    <row r="16" ht="20" customHeight="1">
      <c r="B16" s="6" t="inlineStr">
        <is>
          <t>STYLE KEYWORDS</t>
        </is>
      </c>
      <c r="C16" s="7" t="n"/>
      <c r="D16" s="7" t="n"/>
      <c r="E16" s="7" t="n"/>
      <c r="F16" s="7" t="n"/>
    </row>
    <row r="17" ht="26" customHeight="1">
      <c r="B17" s="35" t="inlineStr">
        <is>
          <t>Mood word</t>
        </is>
      </c>
      <c r="C17" s="35" t="inlineStr">
        <is>
          <t>How it shows up</t>
        </is>
      </c>
    </row>
    <row r="18">
      <c r="B18" s="36" t="inlineStr">
        <is>
          <t>Garden party</t>
        </is>
      </c>
      <c r="C18" s="36" t="inlineStr">
        <is>
          <t>Stationery, floral arch</t>
        </is>
      </c>
    </row>
    <row r="19">
      <c r="B19" s="36" t="inlineStr">
        <is>
          <t>Heirloom / vintage</t>
        </is>
      </c>
      <c r="C19" s="36" t="inlineStr">
        <is>
          <t>Rings, tableware, lace</t>
        </is>
      </c>
    </row>
    <row r="20">
      <c r="B20" s="36" t="inlineStr">
        <is>
          <t>Candlelit</t>
        </is>
      </c>
      <c r="C20" s="36" t="inlineStr">
        <is>
          <t>Reception lighting</t>
        </is>
      </c>
    </row>
    <row r="21">
      <c r="B21" s="36" t="inlineStr">
        <is>
          <t>Soft &amp; natural</t>
        </is>
      </c>
      <c r="C21" s="36" t="inlineStr">
        <is>
          <t>Photography edit, linens</t>
        </is>
      </c>
    </row>
    <row r="22">
      <c r="B22" s="36" t="n"/>
      <c r="C22" s="36" t="n"/>
    </row>
    <row r="23">
      <c r="B23" s="36" t="n"/>
      <c r="C23" s="36" t="n"/>
    </row>
    <row r="24">
      <c r="B24" s="36" t="n"/>
      <c r="C24" s="36" t="n"/>
    </row>
    <row r="26" ht="20" customHeight="1">
      <c r="B26" s="6" t="inlineStr">
        <is>
          <t>INSPIRATION SOURCES</t>
        </is>
      </c>
      <c r="C26" s="7" t="n"/>
      <c r="D26" s="7" t="n"/>
      <c r="E26" s="7" t="n"/>
      <c r="F26" s="7" t="n"/>
    </row>
    <row r="27" ht="26" customHeight="1">
      <c r="B27" s="35" t="inlineStr">
        <is>
          <t>Platform / source</t>
        </is>
      </c>
      <c r="C27" s="35" t="inlineStr">
        <is>
          <t>Link / handle</t>
        </is>
      </c>
      <c r="D27" s="35" t="inlineStr">
        <is>
          <t>What we love</t>
        </is>
      </c>
    </row>
    <row r="28">
      <c r="B28" s="36" t="inlineStr">
        <is>
          <t>Pinterest</t>
        </is>
      </c>
      <c r="C28" s="36" t="inlineStr">
        <is>
          <t>pinterest.com/ourwedding</t>
        </is>
      </c>
      <c r="D28" s="36" t="inlineStr">
        <is>
          <t>Colour palettes &amp; arches</t>
        </is>
      </c>
    </row>
    <row r="29">
      <c r="B29" s="36" t="inlineStr">
        <is>
          <t>Instagram</t>
        </is>
      </c>
      <c r="C29" s="36" t="inlineStr">
        <is>
          <t>@greenhouse.florals</t>
        </is>
      </c>
      <c r="D29" s="36" t="inlineStr">
        <is>
          <t>Organic installation styles</t>
        </is>
      </c>
    </row>
    <row r="30">
      <c r="B30" s="36" t="inlineStr">
        <is>
          <t>Magazine</t>
        </is>
      </c>
      <c r="C30" s="36" t="inlineStr">
        <is>
          <t>Brides — spring issue</t>
        </is>
      </c>
      <c r="D30" s="36" t="inlineStr">
        <is>
          <t>Stationery suite ideas</t>
        </is>
      </c>
    </row>
    <row r="31">
      <c r="B31" s="36" t="n"/>
      <c r="C31" s="36" t="n"/>
      <c r="D31" s="36" t="n"/>
    </row>
    <row r="32">
      <c r="B32" s="36" t="n"/>
      <c r="C32" s="36" t="n"/>
      <c r="D32" s="36" t="n"/>
    </row>
    <row r="33">
      <c r="B33" s="36" t="n"/>
      <c r="C33" s="36" t="n"/>
      <c r="D33" s="36" t="n"/>
    </row>
    <row r="34">
      <c r="B34" s="36" t="n"/>
      <c r="C34" s="36" t="n"/>
      <c r="D34" s="36" t="n"/>
    </row>
    <row r="36" ht="20" customHeight="1">
      <c r="B36" s="6" t="inlineStr">
        <is>
          <t>THINGS WE LOVE  vs  THINGS TO AVOID</t>
        </is>
      </c>
      <c r="C36" s="7" t="n"/>
      <c r="D36" s="7" t="n"/>
      <c r="E36" s="7" t="n"/>
      <c r="F36" s="7" t="n"/>
    </row>
    <row r="37">
      <c r="B37" s="8" t="inlineStr">
        <is>
          <t>We love 💕</t>
        </is>
      </c>
      <c r="D37" s="8" t="inlineStr">
        <is>
          <t>We'd rather skip 🙅</t>
        </is>
      </c>
    </row>
    <row r="38">
      <c r="B38" s="39" t="inlineStr">
        <is>
          <t>Unplugged ceremony
Live acoustic cocktail hour
Late-night snack surprise</t>
        </is>
      </c>
      <c r="C38" s="40" t="n"/>
      <c r="D38" s="39" t="inlineStr">
        <is>
          <t>Dove releases
Long gap between ceremony &amp; dinner
Chicken-dance playlist defaults</t>
        </is>
      </c>
      <c r="E38" s="40" t="n"/>
    </row>
    <row r="39">
      <c r="B39" s="40" t="n"/>
      <c r="C39" s="40" t="n"/>
      <c r="D39" s="40" t="n"/>
      <c r="E39" s="40" t="n"/>
    </row>
    <row r="40">
      <c r="B40" s="40" t="n"/>
      <c r="C40" s="40" t="n"/>
      <c r="D40" s="40" t="n"/>
      <c r="E40" s="40" t="n"/>
    </row>
    <row r="41">
      <c r="B41" s="40" t="n"/>
      <c r="C41" s="40" t="n"/>
      <c r="D41" s="40" t="n"/>
      <c r="E41" s="40" t="n"/>
    </row>
    <row r="42">
      <c r="B42" s="40" t="n"/>
      <c r="C42" s="40" t="n"/>
      <c r="D42" s="40" t="n"/>
      <c r="E42" s="40" t="n"/>
    </row>
    <row r="43">
      <c r="B43" s="40" t="n"/>
      <c r="C43" s="40" t="n"/>
      <c r="D43" s="40" t="n"/>
      <c r="E43" s="40" t="n"/>
    </row>
    <row r="44">
      <c r="B44" s="40" t="n"/>
      <c r="C44" s="40" t="n"/>
      <c r="D44" s="40" t="n"/>
      <c r="E44" s="4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mergeCells count="8">
    <mergeCell ref="D38:E44"/>
    <mergeCell ref="B38:C44"/>
    <mergeCell ref="B2:F2"/>
    <mergeCell ref="B16:F16"/>
    <mergeCell ref="B5:F5"/>
    <mergeCell ref="B1:F1"/>
    <mergeCell ref="B36:F36"/>
    <mergeCell ref="B26:F26"/>
  </mergeCell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76E79"/>
    <outlinePr summaryBelow="1" summaryRight="1"/>
    <pageSetUpPr fitToPage="1"/>
  </sheetPr>
  <dimension ref="B1:F21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8" customWidth="1" min="2" max="2"/>
    <col width="28" customWidth="1" min="3" max="3"/>
    <col width="48" customWidth="1" min="4" max="4"/>
    <col width="14" customWidth="1" min="5" max="5"/>
    <col width="28" customWidth="1" min="6" max="6"/>
  </cols>
  <sheetData>
    <row r="1" ht="30" customHeight="1">
      <c r="B1" s="1" t="inlineStr">
        <is>
          <t>🥇  PRIORITY RANKING</t>
        </is>
      </c>
      <c r="C1" s="2" t="n"/>
      <c r="D1" s="2" t="n"/>
      <c r="E1" s="2" t="n"/>
      <c r="F1" s="3" t="n"/>
    </row>
    <row r="2" ht="15" customHeight="1">
      <c r="B2" s="4" t="inlineStr">
        <is>
          <t>Agree on your top 3–5 before you spend a dollar</t>
        </is>
      </c>
      <c r="C2" s="2" t="n"/>
      <c r="D2" s="2" t="n"/>
      <c r="E2" s="2" t="n"/>
      <c r="F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Rank</t>
        </is>
      </c>
      <c r="C8" s="35" t="inlineStr">
        <is>
          <t>What matters most</t>
        </is>
      </c>
      <c r="D8" s="35" t="inlineStr">
        <is>
          <t>Why it matters</t>
        </is>
      </c>
      <c r="E8" s="35" t="inlineStr">
        <is>
          <t>Budget share</t>
        </is>
      </c>
      <c r="F8" s="35" t="inlineStr">
        <is>
          <t>Notes</t>
        </is>
      </c>
    </row>
    <row r="9">
      <c r="B9" s="38" t="n">
        <v>1</v>
      </c>
      <c r="C9" s="36" t="inlineStr">
        <is>
          <t>Photography &amp; video</t>
        </is>
      </c>
      <c r="D9" s="36" t="inlineStr">
        <is>
          <t>The one thing we keep forever</t>
        </is>
      </c>
      <c r="E9" s="41" t="n"/>
      <c r="F9" s="36" t="n"/>
    </row>
    <row r="10">
      <c r="B10" s="38" t="n">
        <v>2</v>
      </c>
      <c r="C10" s="36" t="inlineStr">
        <is>
          <t>Venue</t>
        </is>
      </c>
      <c r="D10" s="36" t="inlineStr">
        <is>
          <t>Sets the entire atmosphere of the day</t>
        </is>
      </c>
      <c r="E10" s="41" t="n"/>
      <c r="F10" s="36" t="n"/>
    </row>
    <row r="11">
      <c r="B11" s="38" t="n">
        <v>3</v>
      </c>
      <c r="C11" s="36" t="inlineStr">
        <is>
          <t>Food &amp; drink</t>
        </is>
      </c>
      <c r="D11" s="36" t="inlineStr">
        <is>
          <t>Guest experience is our love language</t>
        </is>
      </c>
      <c r="E11" s="41" t="n"/>
      <c r="F11" s="36" t="n"/>
    </row>
    <row r="12">
      <c r="B12" s="38" t="n">
        <v>4</v>
      </c>
      <c r="C12" s="36" t="inlineStr">
        <is>
          <t>Music &amp; entertainment</t>
        </is>
      </c>
      <c r="D12" s="36" t="inlineStr">
        <is>
          <t>A full dance floor all night</t>
        </is>
      </c>
      <c r="E12" s="41" t="n"/>
      <c r="F12" s="36" t="n"/>
    </row>
    <row r="13">
      <c r="B13" s="38" t="n">
        <v>5</v>
      </c>
      <c r="C13" s="36" t="inlineStr">
        <is>
          <t>Guest comfort</t>
        </is>
      </c>
      <c r="D13" s="36" t="inlineStr">
        <is>
          <t>Shuttles, welcome bags, no-long-gaps</t>
        </is>
      </c>
      <c r="E13" s="41" t="n"/>
      <c r="F13" s="36" t="n"/>
    </row>
    <row r="14">
      <c r="B14" s="38" t="n"/>
      <c r="C14" s="36" t="n"/>
      <c r="D14" s="36" t="n"/>
      <c r="E14" s="41" t="n"/>
      <c r="F14" s="36" t="n"/>
    </row>
    <row r="15">
      <c r="B15" s="38" t="n"/>
      <c r="C15" s="36" t="n"/>
      <c r="D15" s="36" t="n"/>
      <c r="E15" s="41" t="n"/>
      <c r="F15" s="36" t="n"/>
    </row>
    <row r="16">
      <c r="B16" s="38" t="n"/>
      <c r="C16" s="36" t="n"/>
      <c r="D16" s="36" t="n"/>
      <c r="E16" s="41" t="n"/>
      <c r="F16" s="36" t="n"/>
    </row>
    <row r="17">
      <c r="B17" s="38" t="n"/>
      <c r="C17" s="36" t="n"/>
      <c r="D17" s="36" t="n"/>
      <c r="E17" s="41" t="n"/>
      <c r="F17" s="36" t="n"/>
    </row>
    <row r="18">
      <c r="B18" s="38" t="n"/>
      <c r="C18" s="36" t="n"/>
      <c r="D18" s="36" t="n"/>
      <c r="E18" s="41" t="n"/>
      <c r="F18" s="36" t="n"/>
    </row>
    <row r="19">
      <c r="B19" s="42" t="inlineStr">
        <is>
          <t>TOTAL</t>
        </is>
      </c>
      <c r="C19" s="42" t="n"/>
      <c r="D19" s="42" t="n"/>
      <c r="E19" s="43">
        <f>SUM(E9:E18)</f>
        <v/>
      </c>
      <c r="F19" s="42" t="n"/>
    </row>
    <row r="21">
      <c r="B21" s="44" t="inlineStr">
        <is>
          <t>💡 Tip: aim for your top 3 priorities to take roughly 60–70% of the budget — and let the rest be 'good enough'.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F18"/>
  <mergeCells count="2">
    <mergeCell ref="B2:F2"/>
    <mergeCell ref="B1:F1"/>
  </mergeCell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8A47C"/>
    <outlinePr summaryBelow="1" summaryRight="1"/>
    <pageSetUpPr fitToPage="1"/>
  </sheetPr>
  <dimension ref="B1:I33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24" customWidth="1" min="9" max="9"/>
  </cols>
  <sheetData>
    <row r="1" ht="30" customHeight="1">
      <c r="B1" s="1" t="inlineStr">
        <is>
          <t>💰  MASTER BUDGET</t>
        </is>
      </c>
      <c r="C1" s="2" t="n"/>
      <c r="D1" s="2" t="n"/>
      <c r="E1" s="2" t="n"/>
      <c r="F1" s="2" t="n"/>
      <c r="G1" s="2" t="n"/>
      <c r="H1" s="2" t="n"/>
      <c r="I1" s="3" t="n"/>
    </row>
    <row r="2" ht="15" customHeight="1">
      <c r="B2" s="4" t="inlineStr">
        <is>
          <t>Estimated vs actual — deposits &amp; balance due (balance auto-calculates)</t>
        </is>
      </c>
      <c r="C2" s="2" t="n"/>
      <c r="D2" s="2" t="n"/>
      <c r="E2" s="2" t="n"/>
      <c r="F2" s="2" t="n"/>
      <c r="G2" s="2" t="n"/>
      <c r="H2" s="2" t="n"/>
      <c r="I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Category</t>
        </is>
      </c>
      <c r="C8" s="35" t="inlineStr">
        <is>
          <t>Estimated cost</t>
        </is>
      </c>
      <c r="D8" s="35" t="inlineStr">
        <is>
          <t>Actual cost</t>
        </is>
      </c>
      <c r="E8" s="35" t="inlineStr">
        <is>
          <t>Deposit paid</t>
        </is>
      </c>
      <c r="F8" s="35" t="inlineStr">
        <is>
          <t>Balance due 🔒</t>
        </is>
      </c>
      <c r="G8" s="35" t="inlineStr">
        <is>
          <t>% of est. 🔒</t>
        </is>
      </c>
      <c r="H8" s="35" t="inlineStr">
        <is>
          <t>Vendor</t>
        </is>
      </c>
      <c r="I8" s="35" t="inlineStr">
        <is>
          <t>Notes</t>
        </is>
      </c>
    </row>
    <row r="9">
      <c r="B9" s="36" t="inlineStr">
        <is>
          <t>Venue &amp; rental</t>
        </is>
      </c>
      <c r="C9" s="45" t="n">
        <v>8500</v>
      </c>
      <c r="D9" s="45" t="n">
        <v>8000</v>
      </c>
      <c r="E9" s="45" t="n">
        <v>2000</v>
      </c>
      <c r="F9" s="29">
        <f>IF(AND($B9="",$C9="",$D9="",$E9=""),"",MAX(0,N(IF($D9="",$C9,$D9))-N($E9)))</f>
        <v/>
      </c>
      <c r="G9" s="30">
        <f>IF(OR($C9="",N($C$31)=0),"",N($C9)/$C$31)</f>
        <v/>
      </c>
      <c r="H9" s="36" t="n"/>
      <c r="I9" s="36" t="n"/>
    </row>
    <row r="10">
      <c r="B10" s="36" t="inlineStr">
        <is>
          <t>Catering &amp; bar</t>
        </is>
      </c>
      <c r="C10" s="45" t="n">
        <v>12000</v>
      </c>
      <c r="D10" s="45" t="n">
        <v>11500</v>
      </c>
      <c r="E10" s="45" t="n">
        <v>3000</v>
      </c>
      <c r="F10" s="29">
        <f>IF(AND($B10="",$C10="",$D10="",$E10=""),"",MAX(0,N(IF($D10="",$C10,$D10))-N($E10)))</f>
        <v/>
      </c>
      <c r="G10" s="30">
        <f>IF(OR($C10="",N($C$31)=0),"",N($C10)/$C$31)</f>
        <v/>
      </c>
      <c r="H10" s="36" t="n"/>
      <c r="I10" s="36" t="n"/>
    </row>
    <row r="11">
      <c r="B11" s="36" t="inlineStr">
        <is>
          <t>Wedding cake</t>
        </is>
      </c>
      <c r="C11" s="45" t="n">
        <v>650</v>
      </c>
      <c r="D11" s="45" t="n">
        <v>650</v>
      </c>
      <c r="E11" s="45" t="n">
        <v>200</v>
      </c>
      <c r="F11" s="29">
        <f>IF(AND($B11="",$C11="",$D11="",$E11=""),"",MAX(0,N(IF($D11="",$C11,$D11))-N($E11)))</f>
        <v/>
      </c>
      <c r="G11" s="30">
        <f>IF(OR($C11="",N($C$31)=0),"",N($C11)/$C$31)</f>
        <v/>
      </c>
      <c r="H11" s="36" t="n"/>
      <c r="I11" s="36" t="n"/>
    </row>
    <row r="12">
      <c r="B12" s="36" t="inlineStr">
        <is>
          <t>Bridal attire</t>
        </is>
      </c>
      <c r="C12" s="45" t="n">
        <v>1800</v>
      </c>
      <c r="D12" s="45" t="n">
        <v>1750</v>
      </c>
      <c r="E12" s="45" t="n">
        <v>600</v>
      </c>
      <c r="F12" s="29">
        <f>IF(AND($B12="",$C12="",$D12="",$E12=""),"",MAX(0,N(IF($D12="",$C12,$D12))-N($E12)))</f>
        <v/>
      </c>
      <c r="G12" s="30">
        <f>IF(OR($C12="",N($C$31)=0),"",N($C12)/$C$31)</f>
        <v/>
      </c>
      <c r="H12" s="36" t="n"/>
      <c r="I12" s="36" t="n"/>
    </row>
    <row r="13">
      <c r="B13" s="36" t="inlineStr">
        <is>
          <t>Groom &amp; party attire</t>
        </is>
      </c>
      <c r="C13" s="45" t="n">
        <v>950</v>
      </c>
      <c r="D13" s="45" t="n">
        <v>900</v>
      </c>
      <c r="E13" s="45" t="n">
        <v>300</v>
      </c>
      <c r="F13" s="29">
        <f>IF(AND($B13="",$C13="",$D13="",$E13=""),"",MAX(0,N(IF($D13="",$C13,$D13))-N($E13)))</f>
        <v/>
      </c>
      <c r="G13" s="30">
        <f>IF(OR($C13="",N($C$31)=0),"",N($C13)/$C$31)</f>
        <v/>
      </c>
      <c r="H13" s="36" t="n"/>
      <c r="I13" s="36" t="n"/>
    </row>
    <row r="14">
      <c r="B14" s="36" t="inlineStr">
        <is>
          <t>Hair &amp; makeup</t>
        </is>
      </c>
      <c r="C14" s="45" t="n">
        <v>600</v>
      </c>
      <c r="D14" s="45" t="n">
        <v>550</v>
      </c>
      <c r="E14" s="45" t="n">
        <v>150</v>
      </c>
      <c r="F14" s="29">
        <f>IF(AND($B14="",$C14="",$D14="",$E14=""),"",MAX(0,N(IF($D14="",$C14,$D14))-N($E14)))</f>
        <v/>
      </c>
      <c r="G14" s="30">
        <f>IF(OR($C14="",N($C$31)=0),"",N($C14)/$C$31)</f>
        <v/>
      </c>
      <c r="H14" s="36" t="n"/>
      <c r="I14" s="36" t="n"/>
    </row>
    <row r="15">
      <c r="B15" s="36" t="inlineStr">
        <is>
          <t>Flowers &amp; décor</t>
        </is>
      </c>
      <c r="C15" s="45" t="n">
        <v>2800</v>
      </c>
      <c r="D15" s="45" t="n"/>
      <c r="E15" s="45" t="n">
        <v>700</v>
      </c>
      <c r="F15" s="29">
        <f>IF(AND($B15="",$C15="",$D15="",$E15=""),"",MAX(0,N(IF($D15="",$C15,$D15))-N($E15)))</f>
        <v/>
      </c>
      <c r="G15" s="30">
        <f>IF(OR($C15="",N($C$31)=0),"",N($C15)/$C$31)</f>
        <v/>
      </c>
      <c r="H15" s="36" t="n"/>
      <c r="I15" s="36" t="n"/>
    </row>
    <row r="16">
      <c r="B16" s="36" t="inlineStr">
        <is>
          <t>Photography</t>
        </is>
      </c>
      <c r="C16" s="45" t="n">
        <v>3200</v>
      </c>
      <c r="D16" s="45" t="n"/>
      <c r="E16" s="45" t="n">
        <v>800</v>
      </c>
      <c r="F16" s="29">
        <f>IF(AND($B16="",$C16="",$D16="",$E16=""),"",MAX(0,N(IF($D16="",$C16,$D16))-N($E16)))</f>
        <v/>
      </c>
      <c r="G16" s="30">
        <f>IF(OR($C16="",N($C$31)=0),"",N($C16)/$C$31)</f>
        <v/>
      </c>
      <c r="H16" s="36" t="n"/>
      <c r="I16" s="36" t="n"/>
    </row>
    <row r="17">
      <c r="B17" s="36" t="inlineStr">
        <is>
          <t>Videography</t>
        </is>
      </c>
      <c r="C17" s="45" t="n">
        <v>2200</v>
      </c>
      <c r="D17" s="45" t="n"/>
      <c r="E17" s="45" t="n">
        <v>500</v>
      </c>
      <c r="F17" s="29">
        <f>IF(AND($B17="",$C17="",$D17="",$E17=""),"",MAX(0,N(IF($D17="",$C17,$D17))-N($E17)))</f>
        <v/>
      </c>
      <c r="G17" s="30">
        <f>IF(OR($C17="",N($C$31)=0),"",N($C17)/$C$31)</f>
        <v/>
      </c>
      <c r="H17" s="36" t="n"/>
      <c r="I17" s="36" t="n"/>
    </row>
    <row r="18">
      <c r="B18" s="36" t="inlineStr">
        <is>
          <t>Music / DJ / band</t>
        </is>
      </c>
      <c r="C18" s="45" t="n">
        <v>2500</v>
      </c>
      <c r="D18" s="45" t="n"/>
      <c r="E18" s="45" t="n">
        <v>500</v>
      </c>
      <c r="F18" s="29">
        <f>IF(AND($B18="",$C18="",$D18="",$E18=""),"",MAX(0,N(IF($D18="",$C18,$D18))-N($E18)))</f>
        <v/>
      </c>
      <c r="G18" s="30">
        <f>IF(OR($C18="",N($C$31)=0),"",N($C18)/$C$31)</f>
        <v/>
      </c>
      <c r="H18" s="36" t="n"/>
      <c r="I18" s="36" t="n"/>
    </row>
    <row r="19">
      <c r="B19" s="36" t="inlineStr">
        <is>
          <t>Ceremony &amp; officiant</t>
        </is>
      </c>
      <c r="C19" s="45" t="n">
        <v>400</v>
      </c>
      <c r="D19" s="45" t="n"/>
      <c r="E19" s="45" t="n"/>
      <c r="F19" s="29">
        <f>IF(AND($B19="",$C19="",$D19="",$E19=""),"",MAX(0,N(IF($D19="",$C19,$D19))-N($E19)))</f>
        <v/>
      </c>
      <c r="G19" s="30">
        <f>IF(OR($C19="",N($C$31)=0),"",N($C19)/$C$31)</f>
        <v/>
      </c>
      <c r="H19" s="36" t="n"/>
      <c r="I19" s="36" t="n"/>
    </row>
    <row r="20">
      <c r="B20" s="36" t="inlineStr">
        <is>
          <t>Stationery &amp; postage</t>
        </is>
      </c>
      <c r="C20" s="45" t="n">
        <v>700</v>
      </c>
      <c r="D20" s="45" t="n"/>
      <c r="E20" s="45" t="n"/>
      <c r="F20" s="29">
        <f>IF(AND($B20="",$C20="",$D20="",$E20=""),"",MAX(0,N(IF($D20="",$C20,$D20))-N($E20)))</f>
        <v/>
      </c>
      <c r="G20" s="30">
        <f>IF(OR($C20="",N($C$31)=0),"",N($C20)/$C$31)</f>
        <v/>
      </c>
      <c r="H20" s="36" t="n"/>
      <c r="I20" s="36" t="n"/>
    </row>
    <row r="21">
      <c r="B21" s="36" t="inlineStr">
        <is>
          <t>Favors &amp; gifts</t>
        </is>
      </c>
      <c r="C21" s="45" t="n">
        <v>350</v>
      </c>
      <c r="D21" s="45" t="n"/>
      <c r="E21" s="45" t="n"/>
      <c r="F21" s="29">
        <f>IF(AND($B21="",$C21="",$D21="",$E21=""),"",MAX(0,N(IF($D21="",$C21,$D21))-N($E21)))</f>
        <v/>
      </c>
      <c r="G21" s="30">
        <f>IF(OR($C21="",N($C$31)=0),"",N($C21)/$C$31)</f>
        <v/>
      </c>
      <c r="H21" s="36" t="n"/>
      <c r="I21" s="36" t="n"/>
    </row>
    <row r="22">
      <c r="B22" s="36" t="inlineStr">
        <is>
          <t>Rings</t>
        </is>
      </c>
      <c r="C22" s="45" t="n">
        <v>2400</v>
      </c>
      <c r="D22" s="45" t="n"/>
      <c r="E22" s="45" t="n"/>
      <c r="F22" s="29">
        <f>IF(AND($B22="",$C22="",$D22="",$E22=""),"",MAX(0,N(IF($D22="",$C22,$D22))-N($E22)))</f>
        <v/>
      </c>
      <c r="G22" s="30">
        <f>IF(OR($C22="",N($C$31)=0),"",N($C22)/$C$31)</f>
        <v/>
      </c>
      <c r="H22" s="36" t="n"/>
      <c r="I22" s="36" t="n"/>
    </row>
    <row r="23">
      <c r="B23" s="36" t="inlineStr">
        <is>
          <t>Transportation</t>
        </is>
      </c>
      <c r="C23" s="45" t="n">
        <v>900</v>
      </c>
      <c r="D23" s="45" t="n"/>
      <c r="E23" s="45" t="n"/>
      <c r="F23" s="29">
        <f>IF(AND($B23="",$C23="",$D23="",$E23=""),"",MAX(0,N(IF($D23="",$C23,$D23))-N($E23)))</f>
        <v/>
      </c>
      <c r="G23" s="30">
        <f>IF(OR($C23="",N($C$31)=0),"",N($C23)/$C$31)</f>
        <v/>
      </c>
      <c r="H23" s="36" t="n"/>
      <c r="I23" s="36" t="n"/>
    </row>
    <row r="24">
      <c r="B24" s="36" t="inlineStr">
        <is>
          <t>Honeymoon</t>
        </is>
      </c>
      <c r="C24" s="45" t="n">
        <v>4500</v>
      </c>
      <c r="D24" s="45" t="n"/>
      <c r="E24" s="45" t="n"/>
      <c r="F24" s="29">
        <f>IF(AND($B24="",$C24="",$D24="",$E24=""),"",MAX(0,N(IF($D24="",$C24,$D24))-N($E24)))</f>
        <v/>
      </c>
      <c r="G24" s="30">
        <f>IF(OR($C24="",N($C$31)=0),"",N($C24)/$C$31)</f>
        <v/>
      </c>
      <c r="H24" s="36" t="n"/>
      <c r="I24" s="36" t="n"/>
    </row>
    <row r="25">
      <c r="B25" s="36" t="inlineStr">
        <is>
          <t>Other / contingency</t>
        </is>
      </c>
      <c r="C25" s="45" t="n">
        <v>1000</v>
      </c>
      <c r="D25" s="45" t="n"/>
      <c r="E25" s="45" t="n"/>
      <c r="F25" s="29">
        <f>IF(AND($B25="",$C25="",$D25="",$E25=""),"",MAX(0,N(IF($D25="",$C25,$D25))-N($E25)))</f>
        <v/>
      </c>
      <c r="G25" s="30">
        <f>IF(OR($C25="",N($C$31)=0),"",N($C25)/$C$31)</f>
        <v/>
      </c>
      <c r="H25" s="36" t="n"/>
      <c r="I25" s="36" t="n"/>
    </row>
    <row r="26">
      <c r="B26" s="36" t="n"/>
      <c r="C26" s="45" t="n"/>
      <c r="D26" s="45" t="n"/>
      <c r="E26" s="45" t="n"/>
      <c r="F26" s="29">
        <f>IF(AND($B26="",$C26="",$D26="",$E26=""),"",MAX(0,N(IF($D26="",$C26,$D26))-N($E26)))</f>
        <v/>
      </c>
      <c r="G26" s="30">
        <f>IF(OR($C26="",N($C$31)=0),"",N($C26)/$C$31)</f>
        <v/>
      </c>
      <c r="H26" s="36" t="n"/>
      <c r="I26" s="36" t="n"/>
    </row>
    <row r="27">
      <c r="B27" s="36" t="n"/>
      <c r="C27" s="45" t="n"/>
      <c r="D27" s="45" t="n"/>
      <c r="E27" s="45" t="n"/>
      <c r="F27" s="29">
        <f>IF(AND($B27="",$C27="",$D27="",$E27=""),"",MAX(0,N(IF($D27="",$C27,$D27))-N($E27)))</f>
        <v/>
      </c>
      <c r="G27" s="30">
        <f>IF(OR($C27="",N($C$31)=0),"",N($C27)/$C$31)</f>
        <v/>
      </c>
      <c r="H27" s="36" t="n"/>
      <c r="I27" s="36" t="n"/>
    </row>
    <row r="28">
      <c r="B28" s="36" t="n"/>
      <c r="C28" s="45" t="n"/>
      <c r="D28" s="45" t="n"/>
      <c r="E28" s="45" t="n"/>
      <c r="F28" s="29">
        <f>IF(AND($B28="",$C28="",$D28="",$E28=""),"",MAX(0,N(IF($D28="",$C28,$D28))-N($E28)))</f>
        <v/>
      </c>
      <c r="G28" s="30">
        <f>IF(OR($C28="",N($C$31)=0),"",N($C28)/$C$31)</f>
        <v/>
      </c>
      <c r="H28" s="36" t="n"/>
      <c r="I28" s="36" t="n"/>
    </row>
    <row r="29">
      <c r="B29" s="36" t="n"/>
      <c r="C29" s="45" t="n"/>
      <c r="D29" s="45" t="n"/>
      <c r="E29" s="45" t="n"/>
      <c r="F29" s="29">
        <f>IF(AND($B29="",$C29="",$D29="",$E29=""),"",MAX(0,N(IF($D29="",$C29,$D29))-N($E29)))</f>
        <v/>
      </c>
      <c r="G29" s="30">
        <f>IF(OR($C29="",N($C$31)=0),"",N($C29)/$C$31)</f>
        <v/>
      </c>
      <c r="H29" s="36" t="n"/>
      <c r="I29" s="36" t="n"/>
    </row>
    <row r="30">
      <c r="B30" s="36" t="n"/>
      <c r="C30" s="45" t="n"/>
      <c r="D30" s="45" t="n"/>
      <c r="E30" s="45" t="n"/>
      <c r="F30" s="29">
        <f>IF(AND($B30="",$C30="",$D30="",$E30=""),"",MAX(0,N(IF($D30="",$C30,$D30))-N($E30)))</f>
        <v/>
      </c>
      <c r="G30" s="30">
        <f>IF(OR($C30="",N($C$31)=0),"",N($C30)/$C$31)</f>
        <v/>
      </c>
      <c r="H30" s="36" t="n"/>
      <c r="I30" s="36" t="n"/>
    </row>
    <row r="31">
      <c r="B31" s="42" t="inlineStr">
        <is>
          <t>TOTAL</t>
        </is>
      </c>
      <c r="C31" s="46">
        <f>SUM(C9:C30)</f>
        <v/>
      </c>
      <c r="D31" s="46">
        <f>SUM(D9:D30)</f>
        <v/>
      </c>
      <c r="E31" s="46">
        <f>SUM(E9:E30)</f>
        <v/>
      </c>
      <c r="F31" s="46">
        <f>SUM(F9:F30)</f>
        <v/>
      </c>
      <c r="G31" s="43">
        <f>SUM(G9:G30)</f>
        <v/>
      </c>
      <c r="H31" s="42" t="n"/>
      <c r="I31" s="42" t="n"/>
    </row>
    <row r="33">
      <c r="B33" s="44" t="inlineStr">
        <is>
          <t>💡  Balance due uses the actual cost if entered, otherwise the estimate — minus deposits already paid.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I30"/>
  <mergeCells count="2">
    <mergeCell ref="B1:I1"/>
    <mergeCell ref="B2:I2"/>
  </mergeCell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88A47C"/>
    <outlinePr summaryBelow="1" summaryRight="1"/>
    <pageSetUpPr fitToPage="1"/>
  </sheetPr>
  <dimension ref="B1:I15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 ht="30" customHeight="1">
      <c r="B1" s="1" t="inlineStr">
        <is>
          <t>🧾  PAYMENT TRACKER</t>
        </is>
      </c>
      <c r="C1" s="2" t="n"/>
      <c r="D1" s="2" t="n"/>
      <c r="E1" s="2" t="n"/>
      <c r="F1" s="2" t="n"/>
      <c r="G1" s="2" t="n"/>
      <c r="H1" s="2" t="n"/>
      <c r="I1" s="3" t="n"/>
    </row>
    <row r="2" ht="15" customHeight="1">
      <c r="B2" s="4" t="inlineStr">
        <is>
          <t>Every payment — amount, due date &amp; paid status</t>
        </is>
      </c>
      <c r="C2" s="2" t="n"/>
      <c r="D2" s="2" t="n"/>
      <c r="E2" s="2" t="n"/>
      <c r="F2" s="2" t="n"/>
      <c r="G2" s="2" t="n"/>
      <c r="H2" s="2" t="n"/>
      <c r="I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Vendor</t>
        </is>
      </c>
      <c r="C8" s="35" t="inlineStr">
        <is>
          <t>Category</t>
        </is>
      </c>
      <c r="D8" s="35" t="inlineStr">
        <is>
          <t>Amount due</t>
        </is>
      </c>
      <c r="E8" s="35" t="inlineStr">
        <is>
          <t>Due date</t>
        </is>
      </c>
      <c r="F8" s="35" t="inlineStr">
        <is>
          <t>Amount paid</t>
        </is>
      </c>
      <c r="G8" s="35" t="inlineStr">
        <is>
          <t>Balance 🔒</t>
        </is>
      </c>
      <c r="H8" s="35" t="inlineStr">
        <is>
          <t>Status</t>
        </is>
      </c>
      <c r="I8" s="35" t="inlineStr">
        <is>
          <t>Notes</t>
        </is>
      </c>
    </row>
    <row r="9">
      <c r="B9" s="36" t="inlineStr">
        <is>
          <t>The Rosewood Estate</t>
        </is>
      </c>
      <c r="C9" s="36" t="inlineStr">
        <is>
          <t>Venue</t>
        </is>
      </c>
      <c r="D9" s="45" t="n">
        <v>6500</v>
      </c>
      <c r="E9" s="47" t="n">
        <v>46447</v>
      </c>
      <c r="F9" s="45" t="n">
        <v>2000</v>
      </c>
      <c r="G9" s="29">
        <f>IF(AND($D9="",$F9=""),"",MAX(0,N($D9)-N($F9)))</f>
        <v/>
      </c>
      <c r="H9" s="27" t="n"/>
      <c r="I9" s="36" t="n"/>
    </row>
    <row r="10">
      <c r="B10" s="36" t="inlineStr">
        <is>
          <t>Harvest &amp; Vine Co.</t>
        </is>
      </c>
      <c r="C10" s="36" t="inlineStr">
        <is>
          <t>Catering</t>
        </is>
      </c>
      <c r="D10" s="45" t="n">
        <v>3000</v>
      </c>
      <c r="E10" s="47" t="n">
        <v>46492</v>
      </c>
      <c r="F10" s="45" t="n">
        <v>0</v>
      </c>
      <c r="G10" s="29">
        <f>IF(AND($D10="",$F10=""),"",MAX(0,N($D10)-N($F10)))</f>
        <v/>
      </c>
      <c r="H10" s="27" t="n"/>
      <c r="I10" s="36" t="n"/>
    </row>
    <row r="11">
      <c r="B11" s="36" t="inlineStr">
        <is>
          <t>Golden Hour Photo</t>
        </is>
      </c>
      <c r="C11" s="36" t="inlineStr">
        <is>
          <t>Photography</t>
        </is>
      </c>
      <c r="D11" s="45" t="n">
        <v>3200</v>
      </c>
      <c r="E11" s="47" t="n">
        <v>46508</v>
      </c>
      <c r="F11" s="45" t="n">
        <v>800</v>
      </c>
      <c r="G11" s="29">
        <f>IF(AND($D11="",$F11=""),"",MAX(0,N($D11)-N($F11)))</f>
        <v/>
      </c>
      <c r="H11" s="27" t="n"/>
      <c r="I11" s="36" t="n"/>
    </row>
    <row r="12">
      <c r="B12" s="36" t="inlineStr">
        <is>
          <t>Silver Sparrow DJ</t>
        </is>
      </c>
      <c r="C12" s="36" t="inlineStr">
        <is>
          <t>Music</t>
        </is>
      </c>
      <c r="D12" s="45" t="n">
        <v>2500</v>
      </c>
      <c r="E12" s="47" t="n">
        <v>46529</v>
      </c>
      <c r="F12" s="45" t="n">
        <v>0</v>
      </c>
      <c r="G12" s="29">
        <f>IF(AND($D12="",$F12=""),"",MAX(0,N($D12)-N($F12)))</f>
        <v/>
      </c>
      <c r="H12" s="27" t="n"/>
      <c r="I12" s="36" t="n"/>
    </row>
    <row r="13">
      <c r="B13" s="36" t="inlineStr">
        <is>
          <t>Bloom &amp; Twine</t>
        </is>
      </c>
      <c r="C13" s="36" t="inlineStr">
        <is>
          <t>Florist</t>
        </is>
      </c>
      <c r="D13" s="45" t="n">
        <v>1500</v>
      </c>
      <c r="E13" s="47" t="n">
        <v>46497</v>
      </c>
      <c r="F13" s="45" t="n">
        <v>750</v>
      </c>
      <c r="G13" s="29">
        <f>IF(AND($D13="",$F13=""),"",MAX(0,N($D13)-N($F13)))</f>
        <v/>
      </c>
      <c r="H13" s="27" t="n"/>
      <c r="I13" s="36" t="n"/>
    </row>
    <row r="14">
      <c r="B14" s="36" t="inlineStr">
        <is>
          <t>Ivory &amp; Oak Bridal</t>
        </is>
      </c>
      <c r="C14" s="36" t="inlineStr">
        <is>
          <t>Attire</t>
        </is>
      </c>
      <c r="D14" s="45" t="n">
        <v>1750</v>
      </c>
      <c r="E14" s="47" t="n">
        <v>46428</v>
      </c>
      <c r="F14" s="45" t="n">
        <v>1750</v>
      </c>
      <c r="G14" s="29">
        <f>IF(AND($D14="",$F14=""),"",MAX(0,N($D14)-N($F14)))</f>
        <v/>
      </c>
      <c r="H14" s="27" t="n"/>
      <c r="I14" s="36" t="n"/>
    </row>
    <row r="15">
      <c r="B15" s="36" t="n"/>
      <c r="C15" s="36" t="n"/>
      <c r="D15" s="45" t="n"/>
      <c r="E15" s="47" t="n"/>
      <c r="F15" s="45" t="n"/>
      <c r="G15" s="29">
        <f>IF(AND($D15="",$F15=""),"",MAX(0,N($D15)-N($F15)))</f>
        <v/>
      </c>
      <c r="H15" s="27" t="n"/>
      <c r="I15" s="36" t="n"/>
    </row>
    <row r="16">
      <c r="B16" s="36" t="n"/>
      <c r="C16" s="36" t="n"/>
      <c r="D16" s="45" t="n"/>
      <c r="E16" s="47" t="n"/>
      <c r="F16" s="45" t="n"/>
      <c r="G16" s="29">
        <f>IF(AND($D16="",$F16=""),"",MAX(0,N($D16)-N($F16)))</f>
        <v/>
      </c>
      <c r="H16" s="27" t="n"/>
      <c r="I16" s="36" t="n"/>
    </row>
    <row r="17">
      <c r="B17" s="36" t="n"/>
      <c r="C17" s="36" t="n"/>
      <c r="D17" s="45" t="n"/>
      <c r="E17" s="47" t="n"/>
      <c r="F17" s="45" t="n"/>
      <c r="G17" s="29">
        <f>IF(AND($D17="",$F17=""),"",MAX(0,N($D17)-N($F17)))</f>
        <v/>
      </c>
      <c r="H17" s="27" t="n"/>
      <c r="I17" s="36" t="n"/>
    </row>
    <row r="18">
      <c r="B18" s="36" t="n"/>
      <c r="C18" s="36" t="n"/>
      <c r="D18" s="45" t="n"/>
      <c r="E18" s="47" t="n"/>
      <c r="F18" s="45" t="n"/>
      <c r="G18" s="29">
        <f>IF(AND($D18="",$F18=""),"",MAX(0,N($D18)-N($F18)))</f>
        <v/>
      </c>
      <c r="H18" s="27" t="n"/>
      <c r="I18" s="36" t="n"/>
    </row>
    <row r="19">
      <c r="B19" s="36" t="n"/>
      <c r="C19" s="36" t="n"/>
      <c r="D19" s="45" t="n"/>
      <c r="E19" s="47" t="n"/>
      <c r="F19" s="45" t="n"/>
      <c r="G19" s="29">
        <f>IF(AND($D19="",$F19=""),"",MAX(0,N($D19)-N($F19)))</f>
        <v/>
      </c>
      <c r="H19" s="27" t="n"/>
      <c r="I19" s="36" t="n"/>
    </row>
    <row r="20">
      <c r="B20" s="36" t="n"/>
      <c r="C20" s="36" t="n"/>
      <c r="D20" s="45" t="n"/>
      <c r="E20" s="47" t="n"/>
      <c r="F20" s="45" t="n"/>
      <c r="G20" s="29">
        <f>IF(AND($D20="",$F20=""),"",MAX(0,N($D20)-N($F20)))</f>
        <v/>
      </c>
      <c r="H20" s="27" t="n"/>
      <c r="I20" s="36" t="n"/>
    </row>
    <row r="21">
      <c r="B21" s="36" t="n"/>
      <c r="C21" s="36" t="n"/>
      <c r="D21" s="45" t="n"/>
      <c r="E21" s="47" t="n"/>
      <c r="F21" s="45" t="n"/>
      <c r="G21" s="29">
        <f>IF(AND($D21="",$F21=""),"",MAX(0,N($D21)-N($F21)))</f>
        <v/>
      </c>
      <c r="H21" s="27" t="n"/>
      <c r="I21" s="36" t="n"/>
    </row>
    <row r="22">
      <c r="B22" s="36" t="n"/>
      <c r="C22" s="36" t="n"/>
      <c r="D22" s="45" t="n"/>
      <c r="E22" s="47" t="n"/>
      <c r="F22" s="45" t="n"/>
      <c r="G22" s="29">
        <f>IF(AND($D22="",$F22=""),"",MAX(0,N($D22)-N($F22)))</f>
        <v/>
      </c>
      <c r="H22" s="27" t="n"/>
      <c r="I22" s="36" t="n"/>
    </row>
    <row r="23">
      <c r="B23" s="36" t="n"/>
      <c r="C23" s="36" t="n"/>
      <c r="D23" s="45" t="n"/>
      <c r="E23" s="47" t="n"/>
      <c r="F23" s="45" t="n"/>
      <c r="G23" s="29">
        <f>IF(AND($D23="",$F23=""),"",MAX(0,N($D23)-N($F23)))</f>
        <v/>
      </c>
      <c r="H23" s="27" t="n"/>
      <c r="I23" s="36" t="n"/>
    </row>
    <row r="24">
      <c r="B24" s="36" t="n"/>
      <c r="C24" s="36" t="n"/>
      <c r="D24" s="45" t="n"/>
      <c r="E24" s="47" t="n"/>
      <c r="F24" s="45" t="n"/>
      <c r="G24" s="29">
        <f>IF(AND($D24="",$F24=""),"",MAX(0,N($D24)-N($F24)))</f>
        <v/>
      </c>
      <c r="H24" s="27" t="n"/>
      <c r="I24" s="36" t="n"/>
    </row>
    <row r="25">
      <c r="B25" s="36" t="n"/>
      <c r="C25" s="36" t="n"/>
      <c r="D25" s="45" t="n"/>
      <c r="E25" s="47" t="n"/>
      <c r="F25" s="45" t="n"/>
      <c r="G25" s="29">
        <f>IF(AND($D25="",$F25=""),"",MAX(0,N($D25)-N($F25)))</f>
        <v/>
      </c>
      <c r="H25" s="27" t="n"/>
      <c r="I25" s="36" t="n"/>
    </row>
    <row r="26">
      <c r="B26" s="36" t="n"/>
      <c r="C26" s="36" t="n"/>
      <c r="D26" s="45" t="n"/>
      <c r="E26" s="47" t="n"/>
      <c r="F26" s="45" t="n"/>
      <c r="G26" s="29">
        <f>IF(AND($D26="",$F26=""),"",MAX(0,N($D26)-N($F26)))</f>
        <v/>
      </c>
      <c r="H26" s="27" t="n"/>
      <c r="I26" s="36" t="n"/>
    </row>
    <row r="27">
      <c r="B27" s="36" t="n"/>
      <c r="C27" s="36" t="n"/>
      <c r="D27" s="45" t="n"/>
      <c r="E27" s="47" t="n"/>
      <c r="F27" s="45" t="n"/>
      <c r="G27" s="29">
        <f>IF(AND($D27="",$F27=""),"",MAX(0,N($D27)-N($F27)))</f>
        <v/>
      </c>
      <c r="H27" s="27" t="n"/>
      <c r="I27" s="36" t="n"/>
    </row>
    <row r="28">
      <c r="B28" s="36" t="n"/>
      <c r="C28" s="36" t="n"/>
      <c r="D28" s="45" t="n"/>
      <c r="E28" s="47" t="n"/>
      <c r="F28" s="45" t="n"/>
      <c r="G28" s="29">
        <f>IF(AND($D28="",$F28=""),"",MAX(0,N($D28)-N($F28)))</f>
        <v/>
      </c>
      <c r="H28" s="27" t="n"/>
      <c r="I28" s="36" t="n"/>
    </row>
    <row r="29">
      <c r="B29" s="36" t="n"/>
      <c r="C29" s="36" t="n"/>
      <c r="D29" s="45" t="n"/>
      <c r="E29" s="47" t="n"/>
      <c r="F29" s="45" t="n"/>
      <c r="G29" s="29">
        <f>IF(AND($D29="",$F29=""),"",MAX(0,N($D29)-N($F29)))</f>
        <v/>
      </c>
      <c r="H29" s="27" t="n"/>
      <c r="I29" s="36" t="n"/>
    </row>
    <row r="30">
      <c r="B30" s="36" t="n"/>
      <c r="C30" s="36" t="n"/>
      <c r="D30" s="45" t="n"/>
      <c r="E30" s="47" t="n"/>
      <c r="F30" s="45" t="n"/>
      <c r="G30" s="29">
        <f>IF(AND($D30="",$F30=""),"",MAX(0,N($D30)-N($F30)))</f>
        <v/>
      </c>
      <c r="H30" s="27" t="n"/>
      <c r="I30" s="36" t="n"/>
    </row>
    <row r="31">
      <c r="B31" s="36" t="n"/>
      <c r="C31" s="36" t="n"/>
      <c r="D31" s="45" t="n"/>
      <c r="E31" s="47" t="n"/>
      <c r="F31" s="45" t="n"/>
      <c r="G31" s="29">
        <f>IF(AND($D31="",$F31=""),"",MAX(0,N($D31)-N($F31)))</f>
        <v/>
      </c>
      <c r="H31" s="27" t="n"/>
      <c r="I31" s="36" t="n"/>
    </row>
    <row r="32">
      <c r="B32" s="36" t="n"/>
      <c r="C32" s="36" t="n"/>
      <c r="D32" s="45" t="n"/>
      <c r="E32" s="47" t="n"/>
      <c r="F32" s="45" t="n"/>
      <c r="G32" s="29">
        <f>IF(AND($D32="",$F32=""),"",MAX(0,N($D32)-N($F32)))</f>
        <v/>
      </c>
      <c r="H32" s="27" t="n"/>
      <c r="I32" s="36" t="n"/>
    </row>
    <row r="33">
      <c r="B33" s="36" t="n"/>
      <c r="C33" s="36" t="n"/>
      <c r="D33" s="45" t="n"/>
      <c r="E33" s="47" t="n"/>
      <c r="F33" s="45" t="n"/>
      <c r="G33" s="29">
        <f>IF(AND($D33="",$F33=""),"",MAX(0,N($D33)-N($F33)))</f>
        <v/>
      </c>
      <c r="H33" s="27" t="n"/>
      <c r="I33" s="36" t="n"/>
    </row>
    <row r="34">
      <c r="B34" s="36" t="n"/>
      <c r="C34" s="36" t="n"/>
      <c r="D34" s="45" t="n"/>
      <c r="E34" s="47" t="n"/>
      <c r="F34" s="45" t="n"/>
      <c r="G34" s="29">
        <f>IF(AND($D34="",$F34=""),"",MAX(0,N($D34)-N($F34)))</f>
        <v/>
      </c>
      <c r="H34" s="27" t="n"/>
      <c r="I34" s="36" t="n"/>
    </row>
    <row r="35">
      <c r="B35" s="36" t="n"/>
      <c r="C35" s="36" t="n"/>
      <c r="D35" s="45" t="n"/>
      <c r="E35" s="47" t="n"/>
      <c r="F35" s="45" t="n"/>
      <c r="G35" s="29">
        <f>IF(AND($D35="",$F35=""),"",MAX(0,N($D35)-N($F35)))</f>
        <v/>
      </c>
      <c r="H35" s="27" t="n"/>
      <c r="I35" s="36" t="n"/>
    </row>
    <row r="36">
      <c r="B36" s="36" t="n"/>
      <c r="C36" s="36" t="n"/>
      <c r="D36" s="45" t="n"/>
      <c r="E36" s="47" t="n"/>
      <c r="F36" s="45" t="n"/>
      <c r="G36" s="29">
        <f>IF(AND($D36="",$F36=""),"",MAX(0,N($D36)-N($F36)))</f>
        <v/>
      </c>
      <c r="H36" s="27" t="n"/>
      <c r="I36" s="36" t="n"/>
    </row>
    <row r="37">
      <c r="B37" s="36" t="n"/>
      <c r="C37" s="36" t="n"/>
      <c r="D37" s="45" t="n"/>
      <c r="E37" s="47" t="n"/>
      <c r="F37" s="45" t="n"/>
      <c r="G37" s="29">
        <f>IF(AND($D37="",$F37=""),"",MAX(0,N($D37)-N($F37)))</f>
        <v/>
      </c>
      <c r="H37" s="27" t="n"/>
      <c r="I37" s="36" t="n"/>
    </row>
    <row r="38">
      <c r="B38" s="36" t="n"/>
      <c r="C38" s="36" t="n"/>
      <c r="D38" s="45" t="n"/>
      <c r="E38" s="47" t="n"/>
      <c r="F38" s="45" t="n"/>
      <c r="G38" s="29">
        <f>IF(AND($D38="",$F38=""),"",MAX(0,N($D38)-N($F38)))</f>
        <v/>
      </c>
      <c r="H38" s="27" t="n"/>
      <c r="I38" s="36" t="n"/>
    </row>
    <row r="39">
      <c r="B39" s="36" t="n"/>
      <c r="C39" s="36" t="n"/>
      <c r="D39" s="45" t="n"/>
      <c r="E39" s="47" t="n"/>
      <c r="F39" s="45" t="n"/>
      <c r="G39" s="29">
        <f>IF(AND($D39="",$F39=""),"",MAX(0,N($D39)-N($F39)))</f>
        <v/>
      </c>
      <c r="H39" s="27" t="n"/>
      <c r="I39" s="36" t="n"/>
    </row>
    <row r="40">
      <c r="B40" s="36" t="n"/>
      <c r="C40" s="36" t="n"/>
      <c r="D40" s="45" t="n"/>
      <c r="E40" s="47" t="n"/>
      <c r="F40" s="45" t="n"/>
      <c r="G40" s="29">
        <f>IF(AND($D40="",$F40=""),"",MAX(0,N($D40)-N($F40)))</f>
        <v/>
      </c>
      <c r="H40" s="27" t="n"/>
      <c r="I40" s="36" t="n"/>
    </row>
    <row r="41">
      <c r="B41" s="36" t="n"/>
      <c r="C41" s="36" t="n"/>
      <c r="D41" s="45" t="n"/>
      <c r="E41" s="47" t="n"/>
      <c r="F41" s="45" t="n"/>
      <c r="G41" s="29">
        <f>IF(AND($D41="",$F41=""),"",MAX(0,N($D41)-N($F41)))</f>
        <v/>
      </c>
      <c r="H41" s="27" t="n"/>
      <c r="I41" s="36" t="n"/>
    </row>
    <row r="42">
      <c r="B42" s="36" t="n"/>
      <c r="C42" s="36" t="n"/>
      <c r="D42" s="45" t="n"/>
      <c r="E42" s="47" t="n"/>
      <c r="F42" s="45" t="n"/>
      <c r="G42" s="29">
        <f>IF(AND($D42="",$F42=""),"",MAX(0,N($D42)-N($F42)))</f>
        <v/>
      </c>
      <c r="H42" s="27" t="n"/>
      <c r="I42" s="36" t="n"/>
    </row>
    <row r="43">
      <c r="B43" s="36" t="n"/>
      <c r="C43" s="36" t="n"/>
      <c r="D43" s="45" t="n"/>
      <c r="E43" s="47" t="n"/>
      <c r="F43" s="45" t="n"/>
      <c r="G43" s="29">
        <f>IF(AND($D43="",$F43=""),"",MAX(0,N($D43)-N($F43)))</f>
        <v/>
      </c>
      <c r="H43" s="27" t="n"/>
      <c r="I43" s="36" t="n"/>
    </row>
    <row r="44">
      <c r="B44" s="36" t="n"/>
      <c r="C44" s="36" t="n"/>
      <c r="D44" s="45" t="n"/>
      <c r="E44" s="47" t="n"/>
      <c r="F44" s="45" t="n"/>
      <c r="G44" s="29">
        <f>IF(AND($D44="",$F44=""),"",MAX(0,N($D44)-N($F44)))</f>
        <v/>
      </c>
      <c r="H44" s="27" t="n"/>
      <c r="I44" s="36" t="n"/>
    </row>
    <row r="45">
      <c r="B45" s="36" t="n"/>
      <c r="C45" s="36" t="n"/>
      <c r="D45" s="45" t="n"/>
      <c r="E45" s="47" t="n"/>
      <c r="F45" s="45" t="n"/>
      <c r="G45" s="29">
        <f>IF(AND($D45="",$F45=""),"",MAX(0,N($D45)-N($F45)))</f>
        <v/>
      </c>
      <c r="H45" s="27" t="n"/>
      <c r="I45" s="36" t="n"/>
    </row>
    <row r="46">
      <c r="B46" s="36" t="n"/>
      <c r="C46" s="36" t="n"/>
      <c r="D46" s="45" t="n"/>
      <c r="E46" s="47" t="n"/>
      <c r="F46" s="45" t="n"/>
      <c r="G46" s="29">
        <f>IF(AND($D46="",$F46=""),"",MAX(0,N($D46)-N($F46)))</f>
        <v/>
      </c>
      <c r="H46" s="27" t="n"/>
      <c r="I46" s="36" t="n"/>
    </row>
    <row r="47">
      <c r="B47" s="36" t="n"/>
      <c r="C47" s="36" t="n"/>
      <c r="D47" s="45" t="n"/>
      <c r="E47" s="47" t="n"/>
      <c r="F47" s="45" t="n"/>
      <c r="G47" s="29">
        <f>IF(AND($D47="",$F47=""),"",MAX(0,N($D47)-N($F47)))</f>
        <v/>
      </c>
      <c r="H47" s="27" t="n"/>
      <c r="I47" s="36" t="n"/>
    </row>
    <row r="48">
      <c r="B48" s="36" t="n"/>
      <c r="C48" s="36" t="n"/>
      <c r="D48" s="45" t="n"/>
      <c r="E48" s="47" t="n"/>
      <c r="F48" s="45" t="n"/>
      <c r="G48" s="29">
        <f>IF(AND($D48="",$F48=""),"",MAX(0,N($D48)-N($F48)))</f>
        <v/>
      </c>
      <c r="H48" s="27" t="n"/>
      <c r="I48" s="36" t="n"/>
    </row>
    <row r="49">
      <c r="B49" s="36" t="n"/>
      <c r="C49" s="36" t="n"/>
      <c r="D49" s="45" t="n"/>
      <c r="E49" s="47" t="n"/>
      <c r="F49" s="45" t="n"/>
      <c r="G49" s="29">
        <f>IF(AND($D49="",$F49=""),"",MAX(0,N($D49)-N($F49)))</f>
        <v/>
      </c>
      <c r="H49" s="27" t="n"/>
      <c r="I49" s="36" t="n"/>
    </row>
    <row r="50">
      <c r="B50" s="36" t="n"/>
      <c r="C50" s="36" t="n"/>
      <c r="D50" s="45" t="n"/>
      <c r="E50" s="47" t="n"/>
      <c r="F50" s="45" t="n"/>
      <c r="G50" s="29">
        <f>IF(AND($D50="",$F50=""),"",MAX(0,N($D50)-N($F50)))</f>
        <v/>
      </c>
      <c r="H50" s="27" t="n"/>
      <c r="I50" s="36" t="n"/>
    </row>
    <row r="51">
      <c r="B51" s="36" t="n"/>
      <c r="C51" s="36" t="n"/>
      <c r="D51" s="45" t="n"/>
      <c r="E51" s="47" t="n"/>
      <c r="F51" s="45" t="n"/>
      <c r="G51" s="29">
        <f>IF(AND($D51="",$F51=""),"",MAX(0,N($D51)-N($F51)))</f>
        <v/>
      </c>
      <c r="H51" s="27" t="n"/>
      <c r="I51" s="36" t="n"/>
    </row>
    <row r="52">
      <c r="B52" s="36" t="n"/>
      <c r="C52" s="36" t="n"/>
      <c r="D52" s="45" t="n"/>
      <c r="E52" s="47" t="n"/>
      <c r="F52" s="45" t="n"/>
      <c r="G52" s="29">
        <f>IF(AND($D52="",$F52=""),"",MAX(0,N($D52)-N($F52)))</f>
        <v/>
      </c>
      <c r="H52" s="27" t="n"/>
      <c r="I52" s="36" t="n"/>
    </row>
    <row r="53">
      <c r="B53" s="36" t="n"/>
      <c r="C53" s="36" t="n"/>
      <c r="D53" s="45" t="n"/>
      <c r="E53" s="47" t="n"/>
      <c r="F53" s="45" t="n"/>
      <c r="G53" s="29">
        <f>IF(AND($D53="",$F53=""),"",MAX(0,N($D53)-N($F53)))</f>
        <v/>
      </c>
      <c r="H53" s="27" t="n"/>
      <c r="I53" s="36" t="n"/>
    </row>
    <row r="54">
      <c r="B54" s="36" t="n"/>
      <c r="C54" s="36" t="n"/>
      <c r="D54" s="45" t="n"/>
      <c r="E54" s="47" t="n"/>
      <c r="F54" s="45" t="n"/>
      <c r="G54" s="29">
        <f>IF(AND($D54="",$F54=""),"",MAX(0,N($D54)-N($F54)))</f>
        <v/>
      </c>
      <c r="H54" s="27" t="n"/>
      <c r="I54" s="36" t="n"/>
    </row>
    <row r="55">
      <c r="B55" s="36" t="n"/>
      <c r="C55" s="36" t="n"/>
      <c r="D55" s="45" t="n"/>
      <c r="E55" s="47" t="n"/>
      <c r="F55" s="45" t="n"/>
      <c r="G55" s="29">
        <f>IF(AND($D55="",$F55=""),"",MAX(0,N($D55)-N($F55)))</f>
        <v/>
      </c>
      <c r="H55" s="27" t="n"/>
      <c r="I55" s="36" t="n"/>
    </row>
    <row r="56">
      <c r="B56" s="36" t="n"/>
      <c r="C56" s="36" t="n"/>
      <c r="D56" s="45" t="n"/>
      <c r="E56" s="47" t="n"/>
      <c r="F56" s="45" t="n"/>
      <c r="G56" s="29">
        <f>IF(AND($D56="",$F56=""),"",MAX(0,N($D56)-N($F56)))</f>
        <v/>
      </c>
      <c r="H56" s="27" t="n"/>
      <c r="I56" s="36" t="n"/>
    </row>
    <row r="57">
      <c r="B57" s="36" t="n"/>
      <c r="C57" s="36" t="n"/>
      <c r="D57" s="45" t="n"/>
      <c r="E57" s="47" t="n"/>
      <c r="F57" s="45" t="n"/>
      <c r="G57" s="29">
        <f>IF(AND($D57="",$F57=""),"",MAX(0,N($D57)-N($F57)))</f>
        <v/>
      </c>
      <c r="H57" s="27" t="n"/>
      <c r="I57" s="36" t="n"/>
    </row>
    <row r="58">
      <c r="B58" s="36" t="n"/>
      <c r="C58" s="36" t="n"/>
      <c r="D58" s="45" t="n"/>
      <c r="E58" s="47" t="n"/>
      <c r="F58" s="45" t="n"/>
      <c r="G58" s="29">
        <f>IF(AND($D58="",$F58=""),"",MAX(0,N($D58)-N($F58)))</f>
        <v/>
      </c>
      <c r="H58" s="27" t="n"/>
      <c r="I58" s="36" t="n"/>
    </row>
    <row r="59">
      <c r="B59" s="36" t="n"/>
      <c r="C59" s="36" t="n"/>
      <c r="D59" s="45" t="n"/>
      <c r="E59" s="47" t="n"/>
      <c r="F59" s="45" t="n"/>
      <c r="G59" s="29">
        <f>IF(AND($D59="",$F59=""),"",MAX(0,N($D59)-N($F59)))</f>
        <v/>
      </c>
      <c r="H59" s="27" t="n"/>
      <c r="I59" s="36" t="n"/>
    </row>
    <row r="60">
      <c r="B60" s="36" t="n"/>
      <c r="C60" s="36" t="n"/>
      <c r="D60" s="45" t="n"/>
      <c r="E60" s="47" t="n"/>
      <c r="F60" s="45" t="n"/>
      <c r="G60" s="29">
        <f>IF(AND($D60="",$F60=""),"",MAX(0,N($D60)-N($F60)))</f>
        <v/>
      </c>
      <c r="H60" s="27" t="n"/>
      <c r="I60" s="36" t="n"/>
    </row>
    <row r="61">
      <c r="B61" s="36" t="n"/>
      <c r="C61" s="36" t="n"/>
      <c r="D61" s="45" t="n"/>
      <c r="E61" s="47" t="n"/>
      <c r="F61" s="45" t="n"/>
      <c r="G61" s="29">
        <f>IF(AND($D61="",$F61=""),"",MAX(0,N($D61)-N($F61)))</f>
        <v/>
      </c>
      <c r="H61" s="27" t="n"/>
      <c r="I61" s="36" t="n"/>
    </row>
    <row r="62">
      <c r="B62" s="36" t="n"/>
      <c r="C62" s="36" t="n"/>
      <c r="D62" s="45" t="n"/>
      <c r="E62" s="47" t="n"/>
      <c r="F62" s="45" t="n"/>
      <c r="G62" s="29">
        <f>IF(AND($D62="",$F62=""),"",MAX(0,N($D62)-N($F62)))</f>
        <v/>
      </c>
      <c r="H62" s="27" t="n"/>
      <c r="I62" s="36" t="n"/>
    </row>
    <row r="63">
      <c r="B63" s="36" t="n"/>
      <c r="C63" s="36" t="n"/>
      <c r="D63" s="45" t="n"/>
      <c r="E63" s="47" t="n"/>
      <c r="F63" s="45" t="n"/>
      <c r="G63" s="29">
        <f>IF(AND($D63="",$F63=""),"",MAX(0,N($D63)-N($F63)))</f>
        <v/>
      </c>
      <c r="H63" s="27" t="n"/>
      <c r="I63" s="36" t="n"/>
    </row>
    <row r="64">
      <c r="B64" s="36" t="n"/>
      <c r="C64" s="36" t="n"/>
      <c r="D64" s="45" t="n"/>
      <c r="E64" s="47" t="n"/>
      <c r="F64" s="45" t="n"/>
      <c r="G64" s="29">
        <f>IF(AND($D64="",$F64=""),"",MAX(0,N($D64)-N($F64)))</f>
        <v/>
      </c>
      <c r="H64" s="27" t="n"/>
      <c r="I64" s="36" t="n"/>
    </row>
    <row r="65">
      <c r="B65" s="36" t="n"/>
      <c r="C65" s="36" t="n"/>
      <c r="D65" s="45" t="n"/>
      <c r="E65" s="47" t="n"/>
      <c r="F65" s="45" t="n"/>
      <c r="G65" s="29">
        <f>IF(AND($D65="",$F65=""),"",MAX(0,N($D65)-N($F65)))</f>
        <v/>
      </c>
      <c r="H65" s="27" t="n"/>
      <c r="I65" s="36" t="n"/>
    </row>
    <row r="66">
      <c r="B66" s="36" t="n"/>
      <c r="C66" s="36" t="n"/>
      <c r="D66" s="45" t="n"/>
      <c r="E66" s="47" t="n"/>
      <c r="F66" s="45" t="n"/>
      <c r="G66" s="29">
        <f>IF(AND($D66="",$F66=""),"",MAX(0,N($D66)-N($F66)))</f>
        <v/>
      </c>
      <c r="H66" s="27" t="n"/>
      <c r="I66" s="36" t="n"/>
    </row>
    <row r="67">
      <c r="B67" s="36" t="n"/>
      <c r="C67" s="36" t="n"/>
      <c r="D67" s="45" t="n"/>
      <c r="E67" s="47" t="n"/>
      <c r="F67" s="45" t="n"/>
      <c r="G67" s="29">
        <f>IF(AND($D67="",$F67=""),"",MAX(0,N($D67)-N($F67)))</f>
        <v/>
      </c>
      <c r="H67" s="27" t="n"/>
      <c r="I67" s="36" t="n"/>
    </row>
    <row r="68">
      <c r="B68" s="36" t="n"/>
      <c r="C68" s="36" t="n"/>
      <c r="D68" s="45" t="n"/>
      <c r="E68" s="47" t="n"/>
      <c r="F68" s="45" t="n"/>
      <c r="G68" s="29">
        <f>IF(AND($D68="",$F68=""),"",MAX(0,N($D68)-N($F68)))</f>
        <v/>
      </c>
      <c r="H68" s="27" t="n"/>
      <c r="I68" s="36" t="n"/>
    </row>
    <row r="69">
      <c r="B69" s="36" t="n"/>
      <c r="C69" s="36" t="n"/>
      <c r="D69" s="45" t="n"/>
      <c r="E69" s="47" t="n"/>
      <c r="F69" s="45" t="n"/>
      <c r="G69" s="29">
        <f>IF(AND($D69="",$F69=""),"",MAX(0,N($D69)-N($F69)))</f>
        <v/>
      </c>
      <c r="H69" s="27" t="n"/>
      <c r="I69" s="36" t="n"/>
    </row>
    <row r="70">
      <c r="B70" s="36" t="n"/>
      <c r="C70" s="36" t="n"/>
      <c r="D70" s="45" t="n"/>
      <c r="E70" s="47" t="n"/>
      <c r="F70" s="45" t="n"/>
      <c r="G70" s="29">
        <f>IF(AND($D70="",$F70=""),"",MAX(0,N($D70)-N($F70)))</f>
        <v/>
      </c>
      <c r="H70" s="27" t="n"/>
      <c r="I70" s="36" t="n"/>
    </row>
    <row r="71">
      <c r="B71" s="36" t="n"/>
      <c r="C71" s="36" t="n"/>
      <c r="D71" s="45" t="n"/>
      <c r="E71" s="47" t="n"/>
      <c r="F71" s="45" t="n"/>
      <c r="G71" s="29">
        <f>IF(AND($D71="",$F71=""),"",MAX(0,N($D71)-N($F71)))</f>
        <v/>
      </c>
      <c r="H71" s="27" t="n"/>
      <c r="I71" s="36" t="n"/>
    </row>
    <row r="72">
      <c r="B72" s="36" t="n"/>
      <c r="C72" s="36" t="n"/>
      <c r="D72" s="45" t="n"/>
      <c r="E72" s="47" t="n"/>
      <c r="F72" s="45" t="n"/>
      <c r="G72" s="29">
        <f>IF(AND($D72="",$F72=""),"",MAX(0,N($D72)-N($F72)))</f>
        <v/>
      </c>
      <c r="H72" s="27" t="n"/>
      <c r="I72" s="36" t="n"/>
    </row>
    <row r="73">
      <c r="B73" s="36" t="n"/>
      <c r="C73" s="36" t="n"/>
      <c r="D73" s="45" t="n"/>
      <c r="E73" s="47" t="n"/>
      <c r="F73" s="45" t="n"/>
      <c r="G73" s="29">
        <f>IF(AND($D73="",$F73=""),"",MAX(0,N($D73)-N($F73)))</f>
        <v/>
      </c>
      <c r="H73" s="27" t="n"/>
      <c r="I73" s="36" t="n"/>
    </row>
    <row r="74">
      <c r="B74" s="36" t="n"/>
      <c r="C74" s="36" t="n"/>
      <c r="D74" s="45" t="n"/>
      <c r="E74" s="47" t="n"/>
      <c r="F74" s="45" t="n"/>
      <c r="G74" s="29">
        <f>IF(AND($D74="",$F74=""),"",MAX(0,N($D74)-N($F74)))</f>
        <v/>
      </c>
      <c r="H74" s="27" t="n"/>
      <c r="I74" s="36" t="n"/>
    </row>
    <row r="75">
      <c r="B75" s="36" t="n"/>
      <c r="C75" s="36" t="n"/>
      <c r="D75" s="45" t="n"/>
      <c r="E75" s="47" t="n"/>
      <c r="F75" s="45" t="n"/>
      <c r="G75" s="29">
        <f>IF(AND($D75="",$F75=""),"",MAX(0,N($D75)-N($F75)))</f>
        <v/>
      </c>
      <c r="H75" s="27" t="n"/>
      <c r="I75" s="36" t="n"/>
    </row>
    <row r="76">
      <c r="B76" s="36" t="n"/>
      <c r="C76" s="36" t="n"/>
      <c r="D76" s="45" t="n"/>
      <c r="E76" s="47" t="n"/>
      <c r="F76" s="45" t="n"/>
      <c r="G76" s="29">
        <f>IF(AND($D76="",$F76=""),"",MAX(0,N($D76)-N($F76)))</f>
        <v/>
      </c>
      <c r="H76" s="27" t="n"/>
      <c r="I76" s="36" t="n"/>
    </row>
    <row r="77">
      <c r="B77" s="36" t="n"/>
      <c r="C77" s="36" t="n"/>
      <c r="D77" s="45" t="n"/>
      <c r="E77" s="47" t="n"/>
      <c r="F77" s="45" t="n"/>
      <c r="G77" s="29">
        <f>IF(AND($D77="",$F77=""),"",MAX(0,N($D77)-N($F77)))</f>
        <v/>
      </c>
      <c r="H77" s="27" t="n"/>
      <c r="I77" s="36" t="n"/>
    </row>
    <row r="78">
      <c r="B78" s="36" t="n"/>
      <c r="C78" s="36" t="n"/>
      <c r="D78" s="45" t="n"/>
      <c r="E78" s="47" t="n"/>
      <c r="F78" s="45" t="n"/>
      <c r="G78" s="29">
        <f>IF(AND($D78="",$F78=""),"",MAX(0,N($D78)-N($F78)))</f>
        <v/>
      </c>
      <c r="H78" s="27" t="n"/>
      <c r="I78" s="36" t="n"/>
    </row>
    <row r="79">
      <c r="B79" s="36" t="n"/>
      <c r="C79" s="36" t="n"/>
      <c r="D79" s="45" t="n"/>
      <c r="E79" s="47" t="n"/>
      <c r="F79" s="45" t="n"/>
      <c r="G79" s="29">
        <f>IF(AND($D79="",$F79=""),"",MAX(0,N($D79)-N($F79)))</f>
        <v/>
      </c>
      <c r="H79" s="27" t="n"/>
      <c r="I79" s="36" t="n"/>
    </row>
    <row r="80">
      <c r="B80" s="36" t="n"/>
      <c r="C80" s="36" t="n"/>
      <c r="D80" s="45" t="n"/>
      <c r="E80" s="47" t="n"/>
      <c r="F80" s="45" t="n"/>
      <c r="G80" s="29">
        <f>IF(AND($D80="",$F80=""),"",MAX(0,N($D80)-N($F80)))</f>
        <v/>
      </c>
      <c r="H80" s="27" t="n"/>
      <c r="I80" s="36" t="n"/>
    </row>
    <row r="81">
      <c r="B81" s="36" t="n"/>
      <c r="C81" s="36" t="n"/>
      <c r="D81" s="45" t="n"/>
      <c r="E81" s="47" t="n"/>
      <c r="F81" s="45" t="n"/>
      <c r="G81" s="29">
        <f>IF(AND($D81="",$F81=""),"",MAX(0,N($D81)-N($F81)))</f>
        <v/>
      </c>
      <c r="H81" s="27" t="n"/>
      <c r="I81" s="36" t="n"/>
    </row>
    <row r="82">
      <c r="B82" s="36" t="n"/>
      <c r="C82" s="36" t="n"/>
      <c r="D82" s="45" t="n"/>
      <c r="E82" s="47" t="n"/>
      <c r="F82" s="45" t="n"/>
      <c r="G82" s="29">
        <f>IF(AND($D82="",$F82=""),"",MAX(0,N($D82)-N($F82)))</f>
        <v/>
      </c>
      <c r="H82" s="27" t="n"/>
      <c r="I82" s="36" t="n"/>
    </row>
    <row r="83">
      <c r="B83" s="36" t="n"/>
      <c r="C83" s="36" t="n"/>
      <c r="D83" s="45" t="n"/>
      <c r="E83" s="47" t="n"/>
      <c r="F83" s="45" t="n"/>
      <c r="G83" s="29">
        <f>IF(AND($D83="",$F83=""),"",MAX(0,N($D83)-N($F83)))</f>
        <v/>
      </c>
      <c r="H83" s="27" t="n"/>
      <c r="I83" s="36" t="n"/>
    </row>
    <row r="84">
      <c r="B84" s="36" t="n"/>
      <c r="C84" s="36" t="n"/>
      <c r="D84" s="45" t="n"/>
      <c r="E84" s="47" t="n"/>
      <c r="F84" s="45" t="n"/>
      <c r="G84" s="29">
        <f>IF(AND($D84="",$F84=""),"",MAX(0,N($D84)-N($F84)))</f>
        <v/>
      </c>
      <c r="H84" s="27" t="n"/>
      <c r="I84" s="36" t="n"/>
    </row>
    <row r="85">
      <c r="B85" s="36" t="n"/>
      <c r="C85" s="36" t="n"/>
      <c r="D85" s="45" t="n"/>
      <c r="E85" s="47" t="n"/>
      <c r="F85" s="45" t="n"/>
      <c r="G85" s="29">
        <f>IF(AND($D85="",$F85=""),"",MAX(0,N($D85)-N($F85)))</f>
        <v/>
      </c>
      <c r="H85" s="27" t="n"/>
      <c r="I85" s="36" t="n"/>
    </row>
    <row r="86">
      <c r="B86" s="36" t="n"/>
      <c r="C86" s="36" t="n"/>
      <c r="D86" s="45" t="n"/>
      <c r="E86" s="47" t="n"/>
      <c r="F86" s="45" t="n"/>
      <c r="G86" s="29">
        <f>IF(AND($D86="",$F86=""),"",MAX(0,N($D86)-N($F86)))</f>
        <v/>
      </c>
      <c r="H86" s="27" t="n"/>
      <c r="I86" s="36" t="n"/>
    </row>
    <row r="87">
      <c r="B87" s="36" t="n"/>
      <c r="C87" s="36" t="n"/>
      <c r="D87" s="45" t="n"/>
      <c r="E87" s="47" t="n"/>
      <c r="F87" s="45" t="n"/>
      <c r="G87" s="29">
        <f>IF(AND($D87="",$F87=""),"",MAX(0,N($D87)-N($F87)))</f>
        <v/>
      </c>
      <c r="H87" s="27" t="n"/>
      <c r="I87" s="36" t="n"/>
    </row>
    <row r="88">
      <c r="B88" s="36" t="n"/>
      <c r="C88" s="36" t="n"/>
      <c r="D88" s="45" t="n"/>
      <c r="E88" s="47" t="n"/>
      <c r="F88" s="45" t="n"/>
      <c r="G88" s="29">
        <f>IF(AND($D88="",$F88=""),"",MAX(0,N($D88)-N($F88)))</f>
        <v/>
      </c>
      <c r="H88" s="27" t="n"/>
      <c r="I88" s="36" t="n"/>
    </row>
    <row r="89">
      <c r="B89" s="36" t="n"/>
      <c r="C89" s="36" t="n"/>
      <c r="D89" s="45" t="n"/>
      <c r="E89" s="47" t="n"/>
      <c r="F89" s="45" t="n"/>
      <c r="G89" s="29">
        <f>IF(AND($D89="",$F89=""),"",MAX(0,N($D89)-N($F89)))</f>
        <v/>
      </c>
      <c r="H89" s="27" t="n"/>
      <c r="I89" s="36" t="n"/>
    </row>
    <row r="90">
      <c r="B90" s="36" t="n"/>
      <c r="C90" s="36" t="n"/>
      <c r="D90" s="45" t="n"/>
      <c r="E90" s="47" t="n"/>
      <c r="F90" s="45" t="n"/>
      <c r="G90" s="29">
        <f>IF(AND($D90="",$F90=""),"",MAX(0,N($D90)-N($F90)))</f>
        <v/>
      </c>
      <c r="H90" s="27" t="n"/>
      <c r="I90" s="36" t="n"/>
    </row>
    <row r="91">
      <c r="B91" s="36" t="n"/>
      <c r="C91" s="36" t="n"/>
      <c r="D91" s="45" t="n"/>
      <c r="E91" s="47" t="n"/>
      <c r="F91" s="45" t="n"/>
      <c r="G91" s="29">
        <f>IF(AND($D91="",$F91=""),"",MAX(0,N($D91)-N($F91)))</f>
        <v/>
      </c>
      <c r="H91" s="27" t="n"/>
      <c r="I91" s="36" t="n"/>
    </row>
    <row r="92">
      <c r="B92" s="36" t="n"/>
      <c r="C92" s="36" t="n"/>
      <c r="D92" s="45" t="n"/>
      <c r="E92" s="47" t="n"/>
      <c r="F92" s="45" t="n"/>
      <c r="G92" s="29">
        <f>IF(AND($D92="",$F92=""),"",MAX(0,N($D92)-N($F92)))</f>
        <v/>
      </c>
      <c r="H92" s="27" t="n"/>
      <c r="I92" s="36" t="n"/>
    </row>
    <row r="93">
      <c r="B93" s="36" t="n"/>
      <c r="C93" s="36" t="n"/>
      <c r="D93" s="45" t="n"/>
      <c r="E93" s="47" t="n"/>
      <c r="F93" s="45" t="n"/>
      <c r="G93" s="29">
        <f>IF(AND($D93="",$F93=""),"",MAX(0,N($D93)-N($F93)))</f>
        <v/>
      </c>
      <c r="H93" s="27" t="n"/>
      <c r="I93" s="36" t="n"/>
    </row>
    <row r="94">
      <c r="B94" s="36" t="n"/>
      <c r="C94" s="36" t="n"/>
      <c r="D94" s="45" t="n"/>
      <c r="E94" s="47" t="n"/>
      <c r="F94" s="45" t="n"/>
      <c r="G94" s="29">
        <f>IF(AND($D94="",$F94=""),"",MAX(0,N($D94)-N($F94)))</f>
        <v/>
      </c>
      <c r="H94" s="27" t="n"/>
      <c r="I94" s="36" t="n"/>
    </row>
    <row r="95">
      <c r="B95" s="36" t="n"/>
      <c r="C95" s="36" t="n"/>
      <c r="D95" s="45" t="n"/>
      <c r="E95" s="47" t="n"/>
      <c r="F95" s="45" t="n"/>
      <c r="G95" s="29">
        <f>IF(AND($D95="",$F95=""),"",MAX(0,N($D95)-N($F95)))</f>
        <v/>
      </c>
      <c r="H95" s="27" t="n"/>
      <c r="I95" s="36" t="n"/>
    </row>
    <row r="96">
      <c r="B96" s="36" t="n"/>
      <c r="C96" s="36" t="n"/>
      <c r="D96" s="45" t="n"/>
      <c r="E96" s="47" t="n"/>
      <c r="F96" s="45" t="n"/>
      <c r="G96" s="29">
        <f>IF(AND($D96="",$F96=""),"",MAX(0,N($D96)-N($F96)))</f>
        <v/>
      </c>
      <c r="H96" s="27" t="n"/>
      <c r="I96" s="36" t="n"/>
    </row>
    <row r="97">
      <c r="B97" s="36" t="n"/>
      <c r="C97" s="36" t="n"/>
      <c r="D97" s="45" t="n"/>
      <c r="E97" s="47" t="n"/>
      <c r="F97" s="45" t="n"/>
      <c r="G97" s="29">
        <f>IF(AND($D97="",$F97=""),"",MAX(0,N($D97)-N($F97)))</f>
        <v/>
      </c>
      <c r="H97" s="27" t="n"/>
      <c r="I97" s="36" t="n"/>
    </row>
    <row r="98">
      <c r="B98" s="36" t="n"/>
      <c r="C98" s="36" t="n"/>
      <c r="D98" s="45" t="n"/>
      <c r="E98" s="47" t="n"/>
      <c r="F98" s="45" t="n"/>
      <c r="G98" s="29">
        <f>IF(AND($D98="",$F98=""),"",MAX(0,N($D98)-N($F98)))</f>
        <v/>
      </c>
      <c r="H98" s="27" t="n"/>
      <c r="I98" s="36" t="n"/>
    </row>
    <row r="99">
      <c r="B99" s="36" t="n"/>
      <c r="C99" s="36" t="n"/>
      <c r="D99" s="45" t="n"/>
      <c r="E99" s="47" t="n"/>
      <c r="F99" s="45" t="n"/>
      <c r="G99" s="29">
        <f>IF(AND($D99="",$F99=""),"",MAX(0,N($D99)-N($F99)))</f>
        <v/>
      </c>
      <c r="H99" s="27" t="n"/>
      <c r="I99" s="36" t="n"/>
    </row>
    <row r="100">
      <c r="B100" s="36" t="n"/>
      <c r="C100" s="36" t="n"/>
      <c r="D100" s="45" t="n"/>
      <c r="E100" s="47" t="n"/>
      <c r="F100" s="45" t="n"/>
      <c r="G100" s="29">
        <f>IF(AND($D100="",$F100=""),"",MAX(0,N($D100)-N($F100)))</f>
        <v/>
      </c>
      <c r="H100" s="27" t="n"/>
      <c r="I100" s="36" t="n"/>
    </row>
    <row r="101">
      <c r="B101" s="36" t="n"/>
      <c r="C101" s="36" t="n"/>
      <c r="D101" s="45" t="n"/>
      <c r="E101" s="47" t="n"/>
      <c r="F101" s="45" t="n"/>
      <c r="G101" s="29">
        <f>IF(AND($D101="",$F101=""),"",MAX(0,N($D101)-N($F101)))</f>
        <v/>
      </c>
      <c r="H101" s="27" t="n"/>
      <c r="I101" s="36" t="n"/>
    </row>
    <row r="102">
      <c r="B102" s="36" t="n"/>
      <c r="C102" s="36" t="n"/>
      <c r="D102" s="45" t="n"/>
      <c r="E102" s="47" t="n"/>
      <c r="F102" s="45" t="n"/>
      <c r="G102" s="29">
        <f>IF(AND($D102="",$F102=""),"",MAX(0,N($D102)-N($F102)))</f>
        <v/>
      </c>
      <c r="H102" s="27" t="n"/>
      <c r="I102" s="36" t="n"/>
    </row>
    <row r="103">
      <c r="B103" s="36" t="n"/>
      <c r="C103" s="36" t="n"/>
      <c r="D103" s="45" t="n"/>
      <c r="E103" s="47" t="n"/>
      <c r="F103" s="45" t="n"/>
      <c r="G103" s="29">
        <f>IF(AND($D103="",$F103=""),"",MAX(0,N($D103)-N($F103)))</f>
        <v/>
      </c>
      <c r="H103" s="27" t="n"/>
      <c r="I103" s="36" t="n"/>
    </row>
    <row r="104">
      <c r="B104" s="36" t="n"/>
      <c r="C104" s="36" t="n"/>
      <c r="D104" s="45" t="n"/>
      <c r="E104" s="47" t="n"/>
      <c r="F104" s="45" t="n"/>
      <c r="G104" s="29">
        <f>IF(AND($D104="",$F104=""),"",MAX(0,N($D104)-N($F104)))</f>
        <v/>
      </c>
      <c r="H104" s="27" t="n"/>
      <c r="I104" s="36" t="n"/>
    </row>
    <row r="105">
      <c r="B105" s="36" t="n"/>
      <c r="C105" s="36" t="n"/>
      <c r="D105" s="45" t="n"/>
      <c r="E105" s="47" t="n"/>
      <c r="F105" s="45" t="n"/>
      <c r="G105" s="29">
        <f>IF(AND($D105="",$F105=""),"",MAX(0,N($D105)-N($F105)))</f>
        <v/>
      </c>
      <c r="H105" s="27" t="n"/>
      <c r="I105" s="36" t="n"/>
    </row>
    <row r="106">
      <c r="B106" s="36" t="n"/>
      <c r="C106" s="36" t="n"/>
      <c r="D106" s="45" t="n"/>
      <c r="E106" s="47" t="n"/>
      <c r="F106" s="45" t="n"/>
      <c r="G106" s="29">
        <f>IF(AND($D106="",$F106=""),"",MAX(0,N($D106)-N($F106)))</f>
        <v/>
      </c>
      <c r="H106" s="27" t="n"/>
      <c r="I106" s="36" t="n"/>
    </row>
    <row r="107">
      <c r="B107" s="36" t="n"/>
      <c r="C107" s="36" t="n"/>
      <c r="D107" s="45" t="n"/>
      <c r="E107" s="47" t="n"/>
      <c r="F107" s="45" t="n"/>
      <c r="G107" s="29">
        <f>IF(AND($D107="",$F107=""),"",MAX(0,N($D107)-N($F107)))</f>
        <v/>
      </c>
      <c r="H107" s="27" t="n"/>
      <c r="I107" s="36" t="n"/>
    </row>
    <row r="108">
      <c r="B108" s="36" t="n"/>
      <c r="C108" s="36" t="n"/>
      <c r="D108" s="45" t="n"/>
      <c r="E108" s="47" t="n"/>
      <c r="F108" s="45" t="n"/>
      <c r="G108" s="29">
        <f>IF(AND($D108="",$F108=""),"",MAX(0,N($D108)-N($F108)))</f>
        <v/>
      </c>
      <c r="H108" s="27" t="n"/>
      <c r="I108" s="36" t="n"/>
    </row>
    <row r="109">
      <c r="B109" s="36" t="n"/>
      <c r="C109" s="36" t="n"/>
      <c r="D109" s="45" t="n"/>
      <c r="E109" s="47" t="n"/>
      <c r="F109" s="45" t="n"/>
      <c r="G109" s="29">
        <f>IF(AND($D109="",$F109=""),"",MAX(0,N($D109)-N($F109)))</f>
        <v/>
      </c>
      <c r="H109" s="27" t="n"/>
      <c r="I109" s="36" t="n"/>
    </row>
    <row r="110">
      <c r="B110" s="36" t="n"/>
      <c r="C110" s="36" t="n"/>
      <c r="D110" s="45" t="n"/>
      <c r="E110" s="47" t="n"/>
      <c r="F110" s="45" t="n"/>
      <c r="G110" s="29">
        <f>IF(AND($D110="",$F110=""),"",MAX(0,N($D110)-N($F110)))</f>
        <v/>
      </c>
      <c r="H110" s="27" t="n"/>
      <c r="I110" s="36" t="n"/>
    </row>
    <row r="111">
      <c r="B111" s="36" t="n"/>
      <c r="C111" s="36" t="n"/>
      <c r="D111" s="45" t="n"/>
      <c r="E111" s="47" t="n"/>
      <c r="F111" s="45" t="n"/>
      <c r="G111" s="29">
        <f>IF(AND($D111="",$F111=""),"",MAX(0,N($D111)-N($F111)))</f>
        <v/>
      </c>
      <c r="H111" s="27" t="n"/>
      <c r="I111" s="36" t="n"/>
    </row>
    <row r="112">
      <c r="B112" s="36" t="n"/>
      <c r="C112" s="36" t="n"/>
      <c r="D112" s="45" t="n"/>
      <c r="E112" s="47" t="n"/>
      <c r="F112" s="45" t="n"/>
      <c r="G112" s="29">
        <f>IF(AND($D112="",$F112=""),"",MAX(0,N($D112)-N($F112)))</f>
        <v/>
      </c>
      <c r="H112" s="27" t="n"/>
      <c r="I112" s="36" t="n"/>
    </row>
    <row r="113">
      <c r="B113" s="36" t="n"/>
      <c r="C113" s="36" t="n"/>
      <c r="D113" s="45" t="n"/>
      <c r="E113" s="47" t="n"/>
      <c r="F113" s="45" t="n"/>
      <c r="G113" s="29">
        <f>IF(AND($D113="",$F113=""),"",MAX(0,N($D113)-N($F113)))</f>
        <v/>
      </c>
      <c r="H113" s="27" t="n"/>
      <c r="I113" s="36" t="n"/>
    </row>
    <row r="114">
      <c r="B114" s="36" t="n"/>
      <c r="C114" s="36" t="n"/>
      <c r="D114" s="45" t="n"/>
      <c r="E114" s="47" t="n"/>
      <c r="F114" s="45" t="n"/>
      <c r="G114" s="29">
        <f>IF(AND($D114="",$F114=""),"",MAX(0,N($D114)-N($F114)))</f>
        <v/>
      </c>
      <c r="H114" s="27" t="n"/>
      <c r="I114" s="36" t="n"/>
    </row>
    <row r="115">
      <c r="B115" s="36" t="n"/>
      <c r="C115" s="36" t="n"/>
      <c r="D115" s="45" t="n"/>
      <c r="E115" s="47" t="n"/>
      <c r="F115" s="45" t="n"/>
      <c r="G115" s="29">
        <f>IF(AND($D115="",$F115=""),"",MAX(0,N($D115)-N($F115)))</f>
        <v/>
      </c>
      <c r="H115" s="27" t="n"/>
      <c r="I115" s="36" t="n"/>
    </row>
    <row r="116">
      <c r="B116" s="36" t="n"/>
      <c r="C116" s="36" t="n"/>
      <c r="D116" s="45" t="n"/>
      <c r="E116" s="47" t="n"/>
      <c r="F116" s="45" t="n"/>
      <c r="G116" s="29">
        <f>IF(AND($D116="",$F116=""),"",MAX(0,N($D116)-N($F116)))</f>
        <v/>
      </c>
      <c r="H116" s="27" t="n"/>
      <c r="I116" s="36" t="n"/>
    </row>
    <row r="117">
      <c r="B117" s="36" t="n"/>
      <c r="C117" s="36" t="n"/>
      <c r="D117" s="45" t="n"/>
      <c r="E117" s="47" t="n"/>
      <c r="F117" s="45" t="n"/>
      <c r="G117" s="29">
        <f>IF(AND($D117="",$F117=""),"",MAX(0,N($D117)-N($F117)))</f>
        <v/>
      </c>
      <c r="H117" s="27" t="n"/>
      <c r="I117" s="36" t="n"/>
    </row>
    <row r="118">
      <c r="B118" s="36" t="n"/>
      <c r="C118" s="36" t="n"/>
      <c r="D118" s="45" t="n"/>
      <c r="E118" s="47" t="n"/>
      <c r="F118" s="45" t="n"/>
      <c r="G118" s="29">
        <f>IF(AND($D118="",$F118=""),"",MAX(0,N($D118)-N($F118)))</f>
        <v/>
      </c>
      <c r="H118" s="27" t="n"/>
      <c r="I118" s="36" t="n"/>
    </row>
    <row r="119">
      <c r="B119" s="36" t="n"/>
      <c r="C119" s="36" t="n"/>
      <c r="D119" s="45" t="n"/>
      <c r="E119" s="47" t="n"/>
      <c r="F119" s="45" t="n"/>
      <c r="G119" s="29">
        <f>IF(AND($D119="",$F119=""),"",MAX(0,N($D119)-N($F119)))</f>
        <v/>
      </c>
      <c r="H119" s="27" t="n"/>
      <c r="I119" s="36" t="n"/>
    </row>
    <row r="120">
      <c r="B120" s="36" t="n"/>
      <c r="C120" s="36" t="n"/>
      <c r="D120" s="45" t="n"/>
      <c r="E120" s="47" t="n"/>
      <c r="F120" s="45" t="n"/>
      <c r="G120" s="29">
        <f>IF(AND($D120="",$F120=""),"",MAX(0,N($D120)-N($F120)))</f>
        <v/>
      </c>
      <c r="H120" s="27" t="n"/>
      <c r="I120" s="36" t="n"/>
    </row>
    <row r="121">
      <c r="B121" s="36" t="n"/>
      <c r="C121" s="36" t="n"/>
      <c r="D121" s="45" t="n"/>
      <c r="E121" s="47" t="n"/>
      <c r="F121" s="45" t="n"/>
      <c r="G121" s="29">
        <f>IF(AND($D121="",$F121=""),"",MAX(0,N($D121)-N($F121)))</f>
        <v/>
      </c>
      <c r="H121" s="27" t="n"/>
      <c r="I121" s="36" t="n"/>
    </row>
    <row r="122">
      <c r="B122" s="36" t="n"/>
      <c r="C122" s="36" t="n"/>
      <c r="D122" s="45" t="n"/>
      <c r="E122" s="47" t="n"/>
      <c r="F122" s="45" t="n"/>
      <c r="G122" s="29">
        <f>IF(AND($D122="",$F122=""),"",MAX(0,N($D122)-N($F122)))</f>
        <v/>
      </c>
      <c r="H122" s="27" t="n"/>
      <c r="I122" s="36" t="n"/>
    </row>
    <row r="123">
      <c r="B123" s="36" t="n"/>
      <c r="C123" s="36" t="n"/>
      <c r="D123" s="45" t="n"/>
      <c r="E123" s="47" t="n"/>
      <c r="F123" s="45" t="n"/>
      <c r="G123" s="29">
        <f>IF(AND($D123="",$F123=""),"",MAX(0,N($D123)-N($F123)))</f>
        <v/>
      </c>
      <c r="H123" s="27" t="n"/>
      <c r="I123" s="36" t="n"/>
    </row>
    <row r="124">
      <c r="B124" s="36" t="n"/>
      <c r="C124" s="36" t="n"/>
      <c r="D124" s="45" t="n"/>
      <c r="E124" s="47" t="n"/>
      <c r="F124" s="45" t="n"/>
      <c r="G124" s="29">
        <f>IF(AND($D124="",$F124=""),"",MAX(0,N($D124)-N($F124)))</f>
        <v/>
      </c>
      <c r="H124" s="27" t="n"/>
      <c r="I124" s="36" t="n"/>
    </row>
    <row r="125">
      <c r="B125" s="36" t="n"/>
      <c r="C125" s="36" t="n"/>
      <c r="D125" s="45" t="n"/>
      <c r="E125" s="47" t="n"/>
      <c r="F125" s="45" t="n"/>
      <c r="G125" s="29">
        <f>IF(AND($D125="",$F125=""),"",MAX(0,N($D125)-N($F125)))</f>
        <v/>
      </c>
      <c r="H125" s="27" t="n"/>
      <c r="I125" s="36" t="n"/>
    </row>
    <row r="126">
      <c r="B126" s="36" t="n"/>
      <c r="C126" s="36" t="n"/>
      <c r="D126" s="45" t="n"/>
      <c r="E126" s="47" t="n"/>
      <c r="F126" s="45" t="n"/>
      <c r="G126" s="29">
        <f>IF(AND($D126="",$F126=""),"",MAX(0,N($D126)-N($F126)))</f>
        <v/>
      </c>
      <c r="H126" s="27" t="n"/>
      <c r="I126" s="36" t="n"/>
    </row>
    <row r="127">
      <c r="B127" s="36" t="n"/>
      <c r="C127" s="36" t="n"/>
      <c r="D127" s="45" t="n"/>
      <c r="E127" s="47" t="n"/>
      <c r="F127" s="45" t="n"/>
      <c r="G127" s="29">
        <f>IF(AND($D127="",$F127=""),"",MAX(0,N($D127)-N($F127)))</f>
        <v/>
      </c>
      <c r="H127" s="27" t="n"/>
      <c r="I127" s="36" t="n"/>
    </row>
    <row r="128">
      <c r="B128" s="36" t="n"/>
      <c r="C128" s="36" t="n"/>
      <c r="D128" s="45" t="n"/>
      <c r="E128" s="47" t="n"/>
      <c r="F128" s="45" t="n"/>
      <c r="G128" s="29">
        <f>IF(AND($D128="",$F128=""),"",MAX(0,N($D128)-N($F128)))</f>
        <v/>
      </c>
      <c r="H128" s="27" t="n"/>
      <c r="I128" s="36" t="n"/>
    </row>
    <row r="129">
      <c r="B129" s="36" t="n"/>
      <c r="C129" s="36" t="n"/>
      <c r="D129" s="45" t="n"/>
      <c r="E129" s="47" t="n"/>
      <c r="F129" s="45" t="n"/>
      <c r="G129" s="29">
        <f>IF(AND($D129="",$F129=""),"",MAX(0,N($D129)-N($F129)))</f>
        <v/>
      </c>
      <c r="H129" s="27" t="n"/>
      <c r="I129" s="36" t="n"/>
    </row>
    <row r="130">
      <c r="B130" s="36" t="n"/>
      <c r="C130" s="36" t="n"/>
      <c r="D130" s="45" t="n"/>
      <c r="E130" s="47" t="n"/>
      <c r="F130" s="45" t="n"/>
      <c r="G130" s="29">
        <f>IF(AND($D130="",$F130=""),"",MAX(0,N($D130)-N($F130)))</f>
        <v/>
      </c>
      <c r="H130" s="27" t="n"/>
      <c r="I130" s="36" t="n"/>
    </row>
    <row r="131">
      <c r="B131" s="36" t="n"/>
      <c r="C131" s="36" t="n"/>
      <c r="D131" s="45" t="n"/>
      <c r="E131" s="47" t="n"/>
      <c r="F131" s="45" t="n"/>
      <c r="G131" s="29">
        <f>IF(AND($D131="",$F131=""),"",MAX(0,N($D131)-N($F131)))</f>
        <v/>
      </c>
      <c r="H131" s="27" t="n"/>
      <c r="I131" s="36" t="n"/>
    </row>
    <row r="132">
      <c r="B132" s="36" t="n"/>
      <c r="C132" s="36" t="n"/>
      <c r="D132" s="45" t="n"/>
      <c r="E132" s="47" t="n"/>
      <c r="F132" s="45" t="n"/>
      <c r="G132" s="29">
        <f>IF(AND($D132="",$F132=""),"",MAX(0,N($D132)-N($F132)))</f>
        <v/>
      </c>
      <c r="H132" s="27" t="n"/>
      <c r="I132" s="36" t="n"/>
    </row>
    <row r="133">
      <c r="B133" s="36" t="n"/>
      <c r="C133" s="36" t="n"/>
      <c r="D133" s="45" t="n"/>
      <c r="E133" s="47" t="n"/>
      <c r="F133" s="45" t="n"/>
      <c r="G133" s="29">
        <f>IF(AND($D133="",$F133=""),"",MAX(0,N($D133)-N($F133)))</f>
        <v/>
      </c>
      <c r="H133" s="27" t="n"/>
      <c r="I133" s="36" t="n"/>
    </row>
    <row r="134">
      <c r="B134" s="36" t="n"/>
      <c r="C134" s="36" t="n"/>
      <c r="D134" s="45" t="n"/>
      <c r="E134" s="47" t="n"/>
      <c r="F134" s="45" t="n"/>
      <c r="G134" s="29">
        <f>IF(AND($D134="",$F134=""),"",MAX(0,N($D134)-N($F134)))</f>
        <v/>
      </c>
      <c r="H134" s="27" t="n"/>
      <c r="I134" s="36" t="n"/>
    </row>
    <row r="135">
      <c r="B135" s="36" t="n"/>
      <c r="C135" s="36" t="n"/>
      <c r="D135" s="45" t="n"/>
      <c r="E135" s="47" t="n"/>
      <c r="F135" s="45" t="n"/>
      <c r="G135" s="29">
        <f>IF(AND($D135="",$F135=""),"",MAX(0,N($D135)-N($F135)))</f>
        <v/>
      </c>
      <c r="H135" s="27" t="n"/>
      <c r="I135" s="36" t="n"/>
    </row>
    <row r="136">
      <c r="B136" s="36" t="n"/>
      <c r="C136" s="36" t="n"/>
      <c r="D136" s="45" t="n"/>
      <c r="E136" s="47" t="n"/>
      <c r="F136" s="45" t="n"/>
      <c r="G136" s="29">
        <f>IF(AND($D136="",$F136=""),"",MAX(0,N($D136)-N($F136)))</f>
        <v/>
      </c>
      <c r="H136" s="27" t="n"/>
      <c r="I136" s="36" t="n"/>
    </row>
    <row r="137">
      <c r="B137" s="36" t="n"/>
      <c r="C137" s="36" t="n"/>
      <c r="D137" s="45" t="n"/>
      <c r="E137" s="47" t="n"/>
      <c r="F137" s="45" t="n"/>
      <c r="G137" s="29">
        <f>IF(AND($D137="",$F137=""),"",MAX(0,N($D137)-N($F137)))</f>
        <v/>
      </c>
      <c r="H137" s="27" t="n"/>
      <c r="I137" s="36" t="n"/>
    </row>
    <row r="138">
      <c r="B138" s="36" t="n"/>
      <c r="C138" s="36" t="n"/>
      <c r="D138" s="45" t="n"/>
      <c r="E138" s="47" t="n"/>
      <c r="F138" s="45" t="n"/>
      <c r="G138" s="29">
        <f>IF(AND($D138="",$F138=""),"",MAX(0,N($D138)-N($F138)))</f>
        <v/>
      </c>
      <c r="H138" s="27" t="n"/>
      <c r="I138" s="36" t="n"/>
    </row>
    <row r="139">
      <c r="B139" s="36" t="n"/>
      <c r="C139" s="36" t="n"/>
      <c r="D139" s="45" t="n"/>
      <c r="E139" s="47" t="n"/>
      <c r="F139" s="45" t="n"/>
      <c r="G139" s="29">
        <f>IF(AND($D139="",$F139=""),"",MAX(0,N($D139)-N($F139)))</f>
        <v/>
      </c>
      <c r="H139" s="27" t="n"/>
      <c r="I139" s="36" t="n"/>
    </row>
    <row r="140">
      <c r="B140" s="36" t="n"/>
      <c r="C140" s="36" t="n"/>
      <c r="D140" s="45" t="n"/>
      <c r="E140" s="47" t="n"/>
      <c r="F140" s="45" t="n"/>
      <c r="G140" s="29">
        <f>IF(AND($D140="",$F140=""),"",MAX(0,N($D140)-N($F140)))</f>
        <v/>
      </c>
      <c r="H140" s="27" t="n"/>
      <c r="I140" s="36" t="n"/>
    </row>
    <row r="141">
      <c r="B141" s="36" t="n"/>
      <c r="C141" s="36" t="n"/>
      <c r="D141" s="45" t="n"/>
      <c r="E141" s="47" t="n"/>
      <c r="F141" s="45" t="n"/>
      <c r="G141" s="29">
        <f>IF(AND($D141="",$F141=""),"",MAX(0,N($D141)-N($F141)))</f>
        <v/>
      </c>
      <c r="H141" s="27" t="n"/>
      <c r="I141" s="36" t="n"/>
    </row>
    <row r="142">
      <c r="B142" s="36" t="n"/>
      <c r="C142" s="36" t="n"/>
      <c r="D142" s="45" t="n"/>
      <c r="E142" s="47" t="n"/>
      <c r="F142" s="45" t="n"/>
      <c r="G142" s="29">
        <f>IF(AND($D142="",$F142=""),"",MAX(0,N($D142)-N($F142)))</f>
        <v/>
      </c>
      <c r="H142" s="27" t="n"/>
      <c r="I142" s="36" t="n"/>
    </row>
    <row r="143">
      <c r="B143" s="36" t="n"/>
      <c r="C143" s="36" t="n"/>
      <c r="D143" s="45" t="n"/>
      <c r="E143" s="47" t="n"/>
      <c r="F143" s="45" t="n"/>
      <c r="G143" s="29">
        <f>IF(AND($D143="",$F143=""),"",MAX(0,N($D143)-N($F143)))</f>
        <v/>
      </c>
      <c r="H143" s="27" t="n"/>
      <c r="I143" s="36" t="n"/>
    </row>
    <row r="144">
      <c r="B144" s="36" t="n"/>
      <c r="C144" s="36" t="n"/>
      <c r="D144" s="45" t="n"/>
      <c r="E144" s="47" t="n"/>
      <c r="F144" s="45" t="n"/>
      <c r="G144" s="29">
        <f>IF(AND($D144="",$F144=""),"",MAX(0,N($D144)-N($F144)))</f>
        <v/>
      </c>
      <c r="H144" s="27" t="n"/>
      <c r="I144" s="36" t="n"/>
    </row>
    <row r="145">
      <c r="B145" s="36" t="n"/>
      <c r="C145" s="36" t="n"/>
      <c r="D145" s="45" t="n"/>
      <c r="E145" s="47" t="n"/>
      <c r="F145" s="45" t="n"/>
      <c r="G145" s="29">
        <f>IF(AND($D145="",$F145=""),"",MAX(0,N($D145)-N($F145)))</f>
        <v/>
      </c>
      <c r="H145" s="27" t="n"/>
      <c r="I145" s="36" t="n"/>
    </row>
    <row r="146">
      <c r="B146" s="36" t="n"/>
      <c r="C146" s="36" t="n"/>
      <c r="D146" s="45" t="n"/>
      <c r="E146" s="47" t="n"/>
      <c r="F146" s="45" t="n"/>
      <c r="G146" s="29">
        <f>IF(AND($D146="",$F146=""),"",MAX(0,N($D146)-N($F146)))</f>
        <v/>
      </c>
      <c r="H146" s="27" t="n"/>
      <c r="I146" s="36" t="n"/>
    </row>
    <row r="147">
      <c r="B147" s="36" t="n"/>
      <c r="C147" s="36" t="n"/>
      <c r="D147" s="45" t="n"/>
      <c r="E147" s="47" t="n"/>
      <c r="F147" s="45" t="n"/>
      <c r="G147" s="29">
        <f>IF(AND($D147="",$F147=""),"",MAX(0,N($D147)-N($F147)))</f>
        <v/>
      </c>
      <c r="H147" s="27" t="n"/>
      <c r="I147" s="36" t="n"/>
    </row>
    <row r="148">
      <c r="B148" s="36" t="n"/>
      <c r="C148" s="36" t="n"/>
      <c r="D148" s="45" t="n"/>
      <c r="E148" s="47" t="n"/>
      <c r="F148" s="45" t="n"/>
      <c r="G148" s="29">
        <f>IF(AND($D148="",$F148=""),"",MAX(0,N($D148)-N($F148)))</f>
        <v/>
      </c>
      <c r="H148" s="27" t="n"/>
      <c r="I148" s="36" t="n"/>
    </row>
    <row r="149">
      <c r="B149" s="36" t="n"/>
      <c r="C149" s="36" t="n"/>
      <c r="D149" s="45" t="n"/>
      <c r="E149" s="47" t="n"/>
      <c r="F149" s="45" t="n"/>
      <c r="G149" s="29">
        <f>IF(AND($D149="",$F149=""),"",MAX(0,N($D149)-N($F149)))</f>
        <v/>
      </c>
      <c r="H149" s="27" t="n"/>
      <c r="I149" s="36" t="n"/>
    </row>
    <row r="150">
      <c r="B150" s="36" t="n"/>
      <c r="C150" s="36" t="n"/>
      <c r="D150" s="45" t="n"/>
      <c r="E150" s="47" t="n"/>
      <c r="F150" s="45" t="n"/>
      <c r="G150" s="29">
        <f>IF(AND($D150="",$F150=""),"",MAX(0,N($D150)-N($F150)))</f>
        <v/>
      </c>
      <c r="H150" s="27" t="n"/>
      <c r="I150" s="36" t="n"/>
    </row>
    <row r="151">
      <c r="B151" s="36" t="n"/>
      <c r="C151" s="36" t="n"/>
      <c r="D151" s="45" t="n"/>
      <c r="E151" s="47" t="n"/>
      <c r="F151" s="45" t="n"/>
      <c r="G151" s="29">
        <f>IF(AND($D151="",$F151=""),"",MAX(0,N($D151)-N($F151)))</f>
        <v/>
      </c>
      <c r="H151" s="27" t="n"/>
      <c r="I151" s="36" t="n"/>
    </row>
    <row r="152">
      <c r="B152" s="36" t="n"/>
      <c r="C152" s="36" t="n"/>
      <c r="D152" s="45" t="n"/>
      <c r="E152" s="47" t="n"/>
      <c r="F152" s="45" t="n"/>
      <c r="G152" s="29">
        <f>IF(AND($D152="",$F152=""),"",MAX(0,N($D152)-N($F152)))</f>
        <v/>
      </c>
      <c r="H152" s="27" t="n"/>
      <c r="I152" s="36" t="n"/>
    </row>
    <row r="153">
      <c r="B153" s="36" t="n"/>
      <c r="C153" s="36" t="n"/>
      <c r="D153" s="45" t="n"/>
      <c r="E153" s="47" t="n"/>
      <c r="F153" s="45" t="n"/>
      <c r="G153" s="29">
        <f>IF(AND($D153="",$F153=""),"",MAX(0,N($D153)-N($F153)))</f>
        <v/>
      </c>
      <c r="H153" s="27" t="n"/>
      <c r="I153" s="36" t="n"/>
    </row>
    <row r="154">
      <c r="B154" s="36" t="n"/>
      <c r="C154" s="36" t="n"/>
      <c r="D154" s="45" t="n"/>
      <c r="E154" s="47" t="n"/>
      <c r="F154" s="45" t="n"/>
      <c r="G154" s="29">
        <f>IF(AND($D154="",$F154=""),"",MAX(0,N($D154)-N($F154)))</f>
        <v/>
      </c>
      <c r="H154" s="27" t="n"/>
      <c r="I154" s="36" t="n"/>
    </row>
    <row r="155">
      <c r="B155" s="36" t="n"/>
      <c r="C155" s="36" t="n"/>
      <c r="D155" s="45" t="n"/>
      <c r="E155" s="47" t="n"/>
      <c r="F155" s="45" t="n"/>
      <c r="G155" s="29">
        <f>IF(AND($D155="",$F155=""),"",MAX(0,N($D155)-N($F155)))</f>
        <v/>
      </c>
      <c r="H155" s="27" t="n"/>
      <c r="I155" s="36" t="n"/>
    </row>
    <row r="156">
      <c r="B156" s="36" t="n"/>
      <c r="C156" s="36" t="n"/>
      <c r="D156" s="45" t="n"/>
      <c r="E156" s="47" t="n"/>
      <c r="F156" s="45" t="n"/>
      <c r="G156" s="29">
        <f>IF(AND($D156="",$F156=""),"",MAX(0,N($D156)-N($F156)))</f>
        <v/>
      </c>
      <c r="H156" s="27" t="n"/>
      <c r="I156" s="36" t="n"/>
    </row>
    <row r="157">
      <c r="B157" s="36" t="n"/>
      <c r="C157" s="36" t="n"/>
      <c r="D157" s="45" t="n"/>
      <c r="E157" s="47" t="n"/>
      <c r="F157" s="45" t="n"/>
      <c r="G157" s="29">
        <f>IF(AND($D157="",$F157=""),"",MAX(0,N($D157)-N($F157)))</f>
        <v/>
      </c>
      <c r="H157" s="27" t="n"/>
      <c r="I157" s="36" t="n"/>
    </row>
    <row r="158">
      <c r="B158" s="36" t="n"/>
      <c r="C158" s="36" t="n"/>
      <c r="D158" s="45" t="n"/>
      <c r="E158" s="47" t="n"/>
      <c r="F158" s="45" t="n"/>
      <c r="G158" s="29">
        <f>IF(AND($D158="",$F158=""),"",MAX(0,N($D158)-N($F158)))</f>
        <v/>
      </c>
      <c r="H158" s="27" t="n"/>
      <c r="I158" s="36" t="n"/>
    </row>
    <row r="159">
      <c r="B159" s="42" t="inlineStr">
        <is>
          <t>TOTAL</t>
        </is>
      </c>
      <c r="C159" s="42" t="n"/>
      <c r="D159" s="46">
        <f>SUM(D9:D158)</f>
        <v/>
      </c>
      <c r="E159" s="42" t="n"/>
      <c r="F159" s="46">
        <f>SUM(F9:F158)</f>
        <v/>
      </c>
      <c r="G159" s="46">
        <f>SUM(G9:G158)</f>
        <v/>
      </c>
      <c r="H159" s="42" t="n"/>
      <c r="I159" s="4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I158"/>
  <mergeCells count="2">
    <mergeCell ref="B1:I1"/>
    <mergeCell ref="B2:I2"/>
  </mergeCells>
  <conditionalFormatting sqref="H9:H158">
    <cfRule type="cellIs" priority="1" operator="equal" dxfId="0">
      <formula>"Paid"</formula>
    </cfRule>
    <cfRule type="cellIs" priority="2" operator="equal" dxfId="2">
      <formula>"Unpaid"</formula>
    </cfRule>
    <cfRule type="cellIs" priority="3" operator="equal" dxfId="1">
      <formula>"Deposit Paid"</formula>
    </cfRule>
    <cfRule type="cellIs" priority="4" operator="equal" dxfId="3">
      <formula>"Partially Paid"</formula>
    </cfRule>
  </conditionalFormatting>
  <dataValidations count="1">
    <dataValidation sqref="H9:H158" showDropDown="0" showInputMessage="0" showErrorMessage="0" allowBlank="1" type="list">
      <formula1>"Unpaid,Deposit Paid,Partially Paid,Paid"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88A47C"/>
    <outlinePr summaryBelow="1" summaryRight="1"/>
    <pageSetUpPr fitToPage="1"/>
  </sheetPr>
  <dimension ref="B1:G26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6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</cols>
  <sheetData>
    <row r="1" ht="30" customHeight="1">
      <c r="B1" s="1" t="inlineStr">
        <is>
          <t>📊  BUDGET BREAKDOWN BY CATEGORY</t>
        </is>
      </c>
      <c r="C1" s="2" t="n"/>
      <c r="D1" s="2" t="n"/>
      <c r="E1" s="2" t="n"/>
      <c r="F1" s="2" t="n"/>
      <c r="G1" s="3" t="n"/>
    </row>
    <row r="2" ht="15" customHeight="1">
      <c r="B2" s="4" t="inlineStr">
        <is>
          <t>Auto-totals from the Master Budget — with a live chart</t>
        </is>
      </c>
      <c r="C2" s="2" t="n"/>
      <c r="D2" s="2" t="n"/>
      <c r="E2" s="2" t="n"/>
      <c r="F2" s="2" t="n"/>
      <c r="G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Category</t>
        </is>
      </c>
      <c r="C8" s="35" t="inlineStr">
        <is>
          <t>Estimated 🔒</t>
        </is>
      </c>
      <c r="D8" s="35" t="inlineStr">
        <is>
          <t>Actual 🔒</t>
        </is>
      </c>
      <c r="E8" s="35" t="inlineStr">
        <is>
          <t>% of actual 🔒</t>
        </is>
      </c>
      <c r="F8" s="35" t="inlineStr">
        <is>
          <t>Notes</t>
        </is>
      </c>
    </row>
    <row r="9">
      <c r="B9" s="36" t="inlineStr">
        <is>
          <t>Venue &amp; rental</t>
        </is>
      </c>
      <c r="C9" s="29">
        <f>SUMIF('Master Budget'!$B$9:$B$30,$B9,'Master Budget'!$C$9:$C$30)</f>
        <v/>
      </c>
      <c r="D9" s="29">
        <f>SUMIF('Master Budget'!$B$9:$B$30,$B9,'Master Budget'!$D$9:$D$30)</f>
        <v/>
      </c>
      <c r="E9" s="30">
        <f>IF(SUM($D$9:$D$25)=0,"",IF($D9=0,"",$D9/SUM($D$9:$D$25)))</f>
        <v/>
      </c>
      <c r="F9" s="36" t="n"/>
    </row>
    <row r="10">
      <c r="B10" s="36" t="inlineStr">
        <is>
          <t>Catering &amp; bar</t>
        </is>
      </c>
      <c r="C10" s="29">
        <f>SUMIF('Master Budget'!$B$9:$B$30,$B10,'Master Budget'!$C$9:$C$30)</f>
        <v/>
      </c>
      <c r="D10" s="29">
        <f>SUMIF('Master Budget'!$B$9:$B$30,$B10,'Master Budget'!$D$9:$D$30)</f>
        <v/>
      </c>
      <c r="E10" s="30">
        <f>IF(SUM($D$9:$D$25)=0,"",IF($D10=0,"",$D10/SUM($D$9:$D$25)))</f>
        <v/>
      </c>
      <c r="F10" s="36" t="n"/>
    </row>
    <row r="11">
      <c r="B11" s="36" t="inlineStr">
        <is>
          <t>Wedding cake</t>
        </is>
      </c>
      <c r="C11" s="29">
        <f>SUMIF('Master Budget'!$B$9:$B$30,$B11,'Master Budget'!$C$9:$C$30)</f>
        <v/>
      </c>
      <c r="D11" s="29">
        <f>SUMIF('Master Budget'!$B$9:$B$30,$B11,'Master Budget'!$D$9:$D$30)</f>
        <v/>
      </c>
      <c r="E11" s="30">
        <f>IF(SUM($D$9:$D$25)=0,"",IF($D11=0,"",$D11/SUM($D$9:$D$25)))</f>
        <v/>
      </c>
      <c r="F11" s="36" t="n"/>
    </row>
    <row r="12">
      <c r="B12" s="36" t="inlineStr">
        <is>
          <t>Bridal attire</t>
        </is>
      </c>
      <c r="C12" s="29">
        <f>SUMIF('Master Budget'!$B$9:$B$30,$B12,'Master Budget'!$C$9:$C$30)</f>
        <v/>
      </c>
      <c r="D12" s="29">
        <f>SUMIF('Master Budget'!$B$9:$B$30,$B12,'Master Budget'!$D$9:$D$30)</f>
        <v/>
      </c>
      <c r="E12" s="30">
        <f>IF(SUM($D$9:$D$25)=0,"",IF($D12=0,"",$D12/SUM($D$9:$D$25)))</f>
        <v/>
      </c>
      <c r="F12" s="36" t="n"/>
    </row>
    <row r="13">
      <c r="B13" s="36" t="inlineStr">
        <is>
          <t>Groom &amp; party attire</t>
        </is>
      </c>
      <c r="C13" s="29">
        <f>SUMIF('Master Budget'!$B$9:$B$30,$B13,'Master Budget'!$C$9:$C$30)</f>
        <v/>
      </c>
      <c r="D13" s="29">
        <f>SUMIF('Master Budget'!$B$9:$B$30,$B13,'Master Budget'!$D$9:$D$30)</f>
        <v/>
      </c>
      <c r="E13" s="30">
        <f>IF(SUM($D$9:$D$25)=0,"",IF($D13=0,"",$D13/SUM($D$9:$D$25)))</f>
        <v/>
      </c>
      <c r="F13" s="36" t="n"/>
    </row>
    <row r="14">
      <c r="B14" s="36" t="inlineStr">
        <is>
          <t>Hair &amp; makeup</t>
        </is>
      </c>
      <c r="C14" s="29">
        <f>SUMIF('Master Budget'!$B$9:$B$30,$B14,'Master Budget'!$C$9:$C$30)</f>
        <v/>
      </c>
      <c r="D14" s="29">
        <f>SUMIF('Master Budget'!$B$9:$B$30,$B14,'Master Budget'!$D$9:$D$30)</f>
        <v/>
      </c>
      <c r="E14" s="30">
        <f>IF(SUM($D$9:$D$25)=0,"",IF($D14=0,"",$D14/SUM($D$9:$D$25)))</f>
        <v/>
      </c>
      <c r="F14" s="36" t="n"/>
    </row>
    <row r="15">
      <c r="B15" s="36" t="inlineStr">
        <is>
          <t>Flowers &amp; décor</t>
        </is>
      </c>
      <c r="C15" s="29">
        <f>SUMIF('Master Budget'!$B$9:$B$30,$B15,'Master Budget'!$C$9:$C$30)</f>
        <v/>
      </c>
      <c r="D15" s="29">
        <f>SUMIF('Master Budget'!$B$9:$B$30,$B15,'Master Budget'!$D$9:$D$30)</f>
        <v/>
      </c>
      <c r="E15" s="30">
        <f>IF(SUM($D$9:$D$25)=0,"",IF($D15=0,"",$D15/SUM($D$9:$D$25)))</f>
        <v/>
      </c>
      <c r="F15" s="36" t="n"/>
    </row>
    <row r="16">
      <c r="B16" s="36" t="inlineStr">
        <is>
          <t>Photography</t>
        </is>
      </c>
      <c r="C16" s="29">
        <f>SUMIF('Master Budget'!$B$9:$B$30,$B16,'Master Budget'!$C$9:$C$30)</f>
        <v/>
      </c>
      <c r="D16" s="29">
        <f>SUMIF('Master Budget'!$B$9:$B$30,$B16,'Master Budget'!$D$9:$D$30)</f>
        <v/>
      </c>
      <c r="E16" s="30">
        <f>IF(SUM($D$9:$D$25)=0,"",IF($D16=0,"",$D16/SUM($D$9:$D$25)))</f>
        <v/>
      </c>
      <c r="F16" s="36" t="n"/>
    </row>
    <row r="17">
      <c r="B17" s="36" t="inlineStr">
        <is>
          <t>Videography</t>
        </is>
      </c>
      <c r="C17" s="29">
        <f>SUMIF('Master Budget'!$B$9:$B$30,$B17,'Master Budget'!$C$9:$C$30)</f>
        <v/>
      </c>
      <c r="D17" s="29">
        <f>SUMIF('Master Budget'!$B$9:$B$30,$B17,'Master Budget'!$D$9:$D$30)</f>
        <v/>
      </c>
      <c r="E17" s="30">
        <f>IF(SUM($D$9:$D$25)=0,"",IF($D17=0,"",$D17/SUM($D$9:$D$25)))</f>
        <v/>
      </c>
      <c r="F17" s="36" t="n"/>
    </row>
    <row r="18">
      <c r="B18" s="36" t="inlineStr">
        <is>
          <t>Music / DJ / band</t>
        </is>
      </c>
      <c r="C18" s="29">
        <f>SUMIF('Master Budget'!$B$9:$B$30,$B18,'Master Budget'!$C$9:$C$30)</f>
        <v/>
      </c>
      <c r="D18" s="29">
        <f>SUMIF('Master Budget'!$B$9:$B$30,$B18,'Master Budget'!$D$9:$D$30)</f>
        <v/>
      </c>
      <c r="E18" s="30">
        <f>IF(SUM($D$9:$D$25)=0,"",IF($D18=0,"",$D18/SUM($D$9:$D$25)))</f>
        <v/>
      </c>
      <c r="F18" s="36" t="n"/>
    </row>
    <row r="19">
      <c r="B19" s="36" t="inlineStr">
        <is>
          <t>Ceremony &amp; officiant</t>
        </is>
      </c>
      <c r="C19" s="29">
        <f>SUMIF('Master Budget'!$B$9:$B$30,$B19,'Master Budget'!$C$9:$C$30)</f>
        <v/>
      </c>
      <c r="D19" s="29">
        <f>SUMIF('Master Budget'!$B$9:$B$30,$B19,'Master Budget'!$D$9:$D$30)</f>
        <v/>
      </c>
      <c r="E19" s="30">
        <f>IF(SUM($D$9:$D$25)=0,"",IF($D19=0,"",$D19/SUM($D$9:$D$25)))</f>
        <v/>
      </c>
      <c r="F19" s="36" t="n"/>
    </row>
    <row r="20">
      <c r="B20" s="36" t="inlineStr">
        <is>
          <t>Stationery &amp; postage</t>
        </is>
      </c>
      <c r="C20" s="29">
        <f>SUMIF('Master Budget'!$B$9:$B$30,$B20,'Master Budget'!$C$9:$C$30)</f>
        <v/>
      </c>
      <c r="D20" s="29">
        <f>SUMIF('Master Budget'!$B$9:$B$30,$B20,'Master Budget'!$D$9:$D$30)</f>
        <v/>
      </c>
      <c r="E20" s="30">
        <f>IF(SUM($D$9:$D$25)=0,"",IF($D20=0,"",$D20/SUM($D$9:$D$25)))</f>
        <v/>
      </c>
      <c r="F20" s="36" t="n"/>
    </row>
    <row r="21">
      <c r="B21" s="36" t="inlineStr">
        <is>
          <t>Favors &amp; gifts</t>
        </is>
      </c>
      <c r="C21" s="29">
        <f>SUMIF('Master Budget'!$B$9:$B$30,$B21,'Master Budget'!$C$9:$C$30)</f>
        <v/>
      </c>
      <c r="D21" s="29">
        <f>SUMIF('Master Budget'!$B$9:$B$30,$B21,'Master Budget'!$D$9:$D$30)</f>
        <v/>
      </c>
      <c r="E21" s="30">
        <f>IF(SUM($D$9:$D$25)=0,"",IF($D21=0,"",$D21/SUM($D$9:$D$25)))</f>
        <v/>
      </c>
      <c r="F21" s="36" t="n"/>
    </row>
    <row r="22">
      <c r="B22" s="36" t="inlineStr">
        <is>
          <t>Rings</t>
        </is>
      </c>
      <c r="C22" s="29">
        <f>SUMIF('Master Budget'!$B$9:$B$30,$B22,'Master Budget'!$C$9:$C$30)</f>
        <v/>
      </c>
      <c r="D22" s="29">
        <f>SUMIF('Master Budget'!$B$9:$B$30,$B22,'Master Budget'!$D$9:$D$30)</f>
        <v/>
      </c>
      <c r="E22" s="30">
        <f>IF(SUM($D$9:$D$25)=0,"",IF($D22=0,"",$D22/SUM($D$9:$D$25)))</f>
        <v/>
      </c>
      <c r="F22" s="36" t="n"/>
    </row>
    <row r="23">
      <c r="B23" s="36" t="inlineStr">
        <is>
          <t>Transportation</t>
        </is>
      </c>
      <c r="C23" s="29">
        <f>SUMIF('Master Budget'!$B$9:$B$30,$B23,'Master Budget'!$C$9:$C$30)</f>
        <v/>
      </c>
      <c r="D23" s="29">
        <f>SUMIF('Master Budget'!$B$9:$B$30,$B23,'Master Budget'!$D$9:$D$30)</f>
        <v/>
      </c>
      <c r="E23" s="30">
        <f>IF(SUM($D$9:$D$25)=0,"",IF($D23=0,"",$D23/SUM($D$9:$D$25)))</f>
        <v/>
      </c>
      <c r="F23" s="36" t="n"/>
    </row>
    <row r="24">
      <c r="B24" s="36" t="inlineStr">
        <is>
          <t>Honeymoon</t>
        </is>
      </c>
      <c r="C24" s="29">
        <f>SUMIF('Master Budget'!$B$9:$B$30,$B24,'Master Budget'!$C$9:$C$30)</f>
        <v/>
      </c>
      <c r="D24" s="29">
        <f>SUMIF('Master Budget'!$B$9:$B$30,$B24,'Master Budget'!$D$9:$D$30)</f>
        <v/>
      </c>
      <c r="E24" s="30">
        <f>IF(SUM($D$9:$D$25)=0,"",IF($D24=0,"",$D24/SUM($D$9:$D$25)))</f>
        <v/>
      </c>
      <c r="F24" s="36" t="n"/>
    </row>
    <row r="25">
      <c r="B25" s="36" t="inlineStr">
        <is>
          <t>Other / contingency</t>
        </is>
      </c>
      <c r="C25" s="29">
        <f>SUMIF('Master Budget'!$B$9:$B$30,$B25,'Master Budget'!$C$9:$C$30)</f>
        <v/>
      </c>
      <c r="D25" s="29">
        <f>SUMIF('Master Budget'!$B$9:$B$30,$B25,'Master Budget'!$D$9:$D$30)</f>
        <v/>
      </c>
      <c r="E25" s="30">
        <f>IF(SUM($D$9:$D$25)=0,"",IF($D25=0,"",$D25/SUM($D$9:$D$25)))</f>
        <v/>
      </c>
      <c r="F25" s="36" t="n"/>
    </row>
    <row r="26">
      <c r="B26" s="42" t="inlineStr">
        <is>
          <t>TOTAL</t>
        </is>
      </c>
      <c r="C26" s="46">
        <f>SUM(C9:C25)</f>
        <v/>
      </c>
      <c r="D26" s="46">
        <f>SUM(D9:D25)</f>
        <v/>
      </c>
      <c r="E26" s="43">
        <f>SUM(E9:E25)</f>
        <v/>
      </c>
      <c r="F26" s="4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F25"/>
  <mergeCells count="2">
    <mergeCell ref="B2:G2"/>
    <mergeCell ref="B1:G1"/>
  </mergeCell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88A47C"/>
    <outlinePr summaryBelow="1" summaryRight="1"/>
    <pageSetUpPr fitToPage="1"/>
  </sheetPr>
  <dimension ref="B1:G42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4" customWidth="1" min="2" max="2"/>
    <col width="24" customWidth="1" min="3" max="3"/>
    <col width="14" customWidth="1" min="4" max="4"/>
    <col width="14" customWidth="1" min="5" max="5"/>
    <col width="14" customWidth="1" min="6" max="6"/>
    <col width="24" customWidth="1" min="7" max="7"/>
  </cols>
  <sheetData>
    <row r="1" ht="30" customHeight="1">
      <c r="B1" s="1" t="inlineStr">
        <is>
          <t>🤝  CASH FUND &amp; CONTRIBUTIONS</t>
        </is>
      </c>
      <c r="C1" s="2" t="n"/>
      <c r="D1" s="2" t="n"/>
      <c r="E1" s="2" t="n"/>
      <c r="F1" s="2" t="n"/>
      <c r="G1" s="3" t="n"/>
    </row>
    <row r="2" ht="15" customHeight="1">
      <c r="B2" s="4" t="inlineStr">
        <is>
          <t>Who is contributing what towards the wedding</t>
        </is>
      </c>
      <c r="C2" s="2" t="n"/>
      <c r="D2" s="2" t="n"/>
      <c r="E2" s="2" t="n"/>
      <c r="F2" s="2" t="n"/>
      <c r="G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Contributor</t>
        </is>
      </c>
      <c r="C8" s="35" t="inlineStr">
        <is>
          <t>Side / relationship</t>
        </is>
      </c>
      <c r="D8" s="35" t="inlineStr">
        <is>
          <t>Amount</t>
        </is>
      </c>
      <c r="E8" s="35" t="inlineStr">
        <is>
          <t>Received?</t>
        </is>
      </c>
      <c r="F8" s="35" t="inlineStr">
        <is>
          <t>Date received</t>
        </is>
      </c>
      <c r="G8" s="35" t="inlineStr">
        <is>
          <t>Notes</t>
        </is>
      </c>
    </row>
    <row r="9">
      <c r="B9" s="36" t="inlineStr">
        <is>
          <t>Mom &amp; Dad Morgan</t>
        </is>
      </c>
      <c r="C9" s="36" t="inlineStr">
        <is>
          <t>Bride's parents</t>
        </is>
      </c>
      <c r="D9" s="45" t="n">
        <v>5000</v>
      </c>
      <c r="E9" s="27" t="inlineStr">
        <is>
          <t>Yes</t>
        </is>
      </c>
      <c r="F9" s="47" t="n">
        <v>46277</v>
      </c>
      <c r="G9" s="36" t="n"/>
    </row>
    <row r="10">
      <c r="B10" s="36" t="inlineStr">
        <is>
          <t>Mom &amp; Dad Lee</t>
        </is>
      </c>
      <c r="C10" s="36" t="inlineStr">
        <is>
          <t>Groom's parents</t>
        </is>
      </c>
      <c r="D10" s="45" t="n">
        <v>5000</v>
      </c>
      <c r="E10" s="27" t="inlineStr">
        <is>
          <t>Yes</t>
        </is>
      </c>
      <c r="F10" s="47" t="n">
        <v>46298</v>
      </c>
      <c r="G10" s="36" t="n"/>
    </row>
    <row r="11">
      <c r="B11" s="36" t="inlineStr">
        <is>
          <t>Grandma Rose</t>
        </is>
      </c>
      <c r="C11" s="36" t="inlineStr">
        <is>
          <t>Bride's grandmother</t>
        </is>
      </c>
      <c r="D11" s="45" t="n">
        <v>500</v>
      </c>
      <c r="E11" s="27" t="inlineStr">
        <is>
          <t>Pending</t>
        </is>
      </c>
      <c r="F11" s="47" t="n"/>
      <c r="G11" s="36" t="n"/>
    </row>
    <row r="12">
      <c r="B12" s="36" t="inlineStr">
        <is>
          <t>Self-funded</t>
        </is>
      </c>
      <c r="C12" s="36" t="inlineStr">
        <is>
          <t>The couple</t>
        </is>
      </c>
      <c r="D12" s="45" t="n">
        <v>6000</v>
      </c>
      <c r="E12" s="27" t="inlineStr">
        <is>
          <t>No</t>
        </is>
      </c>
      <c r="F12" s="47" t="n"/>
      <c r="G12" s="36" t="n"/>
    </row>
    <row r="13">
      <c r="B13" s="36" t="n"/>
      <c r="C13" s="36" t="n"/>
      <c r="D13" s="45" t="n"/>
      <c r="E13" s="27" t="n"/>
      <c r="F13" s="47" t="n"/>
      <c r="G13" s="36" t="n"/>
    </row>
    <row r="14">
      <c r="B14" s="36" t="n"/>
      <c r="C14" s="36" t="n"/>
      <c r="D14" s="45" t="n"/>
      <c r="E14" s="27" t="n"/>
      <c r="F14" s="47" t="n"/>
      <c r="G14" s="36" t="n"/>
    </row>
    <row r="15">
      <c r="B15" s="36" t="n"/>
      <c r="C15" s="36" t="n"/>
      <c r="D15" s="45" t="n"/>
      <c r="E15" s="27" t="n"/>
      <c r="F15" s="47" t="n"/>
      <c r="G15" s="36" t="n"/>
    </row>
    <row r="16">
      <c r="B16" s="36" t="n"/>
      <c r="C16" s="36" t="n"/>
      <c r="D16" s="45" t="n"/>
      <c r="E16" s="27" t="n"/>
      <c r="F16" s="47" t="n"/>
      <c r="G16" s="36" t="n"/>
    </row>
    <row r="17">
      <c r="B17" s="36" t="n"/>
      <c r="C17" s="36" t="n"/>
      <c r="D17" s="45" t="n"/>
      <c r="E17" s="27" t="n"/>
      <c r="F17" s="47" t="n"/>
      <c r="G17" s="36" t="n"/>
    </row>
    <row r="18">
      <c r="B18" s="36" t="n"/>
      <c r="C18" s="36" t="n"/>
      <c r="D18" s="45" t="n"/>
      <c r="E18" s="27" t="n"/>
      <c r="F18" s="47" t="n"/>
      <c r="G18" s="36" t="n"/>
    </row>
    <row r="19">
      <c r="B19" s="36" t="n"/>
      <c r="C19" s="36" t="n"/>
      <c r="D19" s="45" t="n"/>
      <c r="E19" s="27" t="n"/>
      <c r="F19" s="47" t="n"/>
      <c r="G19" s="36" t="n"/>
    </row>
    <row r="20">
      <c r="B20" s="36" t="n"/>
      <c r="C20" s="36" t="n"/>
      <c r="D20" s="45" t="n"/>
      <c r="E20" s="27" t="n"/>
      <c r="F20" s="47" t="n"/>
      <c r="G20" s="36" t="n"/>
    </row>
    <row r="21">
      <c r="B21" s="36" t="n"/>
      <c r="C21" s="36" t="n"/>
      <c r="D21" s="45" t="n"/>
      <c r="E21" s="27" t="n"/>
      <c r="F21" s="47" t="n"/>
      <c r="G21" s="36" t="n"/>
    </row>
    <row r="22">
      <c r="B22" s="36" t="n"/>
      <c r="C22" s="36" t="n"/>
      <c r="D22" s="45" t="n"/>
      <c r="E22" s="27" t="n"/>
      <c r="F22" s="47" t="n"/>
      <c r="G22" s="36" t="n"/>
    </row>
    <row r="23">
      <c r="B23" s="36" t="n"/>
      <c r="C23" s="36" t="n"/>
      <c r="D23" s="45" t="n"/>
      <c r="E23" s="27" t="n"/>
      <c r="F23" s="47" t="n"/>
      <c r="G23" s="36" t="n"/>
    </row>
    <row r="24">
      <c r="B24" s="36" t="n"/>
      <c r="C24" s="36" t="n"/>
      <c r="D24" s="45" t="n"/>
      <c r="E24" s="27" t="n"/>
      <c r="F24" s="47" t="n"/>
      <c r="G24" s="36" t="n"/>
    </row>
    <row r="25">
      <c r="B25" s="36" t="n"/>
      <c r="C25" s="36" t="n"/>
      <c r="D25" s="45" t="n"/>
      <c r="E25" s="27" t="n"/>
      <c r="F25" s="47" t="n"/>
      <c r="G25" s="36" t="n"/>
    </row>
    <row r="26">
      <c r="B26" s="36" t="n"/>
      <c r="C26" s="36" t="n"/>
      <c r="D26" s="45" t="n"/>
      <c r="E26" s="27" t="n"/>
      <c r="F26" s="47" t="n"/>
      <c r="G26" s="36" t="n"/>
    </row>
    <row r="27">
      <c r="B27" s="36" t="n"/>
      <c r="C27" s="36" t="n"/>
      <c r="D27" s="45" t="n"/>
      <c r="E27" s="27" t="n"/>
      <c r="F27" s="47" t="n"/>
      <c r="G27" s="36" t="n"/>
    </row>
    <row r="28">
      <c r="B28" s="36" t="n"/>
      <c r="C28" s="36" t="n"/>
      <c r="D28" s="45" t="n"/>
      <c r="E28" s="27" t="n"/>
      <c r="F28" s="47" t="n"/>
      <c r="G28" s="36" t="n"/>
    </row>
    <row r="29">
      <c r="B29" s="36" t="n"/>
      <c r="C29" s="36" t="n"/>
      <c r="D29" s="45" t="n"/>
      <c r="E29" s="27" t="n"/>
      <c r="F29" s="47" t="n"/>
      <c r="G29" s="36" t="n"/>
    </row>
    <row r="30">
      <c r="B30" s="36" t="n"/>
      <c r="C30" s="36" t="n"/>
      <c r="D30" s="45" t="n"/>
      <c r="E30" s="27" t="n"/>
      <c r="F30" s="47" t="n"/>
      <c r="G30" s="36" t="n"/>
    </row>
    <row r="31">
      <c r="B31" s="36" t="n"/>
      <c r="C31" s="36" t="n"/>
      <c r="D31" s="45" t="n"/>
      <c r="E31" s="27" t="n"/>
      <c r="F31" s="47" t="n"/>
      <c r="G31" s="36" t="n"/>
    </row>
    <row r="32">
      <c r="B32" s="36" t="n"/>
      <c r="C32" s="36" t="n"/>
      <c r="D32" s="45" t="n"/>
      <c r="E32" s="27" t="n"/>
      <c r="F32" s="47" t="n"/>
      <c r="G32" s="36" t="n"/>
    </row>
    <row r="33">
      <c r="B33" s="36" t="n"/>
      <c r="C33" s="36" t="n"/>
      <c r="D33" s="45" t="n"/>
      <c r="E33" s="27" t="n"/>
      <c r="F33" s="47" t="n"/>
      <c r="G33" s="36" t="n"/>
    </row>
    <row r="34">
      <c r="B34" s="36" t="n"/>
      <c r="C34" s="36" t="n"/>
      <c r="D34" s="45" t="n"/>
      <c r="E34" s="27" t="n"/>
      <c r="F34" s="47" t="n"/>
      <c r="G34" s="36" t="n"/>
    </row>
    <row r="35">
      <c r="B35" s="36" t="n"/>
      <c r="C35" s="36" t="n"/>
      <c r="D35" s="45" t="n"/>
      <c r="E35" s="27" t="n"/>
      <c r="F35" s="47" t="n"/>
      <c r="G35" s="36" t="n"/>
    </row>
    <row r="36">
      <c r="B36" s="36" t="n"/>
      <c r="C36" s="36" t="n"/>
      <c r="D36" s="45" t="n"/>
      <c r="E36" s="27" t="n"/>
      <c r="F36" s="47" t="n"/>
      <c r="G36" s="36" t="n"/>
    </row>
    <row r="37">
      <c r="B37" s="36" t="n"/>
      <c r="C37" s="36" t="n"/>
      <c r="D37" s="45" t="n"/>
      <c r="E37" s="27" t="n"/>
      <c r="F37" s="47" t="n"/>
      <c r="G37" s="36" t="n"/>
    </row>
    <row r="38">
      <c r="B38" s="36" t="n"/>
      <c r="C38" s="36" t="n"/>
      <c r="D38" s="45" t="n"/>
      <c r="E38" s="27" t="n"/>
      <c r="F38" s="47" t="n"/>
      <c r="G38" s="36" t="n"/>
    </row>
    <row r="39">
      <c r="B39" s="42" t="inlineStr">
        <is>
          <t>TOTAL</t>
        </is>
      </c>
      <c r="C39" s="42" t="n"/>
      <c r="D39" s="46">
        <f>SUM(D9:D38)</f>
        <v/>
      </c>
      <c r="E39" s="42" t="n"/>
      <c r="F39" s="42" t="n"/>
      <c r="G39" s="42" t="n"/>
    </row>
    <row r="41">
      <c r="B41" s="8" t="inlineStr">
        <is>
          <t>Total wedding budget</t>
        </is>
      </c>
      <c r="C41" s="29">
        <f>'Master Budget'!$C$31</f>
        <v/>
      </c>
    </row>
    <row r="42">
      <c r="B42" s="8" t="inlineStr">
        <is>
          <t>Still needed to fund</t>
        </is>
      </c>
      <c r="C42" s="29">
        <f>MAX(0,N('Master Budget'!$C$31)-N($D$39))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G38"/>
  <mergeCells count="2">
    <mergeCell ref="B2:G2"/>
    <mergeCell ref="B1:G1"/>
  </mergeCells>
  <conditionalFormatting sqref="E9:E38">
    <cfRule type="cellIs" priority="1" operator="equal" dxfId="0">
      <formula>"Yes"</formula>
    </cfRule>
    <cfRule type="cellIs" priority="2" operator="equal" dxfId="1">
      <formula>"Pending"</formula>
    </cfRule>
  </conditionalFormatting>
  <dataValidations count="1">
    <dataValidation sqref="E9:E38" showDropDown="0" showInputMessage="0" showErrorMessage="0" allowBlank="1" type="list">
      <formula1>"Yes,No,Pending"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D98BA3"/>
    <outlinePr summaryBelow="1" summaryRight="1"/>
    <pageSetUpPr fitToPage="1"/>
  </sheetPr>
  <dimension ref="B1:L20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2" customWidth="1" min="2" max="2"/>
    <col width="14" customWidth="1" min="3" max="3"/>
    <col width="16" customWidth="1" min="4" max="4"/>
    <col width="22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8" customWidth="1" min="12" max="12"/>
  </cols>
  <sheetData>
    <row r="1" ht="30" customHeight="1">
      <c r="B1" s="1" t="inlineStr">
        <is>
          <t>💌  GUEST LIST MASTER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15" customHeight="1">
      <c r="B2" s="4" t="inlineStr">
        <is>
          <t>RSVP status, meal choice, +1s &amp; table numbers — feeds the other guest tabs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5">
      <c r="B5" s="8" t="inlineStr">
        <is>
          <t>INVITED</t>
        </is>
      </c>
      <c r="C5" s="31">
        <f>SUMPRODUCT(($B$9:$B$208&lt;&gt;"")*1)</f>
        <v/>
      </c>
      <c r="D5" s="8" t="inlineStr">
        <is>
          <t>CONFIRMED</t>
        </is>
      </c>
      <c r="E5" s="31">
        <f>COUNTIF($G$9:$G$208,"Confirmed")</f>
        <v/>
      </c>
      <c r="F5" s="8" t="inlineStr">
        <is>
          <t>DECLINED</t>
        </is>
      </c>
      <c r="G5" s="31">
        <f>COUNTIF($G$9:$G$208,"Declined")</f>
        <v/>
      </c>
      <c r="H5" s="8" t="inlineStr">
        <is>
          <t>AWAITING</t>
        </is>
      </c>
      <c r="I5" s="31">
        <f>$C$5-$E$5-$G$5</f>
        <v/>
      </c>
    </row>
    <row r="6">
      <c r="B6" s="8" t="inlineStr">
        <is>
          <t>WITH +1</t>
        </is>
      </c>
      <c r="C6" s="31">
        <f>COUNTIF($I$9:$I$208,"Yes")</f>
        <v/>
      </c>
      <c r="D6" s="8" t="inlineStr">
        <is>
          <t>MEALS SET</t>
        </is>
      </c>
      <c r="E6" s="31">
        <f>SUMPRODUCT(($H$9:$H$208&lt;&gt;"")*($H$9:$H$208&lt;&gt;"TBD"))</f>
        <v/>
      </c>
      <c r="F6" s="8" t="inlineStr">
        <is>
          <t>TABLES USED</t>
        </is>
      </c>
      <c r="G6" s="31">
        <f>SUMPRODUCT(($K$9:$K$208&lt;&gt;"")*1)</f>
        <v/>
      </c>
      <c r="H6" s="8" t="inlineStr">
        <is>
          <t>ADDRESSES SET</t>
        </is>
      </c>
      <c r="I6" s="31">
        <f>SUMPRODUCT(($E$9:$E$208&lt;&gt;"")*1)</f>
        <v/>
      </c>
    </row>
    <row r="8" ht="26" customHeight="1">
      <c r="B8" s="35" t="inlineStr">
        <is>
          <t>Guest name</t>
        </is>
      </c>
      <c r="C8" s="35" t="inlineStr">
        <is>
          <t>Side</t>
        </is>
      </c>
      <c r="D8" s="35" t="inlineStr">
        <is>
          <t>Group / family</t>
        </is>
      </c>
      <c r="E8" s="35" t="inlineStr">
        <is>
          <t>Street address</t>
        </is>
      </c>
      <c r="F8" s="35" t="inlineStr">
        <is>
          <t>City / state</t>
        </is>
      </c>
      <c r="G8" s="35" t="inlineStr">
        <is>
          <t>RSVP status</t>
        </is>
      </c>
      <c r="H8" s="35" t="inlineStr">
        <is>
          <t>Meal choice</t>
        </is>
      </c>
      <c r="I8" s="35" t="inlineStr">
        <is>
          <t>+1?</t>
        </is>
      </c>
      <c r="J8" s="35" t="inlineStr">
        <is>
          <t>+1 name</t>
        </is>
      </c>
      <c r="K8" s="35" t="inlineStr">
        <is>
          <t>Table #</t>
        </is>
      </c>
      <c r="L8" s="35" t="inlineStr">
        <is>
          <t>Notes</t>
        </is>
      </c>
    </row>
    <row r="9">
      <c r="B9" s="36" t="inlineStr">
        <is>
          <t>Ava Thompson</t>
        </is>
      </c>
      <c r="C9" s="27" t="inlineStr">
        <is>
          <t>Bride</t>
        </is>
      </c>
      <c r="D9" s="36" t="inlineStr">
        <is>
          <t>College friends</t>
        </is>
      </c>
      <c r="E9" s="36" t="inlineStr">
        <is>
          <t>12 Maple Ave</t>
        </is>
      </c>
      <c r="F9" s="36" t="inlineStr">
        <is>
          <t>Asheville, NC</t>
        </is>
      </c>
      <c r="G9" s="27" t="inlineStr">
        <is>
          <t>Confirmed</t>
        </is>
      </c>
      <c r="H9" s="27" t="inlineStr">
        <is>
          <t>Chicken</t>
        </is>
      </c>
      <c r="I9" s="27" t="inlineStr">
        <is>
          <t>Yes</t>
        </is>
      </c>
      <c r="J9" s="36" t="inlineStr">
        <is>
          <t>Chris Thompson</t>
        </is>
      </c>
      <c r="K9" s="27" t="n">
        <v>3</v>
      </c>
      <c r="L9" s="36" t="n"/>
    </row>
    <row r="10">
      <c r="B10" s="36" t="inlineStr">
        <is>
          <t>Noah Bennett</t>
        </is>
      </c>
      <c r="C10" s="27" t="inlineStr">
        <is>
          <t>Groom</t>
        </is>
      </c>
      <c r="D10" s="36" t="inlineStr">
        <is>
          <t>Family</t>
        </is>
      </c>
      <c r="E10" s="36" t="inlineStr">
        <is>
          <t>88 Birch Rd</t>
        </is>
      </c>
      <c r="F10" s="36" t="inlineStr">
        <is>
          <t>Raleigh, NC</t>
        </is>
      </c>
      <c r="G10" s="27" t="inlineStr">
        <is>
          <t>Confirmed</t>
        </is>
      </c>
      <c r="H10" s="27" t="inlineStr">
        <is>
          <t>Beef</t>
        </is>
      </c>
      <c r="I10" s="27" t="inlineStr">
        <is>
          <t>No</t>
        </is>
      </c>
      <c r="J10" s="36" t="n"/>
      <c r="K10" s="27" t="n">
        <v>5</v>
      </c>
      <c r="L10" s="36" t="n"/>
    </row>
    <row r="11">
      <c r="B11" s="36" t="inlineStr">
        <is>
          <t>Olivia Carter</t>
        </is>
      </c>
      <c r="C11" s="27" t="inlineStr">
        <is>
          <t>Bride</t>
        </is>
      </c>
      <c r="D11" s="36" t="inlineStr">
        <is>
          <t>Family</t>
        </is>
      </c>
      <c r="E11" s="36" t="inlineStr">
        <is>
          <t>4 Fern Hollow</t>
        </is>
      </c>
      <c r="F11" s="36" t="inlineStr">
        <is>
          <t>Asheville, NC</t>
        </is>
      </c>
      <c r="G11" s="27" t="inlineStr">
        <is>
          <t>Confirmed</t>
        </is>
      </c>
      <c r="H11" s="27" t="inlineStr">
        <is>
          <t>Vegetarian</t>
        </is>
      </c>
      <c r="I11" s="27" t="inlineStr">
        <is>
          <t>No</t>
        </is>
      </c>
      <c r="J11" s="36" t="n"/>
      <c r="K11" s="27" t="n">
        <v>2</v>
      </c>
      <c r="L11" s="36" t="n"/>
    </row>
    <row r="12">
      <c r="B12" s="36" t="inlineStr">
        <is>
          <t>Liam Nguyen</t>
        </is>
      </c>
      <c r="C12" s="27" t="inlineStr">
        <is>
          <t>Groom</t>
        </is>
      </c>
      <c r="D12" s="36" t="inlineStr">
        <is>
          <t>College friends</t>
        </is>
      </c>
      <c r="E12" s="36" t="inlineStr">
        <is>
          <t>210 Cedar Ct</t>
        </is>
      </c>
      <c r="F12" s="36" t="inlineStr">
        <is>
          <t>Durham, NC</t>
        </is>
      </c>
      <c r="G12" s="27" t="inlineStr">
        <is>
          <t>Pending</t>
        </is>
      </c>
      <c r="H12" s="27" t="inlineStr">
        <is>
          <t>TBD</t>
        </is>
      </c>
      <c r="I12" s="27" t="inlineStr">
        <is>
          <t>No</t>
        </is>
      </c>
      <c r="J12" s="36" t="n"/>
      <c r="K12" s="27" t="n"/>
      <c r="L12" s="36" t="n"/>
    </row>
    <row r="13">
      <c r="B13" s="36" t="inlineStr">
        <is>
          <t>Emma Whitfield</t>
        </is>
      </c>
      <c r="C13" s="27" t="inlineStr">
        <is>
          <t>Bride</t>
        </is>
      </c>
      <c r="D13" s="36" t="inlineStr">
        <is>
          <t>Work</t>
        </is>
      </c>
      <c r="E13" s="36" t="inlineStr">
        <is>
          <t>7 Laurel St</t>
        </is>
      </c>
      <c r="F13" s="36" t="inlineStr">
        <is>
          <t>Charlotte, NC</t>
        </is>
      </c>
      <c r="G13" s="27" t="inlineStr">
        <is>
          <t>Declined</t>
        </is>
      </c>
      <c r="H13" s="27" t="n"/>
      <c r="I13" s="27" t="inlineStr">
        <is>
          <t>No</t>
        </is>
      </c>
      <c r="J13" s="36" t="n"/>
      <c r="K13" s="27" t="n"/>
      <c r="L13" s="36" t="n"/>
    </row>
    <row r="14">
      <c r="B14" s="36" t="inlineStr">
        <is>
          <t>Sophia Reyes</t>
        </is>
      </c>
      <c r="C14" s="27" t="inlineStr">
        <is>
          <t>Both</t>
        </is>
      </c>
      <c r="D14" s="36" t="inlineStr">
        <is>
          <t>Neighbors</t>
        </is>
      </c>
      <c r="E14" s="36" t="inlineStr">
        <is>
          <t>150 Rose Ln</t>
        </is>
      </c>
      <c r="F14" s="36" t="inlineStr">
        <is>
          <t>Asheville, NC</t>
        </is>
      </c>
      <c r="G14" s="27" t="inlineStr">
        <is>
          <t>Confirmed</t>
        </is>
      </c>
      <c r="H14" s="27" t="inlineStr">
        <is>
          <t>Fish</t>
        </is>
      </c>
      <c r="I14" s="27" t="inlineStr">
        <is>
          <t>Yes</t>
        </is>
      </c>
      <c r="J14" s="36" t="inlineStr">
        <is>
          <t>Mateo Reyes</t>
        </is>
      </c>
      <c r="K14" s="27" t="n">
        <v>7</v>
      </c>
      <c r="L14" s="36" t="n"/>
    </row>
    <row r="15">
      <c r="B15" s="36" t="inlineStr">
        <is>
          <t>Ethan Brooks</t>
        </is>
      </c>
      <c r="C15" s="27" t="inlineStr">
        <is>
          <t>Groom</t>
        </is>
      </c>
      <c r="D15" s="36" t="inlineStr">
        <is>
          <t>Family</t>
        </is>
      </c>
      <c r="E15" s="36" t="inlineStr">
        <is>
          <t>31 Sycamore Way</t>
        </is>
      </c>
      <c r="F15" s="36" t="inlineStr">
        <is>
          <t>Greensboro, NC</t>
        </is>
      </c>
      <c r="G15" s="27" t="inlineStr">
        <is>
          <t>Pending</t>
        </is>
      </c>
      <c r="H15" s="27" t="inlineStr">
        <is>
          <t>TBD</t>
        </is>
      </c>
      <c r="I15" s="27" t="inlineStr">
        <is>
          <t>Yes</t>
        </is>
      </c>
      <c r="J15" s="36" t="inlineStr">
        <is>
          <t>Grace Brooks</t>
        </is>
      </c>
      <c r="K15" s="27" t="n">
        <v>5</v>
      </c>
      <c r="L15" s="36" t="n"/>
    </row>
    <row r="16">
      <c r="B16" s="36" t="inlineStr">
        <is>
          <t>Mia Delgado</t>
        </is>
      </c>
      <c r="C16" s="27" t="inlineStr">
        <is>
          <t>Bride</t>
        </is>
      </c>
      <c r="D16" s="36" t="inlineStr">
        <is>
          <t>College friends</t>
        </is>
      </c>
      <c r="E16" s="36" t="inlineStr">
        <is>
          <t>9 Poplar Dr</t>
        </is>
      </c>
      <c r="F16" s="36" t="inlineStr">
        <is>
          <t>Wilmington, NC</t>
        </is>
      </c>
      <c r="G16" s="27" t="inlineStr">
        <is>
          <t>Confirmed</t>
        </is>
      </c>
      <c r="H16" s="27" t="inlineStr">
        <is>
          <t>Gluten-Free</t>
        </is>
      </c>
      <c r="I16" s="27" t="inlineStr">
        <is>
          <t>No</t>
        </is>
      </c>
      <c r="J16" s="36" t="n"/>
      <c r="K16" s="27" t="n">
        <v>3</v>
      </c>
      <c r="L16" s="36" t="n"/>
    </row>
    <row r="17">
      <c r="B17" s="36" t="n"/>
      <c r="C17" s="27" t="n"/>
      <c r="D17" s="36" t="n"/>
      <c r="E17" s="36" t="n"/>
      <c r="F17" s="36" t="n"/>
      <c r="G17" s="27" t="n"/>
      <c r="H17" s="27" t="n"/>
      <c r="I17" s="27" t="n"/>
      <c r="J17" s="36" t="n"/>
      <c r="K17" s="27" t="n"/>
      <c r="L17" s="36" t="n"/>
    </row>
    <row r="18">
      <c r="B18" s="36" t="n"/>
      <c r="C18" s="27" t="n"/>
      <c r="D18" s="36" t="n"/>
      <c r="E18" s="36" t="n"/>
      <c r="F18" s="36" t="n"/>
      <c r="G18" s="27" t="n"/>
      <c r="H18" s="27" t="n"/>
      <c r="I18" s="27" t="n"/>
      <c r="J18" s="36" t="n"/>
      <c r="K18" s="27" t="n"/>
      <c r="L18" s="36" t="n"/>
    </row>
    <row r="19">
      <c r="B19" s="36" t="n"/>
      <c r="C19" s="27" t="n"/>
      <c r="D19" s="36" t="n"/>
      <c r="E19" s="36" t="n"/>
      <c r="F19" s="36" t="n"/>
      <c r="G19" s="27" t="n"/>
      <c r="H19" s="27" t="n"/>
      <c r="I19" s="27" t="n"/>
      <c r="J19" s="36" t="n"/>
      <c r="K19" s="27" t="n"/>
      <c r="L19" s="36" t="n"/>
    </row>
    <row r="20">
      <c r="B20" s="36" t="n"/>
      <c r="C20" s="27" t="n"/>
      <c r="D20" s="36" t="n"/>
      <c r="E20" s="36" t="n"/>
      <c r="F20" s="36" t="n"/>
      <c r="G20" s="27" t="n"/>
      <c r="H20" s="27" t="n"/>
      <c r="I20" s="27" t="n"/>
      <c r="J20" s="36" t="n"/>
      <c r="K20" s="27" t="n"/>
      <c r="L20" s="36" t="n"/>
    </row>
    <row r="21">
      <c r="B21" s="36" t="n"/>
      <c r="C21" s="27" t="n"/>
      <c r="D21" s="36" t="n"/>
      <c r="E21" s="36" t="n"/>
      <c r="F21" s="36" t="n"/>
      <c r="G21" s="27" t="n"/>
      <c r="H21" s="27" t="n"/>
      <c r="I21" s="27" t="n"/>
      <c r="J21" s="36" t="n"/>
      <c r="K21" s="27" t="n"/>
      <c r="L21" s="36" t="n"/>
    </row>
    <row r="22">
      <c r="B22" s="36" t="n"/>
      <c r="C22" s="27" t="n"/>
      <c r="D22" s="36" t="n"/>
      <c r="E22" s="36" t="n"/>
      <c r="F22" s="36" t="n"/>
      <c r="G22" s="27" t="n"/>
      <c r="H22" s="27" t="n"/>
      <c r="I22" s="27" t="n"/>
      <c r="J22" s="36" t="n"/>
      <c r="K22" s="27" t="n"/>
      <c r="L22" s="36" t="n"/>
    </row>
    <row r="23">
      <c r="B23" s="36" t="n"/>
      <c r="C23" s="27" t="n"/>
      <c r="D23" s="36" t="n"/>
      <c r="E23" s="36" t="n"/>
      <c r="F23" s="36" t="n"/>
      <c r="G23" s="27" t="n"/>
      <c r="H23" s="27" t="n"/>
      <c r="I23" s="27" t="n"/>
      <c r="J23" s="36" t="n"/>
      <c r="K23" s="27" t="n"/>
      <c r="L23" s="36" t="n"/>
    </row>
    <row r="24">
      <c r="B24" s="36" t="n"/>
      <c r="C24" s="27" t="n"/>
      <c r="D24" s="36" t="n"/>
      <c r="E24" s="36" t="n"/>
      <c r="F24" s="36" t="n"/>
      <c r="G24" s="27" t="n"/>
      <c r="H24" s="27" t="n"/>
      <c r="I24" s="27" t="n"/>
      <c r="J24" s="36" t="n"/>
      <c r="K24" s="27" t="n"/>
      <c r="L24" s="36" t="n"/>
    </row>
    <row r="25">
      <c r="B25" s="36" t="n"/>
      <c r="C25" s="27" t="n"/>
      <c r="D25" s="36" t="n"/>
      <c r="E25" s="36" t="n"/>
      <c r="F25" s="36" t="n"/>
      <c r="G25" s="27" t="n"/>
      <c r="H25" s="27" t="n"/>
      <c r="I25" s="27" t="n"/>
      <c r="J25" s="36" t="n"/>
      <c r="K25" s="27" t="n"/>
      <c r="L25" s="36" t="n"/>
    </row>
    <row r="26">
      <c r="B26" s="36" t="n"/>
      <c r="C26" s="27" t="n"/>
      <c r="D26" s="36" t="n"/>
      <c r="E26" s="36" t="n"/>
      <c r="F26" s="36" t="n"/>
      <c r="G26" s="27" t="n"/>
      <c r="H26" s="27" t="n"/>
      <c r="I26" s="27" t="n"/>
      <c r="J26" s="36" t="n"/>
      <c r="K26" s="27" t="n"/>
      <c r="L26" s="36" t="n"/>
    </row>
    <row r="27">
      <c r="B27" s="36" t="n"/>
      <c r="C27" s="27" t="n"/>
      <c r="D27" s="36" t="n"/>
      <c r="E27" s="36" t="n"/>
      <c r="F27" s="36" t="n"/>
      <c r="G27" s="27" t="n"/>
      <c r="H27" s="27" t="n"/>
      <c r="I27" s="27" t="n"/>
      <c r="J27" s="36" t="n"/>
      <c r="K27" s="27" t="n"/>
      <c r="L27" s="36" t="n"/>
    </row>
    <row r="28">
      <c r="B28" s="36" t="n"/>
      <c r="C28" s="27" t="n"/>
      <c r="D28" s="36" t="n"/>
      <c r="E28" s="36" t="n"/>
      <c r="F28" s="36" t="n"/>
      <c r="G28" s="27" t="n"/>
      <c r="H28" s="27" t="n"/>
      <c r="I28" s="27" t="n"/>
      <c r="J28" s="36" t="n"/>
      <c r="K28" s="27" t="n"/>
      <c r="L28" s="36" t="n"/>
    </row>
    <row r="29">
      <c r="B29" s="36" t="n"/>
      <c r="C29" s="27" t="n"/>
      <c r="D29" s="36" t="n"/>
      <c r="E29" s="36" t="n"/>
      <c r="F29" s="36" t="n"/>
      <c r="G29" s="27" t="n"/>
      <c r="H29" s="27" t="n"/>
      <c r="I29" s="27" t="n"/>
      <c r="J29" s="36" t="n"/>
      <c r="K29" s="27" t="n"/>
      <c r="L29" s="36" t="n"/>
    </row>
    <row r="30">
      <c r="B30" s="36" t="n"/>
      <c r="C30" s="27" t="n"/>
      <c r="D30" s="36" t="n"/>
      <c r="E30" s="36" t="n"/>
      <c r="F30" s="36" t="n"/>
      <c r="G30" s="27" t="n"/>
      <c r="H30" s="27" t="n"/>
      <c r="I30" s="27" t="n"/>
      <c r="J30" s="36" t="n"/>
      <c r="K30" s="27" t="n"/>
      <c r="L30" s="36" t="n"/>
    </row>
    <row r="31">
      <c r="B31" s="36" t="n"/>
      <c r="C31" s="27" t="n"/>
      <c r="D31" s="36" t="n"/>
      <c r="E31" s="36" t="n"/>
      <c r="F31" s="36" t="n"/>
      <c r="G31" s="27" t="n"/>
      <c r="H31" s="27" t="n"/>
      <c r="I31" s="27" t="n"/>
      <c r="J31" s="36" t="n"/>
      <c r="K31" s="27" t="n"/>
      <c r="L31" s="36" t="n"/>
    </row>
    <row r="32">
      <c r="B32" s="36" t="n"/>
      <c r="C32" s="27" t="n"/>
      <c r="D32" s="36" t="n"/>
      <c r="E32" s="36" t="n"/>
      <c r="F32" s="36" t="n"/>
      <c r="G32" s="27" t="n"/>
      <c r="H32" s="27" t="n"/>
      <c r="I32" s="27" t="n"/>
      <c r="J32" s="36" t="n"/>
      <c r="K32" s="27" t="n"/>
      <c r="L32" s="36" t="n"/>
    </row>
    <row r="33">
      <c r="B33" s="36" t="n"/>
      <c r="C33" s="27" t="n"/>
      <c r="D33" s="36" t="n"/>
      <c r="E33" s="36" t="n"/>
      <c r="F33" s="36" t="n"/>
      <c r="G33" s="27" t="n"/>
      <c r="H33" s="27" t="n"/>
      <c r="I33" s="27" t="n"/>
      <c r="J33" s="36" t="n"/>
      <c r="K33" s="27" t="n"/>
      <c r="L33" s="36" t="n"/>
    </row>
    <row r="34">
      <c r="B34" s="36" t="n"/>
      <c r="C34" s="27" t="n"/>
      <c r="D34" s="36" t="n"/>
      <c r="E34" s="36" t="n"/>
      <c r="F34" s="36" t="n"/>
      <c r="G34" s="27" t="n"/>
      <c r="H34" s="27" t="n"/>
      <c r="I34" s="27" t="n"/>
      <c r="J34" s="36" t="n"/>
      <c r="K34" s="27" t="n"/>
      <c r="L34" s="36" t="n"/>
    </row>
    <row r="35">
      <c r="B35" s="36" t="n"/>
      <c r="C35" s="27" t="n"/>
      <c r="D35" s="36" t="n"/>
      <c r="E35" s="36" t="n"/>
      <c r="F35" s="36" t="n"/>
      <c r="G35" s="27" t="n"/>
      <c r="H35" s="27" t="n"/>
      <c r="I35" s="27" t="n"/>
      <c r="J35" s="36" t="n"/>
      <c r="K35" s="27" t="n"/>
      <c r="L35" s="36" t="n"/>
    </row>
    <row r="36">
      <c r="B36" s="36" t="n"/>
      <c r="C36" s="27" t="n"/>
      <c r="D36" s="36" t="n"/>
      <c r="E36" s="36" t="n"/>
      <c r="F36" s="36" t="n"/>
      <c r="G36" s="27" t="n"/>
      <c r="H36" s="27" t="n"/>
      <c r="I36" s="27" t="n"/>
      <c r="J36" s="36" t="n"/>
      <c r="K36" s="27" t="n"/>
      <c r="L36" s="36" t="n"/>
    </row>
    <row r="37">
      <c r="B37" s="36" t="n"/>
      <c r="C37" s="27" t="n"/>
      <c r="D37" s="36" t="n"/>
      <c r="E37" s="36" t="n"/>
      <c r="F37" s="36" t="n"/>
      <c r="G37" s="27" t="n"/>
      <c r="H37" s="27" t="n"/>
      <c r="I37" s="27" t="n"/>
      <c r="J37" s="36" t="n"/>
      <c r="K37" s="27" t="n"/>
      <c r="L37" s="36" t="n"/>
    </row>
    <row r="38">
      <c r="B38" s="36" t="n"/>
      <c r="C38" s="27" t="n"/>
      <c r="D38" s="36" t="n"/>
      <c r="E38" s="36" t="n"/>
      <c r="F38" s="36" t="n"/>
      <c r="G38" s="27" t="n"/>
      <c r="H38" s="27" t="n"/>
      <c r="I38" s="27" t="n"/>
      <c r="J38" s="36" t="n"/>
      <c r="K38" s="27" t="n"/>
      <c r="L38" s="36" t="n"/>
    </row>
    <row r="39">
      <c r="B39" s="36" t="n"/>
      <c r="C39" s="27" t="n"/>
      <c r="D39" s="36" t="n"/>
      <c r="E39" s="36" t="n"/>
      <c r="F39" s="36" t="n"/>
      <c r="G39" s="27" t="n"/>
      <c r="H39" s="27" t="n"/>
      <c r="I39" s="27" t="n"/>
      <c r="J39" s="36" t="n"/>
      <c r="K39" s="27" t="n"/>
      <c r="L39" s="36" t="n"/>
    </row>
    <row r="40">
      <c r="B40" s="36" t="n"/>
      <c r="C40" s="27" t="n"/>
      <c r="D40" s="36" t="n"/>
      <c r="E40" s="36" t="n"/>
      <c r="F40" s="36" t="n"/>
      <c r="G40" s="27" t="n"/>
      <c r="H40" s="27" t="n"/>
      <c r="I40" s="27" t="n"/>
      <c r="J40" s="36" t="n"/>
      <c r="K40" s="27" t="n"/>
      <c r="L40" s="36" t="n"/>
    </row>
    <row r="41">
      <c r="B41" s="36" t="n"/>
      <c r="C41" s="27" t="n"/>
      <c r="D41" s="36" t="n"/>
      <c r="E41" s="36" t="n"/>
      <c r="F41" s="36" t="n"/>
      <c r="G41" s="27" t="n"/>
      <c r="H41" s="27" t="n"/>
      <c r="I41" s="27" t="n"/>
      <c r="J41" s="36" t="n"/>
      <c r="K41" s="27" t="n"/>
      <c r="L41" s="36" t="n"/>
    </row>
    <row r="42">
      <c r="B42" s="36" t="n"/>
      <c r="C42" s="27" t="n"/>
      <c r="D42" s="36" t="n"/>
      <c r="E42" s="36" t="n"/>
      <c r="F42" s="36" t="n"/>
      <c r="G42" s="27" t="n"/>
      <c r="H42" s="27" t="n"/>
      <c r="I42" s="27" t="n"/>
      <c r="J42" s="36" t="n"/>
      <c r="K42" s="27" t="n"/>
      <c r="L42" s="36" t="n"/>
    </row>
    <row r="43">
      <c r="B43" s="36" t="n"/>
      <c r="C43" s="27" t="n"/>
      <c r="D43" s="36" t="n"/>
      <c r="E43" s="36" t="n"/>
      <c r="F43" s="36" t="n"/>
      <c r="G43" s="27" t="n"/>
      <c r="H43" s="27" t="n"/>
      <c r="I43" s="27" t="n"/>
      <c r="J43" s="36" t="n"/>
      <c r="K43" s="27" t="n"/>
      <c r="L43" s="36" t="n"/>
    </row>
    <row r="44">
      <c r="B44" s="36" t="n"/>
      <c r="C44" s="27" t="n"/>
      <c r="D44" s="36" t="n"/>
      <c r="E44" s="36" t="n"/>
      <c r="F44" s="36" t="n"/>
      <c r="G44" s="27" t="n"/>
      <c r="H44" s="27" t="n"/>
      <c r="I44" s="27" t="n"/>
      <c r="J44" s="36" t="n"/>
      <c r="K44" s="27" t="n"/>
      <c r="L44" s="36" t="n"/>
    </row>
    <row r="45">
      <c r="B45" s="36" t="n"/>
      <c r="C45" s="27" t="n"/>
      <c r="D45" s="36" t="n"/>
      <c r="E45" s="36" t="n"/>
      <c r="F45" s="36" t="n"/>
      <c r="G45" s="27" t="n"/>
      <c r="H45" s="27" t="n"/>
      <c r="I45" s="27" t="n"/>
      <c r="J45" s="36" t="n"/>
      <c r="K45" s="27" t="n"/>
      <c r="L45" s="36" t="n"/>
    </row>
    <row r="46">
      <c r="B46" s="36" t="n"/>
      <c r="C46" s="27" t="n"/>
      <c r="D46" s="36" t="n"/>
      <c r="E46" s="36" t="n"/>
      <c r="F46" s="36" t="n"/>
      <c r="G46" s="27" t="n"/>
      <c r="H46" s="27" t="n"/>
      <c r="I46" s="27" t="n"/>
      <c r="J46" s="36" t="n"/>
      <c r="K46" s="27" t="n"/>
      <c r="L46" s="36" t="n"/>
    </row>
    <row r="47">
      <c r="B47" s="36" t="n"/>
      <c r="C47" s="27" t="n"/>
      <c r="D47" s="36" t="n"/>
      <c r="E47" s="36" t="n"/>
      <c r="F47" s="36" t="n"/>
      <c r="G47" s="27" t="n"/>
      <c r="H47" s="27" t="n"/>
      <c r="I47" s="27" t="n"/>
      <c r="J47" s="36" t="n"/>
      <c r="K47" s="27" t="n"/>
      <c r="L47" s="36" t="n"/>
    </row>
    <row r="48">
      <c r="B48" s="36" t="n"/>
      <c r="C48" s="27" t="n"/>
      <c r="D48" s="36" t="n"/>
      <c r="E48" s="36" t="n"/>
      <c r="F48" s="36" t="n"/>
      <c r="G48" s="27" t="n"/>
      <c r="H48" s="27" t="n"/>
      <c r="I48" s="27" t="n"/>
      <c r="J48" s="36" t="n"/>
      <c r="K48" s="27" t="n"/>
      <c r="L48" s="36" t="n"/>
    </row>
    <row r="49">
      <c r="B49" s="36" t="n"/>
      <c r="C49" s="27" t="n"/>
      <c r="D49" s="36" t="n"/>
      <c r="E49" s="36" t="n"/>
      <c r="F49" s="36" t="n"/>
      <c r="G49" s="27" t="n"/>
      <c r="H49" s="27" t="n"/>
      <c r="I49" s="27" t="n"/>
      <c r="J49" s="36" t="n"/>
      <c r="K49" s="27" t="n"/>
      <c r="L49" s="36" t="n"/>
    </row>
    <row r="50">
      <c r="B50" s="36" t="n"/>
      <c r="C50" s="27" t="n"/>
      <c r="D50" s="36" t="n"/>
      <c r="E50" s="36" t="n"/>
      <c r="F50" s="36" t="n"/>
      <c r="G50" s="27" t="n"/>
      <c r="H50" s="27" t="n"/>
      <c r="I50" s="27" t="n"/>
      <c r="J50" s="36" t="n"/>
      <c r="K50" s="27" t="n"/>
      <c r="L50" s="36" t="n"/>
    </row>
    <row r="51">
      <c r="B51" s="36" t="n"/>
      <c r="C51" s="27" t="n"/>
      <c r="D51" s="36" t="n"/>
      <c r="E51" s="36" t="n"/>
      <c r="F51" s="36" t="n"/>
      <c r="G51" s="27" t="n"/>
      <c r="H51" s="27" t="n"/>
      <c r="I51" s="27" t="n"/>
      <c r="J51" s="36" t="n"/>
      <c r="K51" s="27" t="n"/>
      <c r="L51" s="36" t="n"/>
    </row>
    <row r="52">
      <c r="B52" s="36" t="n"/>
      <c r="C52" s="27" t="n"/>
      <c r="D52" s="36" t="n"/>
      <c r="E52" s="36" t="n"/>
      <c r="F52" s="36" t="n"/>
      <c r="G52" s="27" t="n"/>
      <c r="H52" s="27" t="n"/>
      <c r="I52" s="27" t="n"/>
      <c r="J52" s="36" t="n"/>
      <c r="K52" s="27" t="n"/>
      <c r="L52" s="36" t="n"/>
    </row>
    <row r="53">
      <c r="B53" s="36" t="n"/>
      <c r="C53" s="27" t="n"/>
      <c r="D53" s="36" t="n"/>
      <c r="E53" s="36" t="n"/>
      <c r="F53" s="36" t="n"/>
      <c r="G53" s="27" t="n"/>
      <c r="H53" s="27" t="n"/>
      <c r="I53" s="27" t="n"/>
      <c r="J53" s="36" t="n"/>
      <c r="K53" s="27" t="n"/>
      <c r="L53" s="36" t="n"/>
    </row>
    <row r="54">
      <c r="B54" s="36" t="n"/>
      <c r="C54" s="27" t="n"/>
      <c r="D54" s="36" t="n"/>
      <c r="E54" s="36" t="n"/>
      <c r="F54" s="36" t="n"/>
      <c r="G54" s="27" t="n"/>
      <c r="H54" s="27" t="n"/>
      <c r="I54" s="27" t="n"/>
      <c r="J54" s="36" t="n"/>
      <c r="K54" s="27" t="n"/>
      <c r="L54" s="36" t="n"/>
    </row>
    <row r="55">
      <c r="B55" s="36" t="n"/>
      <c r="C55" s="27" t="n"/>
      <c r="D55" s="36" t="n"/>
      <c r="E55" s="36" t="n"/>
      <c r="F55" s="36" t="n"/>
      <c r="G55" s="27" t="n"/>
      <c r="H55" s="27" t="n"/>
      <c r="I55" s="27" t="n"/>
      <c r="J55" s="36" t="n"/>
      <c r="K55" s="27" t="n"/>
      <c r="L55" s="36" t="n"/>
    </row>
    <row r="56">
      <c r="B56" s="36" t="n"/>
      <c r="C56" s="27" t="n"/>
      <c r="D56" s="36" t="n"/>
      <c r="E56" s="36" t="n"/>
      <c r="F56" s="36" t="n"/>
      <c r="G56" s="27" t="n"/>
      <c r="H56" s="27" t="n"/>
      <c r="I56" s="27" t="n"/>
      <c r="J56" s="36" t="n"/>
      <c r="K56" s="27" t="n"/>
      <c r="L56" s="36" t="n"/>
    </row>
    <row r="57">
      <c r="B57" s="36" t="n"/>
      <c r="C57" s="27" t="n"/>
      <c r="D57" s="36" t="n"/>
      <c r="E57" s="36" t="n"/>
      <c r="F57" s="36" t="n"/>
      <c r="G57" s="27" t="n"/>
      <c r="H57" s="27" t="n"/>
      <c r="I57" s="27" t="n"/>
      <c r="J57" s="36" t="n"/>
      <c r="K57" s="27" t="n"/>
      <c r="L57" s="36" t="n"/>
    </row>
    <row r="58">
      <c r="B58" s="36" t="n"/>
      <c r="C58" s="27" t="n"/>
      <c r="D58" s="36" t="n"/>
      <c r="E58" s="36" t="n"/>
      <c r="F58" s="36" t="n"/>
      <c r="G58" s="27" t="n"/>
      <c r="H58" s="27" t="n"/>
      <c r="I58" s="27" t="n"/>
      <c r="J58" s="36" t="n"/>
      <c r="K58" s="27" t="n"/>
      <c r="L58" s="36" t="n"/>
    </row>
    <row r="59">
      <c r="B59" s="36" t="n"/>
      <c r="C59" s="27" t="n"/>
      <c r="D59" s="36" t="n"/>
      <c r="E59" s="36" t="n"/>
      <c r="F59" s="36" t="n"/>
      <c r="G59" s="27" t="n"/>
      <c r="H59" s="27" t="n"/>
      <c r="I59" s="27" t="n"/>
      <c r="J59" s="36" t="n"/>
      <c r="K59" s="27" t="n"/>
      <c r="L59" s="36" t="n"/>
    </row>
    <row r="60">
      <c r="B60" s="36" t="n"/>
      <c r="C60" s="27" t="n"/>
      <c r="D60" s="36" t="n"/>
      <c r="E60" s="36" t="n"/>
      <c r="F60" s="36" t="n"/>
      <c r="G60" s="27" t="n"/>
      <c r="H60" s="27" t="n"/>
      <c r="I60" s="27" t="n"/>
      <c r="J60" s="36" t="n"/>
      <c r="K60" s="27" t="n"/>
      <c r="L60" s="36" t="n"/>
    </row>
    <row r="61">
      <c r="B61" s="36" t="n"/>
      <c r="C61" s="27" t="n"/>
      <c r="D61" s="36" t="n"/>
      <c r="E61" s="36" t="n"/>
      <c r="F61" s="36" t="n"/>
      <c r="G61" s="27" t="n"/>
      <c r="H61" s="27" t="n"/>
      <c r="I61" s="27" t="n"/>
      <c r="J61" s="36" t="n"/>
      <c r="K61" s="27" t="n"/>
      <c r="L61" s="36" t="n"/>
    </row>
    <row r="62">
      <c r="B62" s="36" t="n"/>
      <c r="C62" s="27" t="n"/>
      <c r="D62" s="36" t="n"/>
      <c r="E62" s="36" t="n"/>
      <c r="F62" s="36" t="n"/>
      <c r="G62" s="27" t="n"/>
      <c r="H62" s="27" t="n"/>
      <c r="I62" s="27" t="n"/>
      <c r="J62" s="36" t="n"/>
      <c r="K62" s="27" t="n"/>
      <c r="L62" s="36" t="n"/>
    </row>
    <row r="63">
      <c r="B63" s="36" t="n"/>
      <c r="C63" s="27" t="n"/>
      <c r="D63" s="36" t="n"/>
      <c r="E63" s="36" t="n"/>
      <c r="F63" s="36" t="n"/>
      <c r="G63" s="27" t="n"/>
      <c r="H63" s="27" t="n"/>
      <c r="I63" s="27" t="n"/>
      <c r="J63" s="36" t="n"/>
      <c r="K63" s="27" t="n"/>
      <c r="L63" s="36" t="n"/>
    </row>
    <row r="64">
      <c r="B64" s="36" t="n"/>
      <c r="C64" s="27" t="n"/>
      <c r="D64" s="36" t="n"/>
      <c r="E64" s="36" t="n"/>
      <c r="F64" s="36" t="n"/>
      <c r="G64" s="27" t="n"/>
      <c r="H64" s="27" t="n"/>
      <c r="I64" s="27" t="n"/>
      <c r="J64" s="36" t="n"/>
      <c r="K64" s="27" t="n"/>
      <c r="L64" s="36" t="n"/>
    </row>
    <row r="65">
      <c r="B65" s="36" t="n"/>
      <c r="C65" s="27" t="n"/>
      <c r="D65" s="36" t="n"/>
      <c r="E65" s="36" t="n"/>
      <c r="F65" s="36" t="n"/>
      <c r="G65" s="27" t="n"/>
      <c r="H65" s="27" t="n"/>
      <c r="I65" s="27" t="n"/>
      <c r="J65" s="36" t="n"/>
      <c r="K65" s="27" t="n"/>
      <c r="L65" s="36" t="n"/>
    </row>
    <row r="66">
      <c r="B66" s="36" t="n"/>
      <c r="C66" s="27" t="n"/>
      <c r="D66" s="36" t="n"/>
      <c r="E66" s="36" t="n"/>
      <c r="F66" s="36" t="n"/>
      <c r="G66" s="27" t="n"/>
      <c r="H66" s="27" t="n"/>
      <c r="I66" s="27" t="n"/>
      <c r="J66" s="36" t="n"/>
      <c r="K66" s="27" t="n"/>
      <c r="L66" s="36" t="n"/>
    </row>
    <row r="67">
      <c r="B67" s="36" t="n"/>
      <c r="C67" s="27" t="n"/>
      <c r="D67" s="36" t="n"/>
      <c r="E67" s="36" t="n"/>
      <c r="F67" s="36" t="n"/>
      <c r="G67" s="27" t="n"/>
      <c r="H67" s="27" t="n"/>
      <c r="I67" s="27" t="n"/>
      <c r="J67" s="36" t="n"/>
      <c r="K67" s="27" t="n"/>
      <c r="L67" s="36" t="n"/>
    </row>
    <row r="68">
      <c r="B68" s="36" t="n"/>
      <c r="C68" s="27" t="n"/>
      <c r="D68" s="36" t="n"/>
      <c r="E68" s="36" t="n"/>
      <c r="F68" s="36" t="n"/>
      <c r="G68" s="27" t="n"/>
      <c r="H68" s="27" t="n"/>
      <c r="I68" s="27" t="n"/>
      <c r="J68" s="36" t="n"/>
      <c r="K68" s="27" t="n"/>
      <c r="L68" s="36" t="n"/>
    </row>
    <row r="69">
      <c r="B69" s="36" t="n"/>
      <c r="C69" s="27" t="n"/>
      <c r="D69" s="36" t="n"/>
      <c r="E69" s="36" t="n"/>
      <c r="F69" s="36" t="n"/>
      <c r="G69" s="27" t="n"/>
      <c r="H69" s="27" t="n"/>
      <c r="I69" s="27" t="n"/>
      <c r="J69" s="36" t="n"/>
      <c r="K69" s="27" t="n"/>
      <c r="L69" s="36" t="n"/>
    </row>
    <row r="70">
      <c r="B70" s="36" t="n"/>
      <c r="C70" s="27" t="n"/>
      <c r="D70" s="36" t="n"/>
      <c r="E70" s="36" t="n"/>
      <c r="F70" s="36" t="n"/>
      <c r="G70" s="27" t="n"/>
      <c r="H70" s="27" t="n"/>
      <c r="I70" s="27" t="n"/>
      <c r="J70" s="36" t="n"/>
      <c r="K70" s="27" t="n"/>
      <c r="L70" s="36" t="n"/>
    </row>
    <row r="71">
      <c r="B71" s="36" t="n"/>
      <c r="C71" s="27" t="n"/>
      <c r="D71" s="36" t="n"/>
      <c r="E71" s="36" t="n"/>
      <c r="F71" s="36" t="n"/>
      <c r="G71" s="27" t="n"/>
      <c r="H71" s="27" t="n"/>
      <c r="I71" s="27" t="n"/>
      <c r="J71" s="36" t="n"/>
      <c r="K71" s="27" t="n"/>
      <c r="L71" s="36" t="n"/>
    </row>
    <row r="72">
      <c r="B72" s="36" t="n"/>
      <c r="C72" s="27" t="n"/>
      <c r="D72" s="36" t="n"/>
      <c r="E72" s="36" t="n"/>
      <c r="F72" s="36" t="n"/>
      <c r="G72" s="27" t="n"/>
      <c r="H72" s="27" t="n"/>
      <c r="I72" s="27" t="n"/>
      <c r="J72" s="36" t="n"/>
      <c r="K72" s="27" t="n"/>
      <c r="L72" s="36" t="n"/>
    </row>
    <row r="73">
      <c r="B73" s="36" t="n"/>
      <c r="C73" s="27" t="n"/>
      <c r="D73" s="36" t="n"/>
      <c r="E73" s="36" t="n"/>
      <c r="F73" s="36" t="n"/>
      <c r="G73" s="27" t="n"/>
      <c r="H73" s="27" t="n"/>
      <c r="I73" s="27" t="n"/>
      <c r="J73" s="36" t="n"/>
      <c r="K73" s="27" t="n"/>
      <c r="L73" s="36" t="n"/>
    </row>
    <row r="74">
      <c r="B74" s="36" t="n"/>
      <c r="C74" s="27" t="n"/>
      <c r="D74" s="36" t="n"/>
      <c r="E74" s="36" t="n"/>
      <c r="F74" s="36" t="n"/>
      <c r="G74" s="27" t="n"/>
      <c r="H74" s="27" t="n"/>
      <c r="I74" s="27" t="n"/>
      <c r="J74" s="36" t="n"/>
      <c r="K74" s="27" t="n"/>
      <c r="L74" s="36" t="n"/>
    </row>
    <row r="75">
      <c r="B75" s="36" t="n"/>
      <c r="C75" s="27" t="n"/>
      <c r="D75" s="36" t="n"/>
      <c r="E75" s="36" t="n"/>
      <c r="F75" s="36" t="n"/>
      <c r="G75" s="27" t="n"/>
      <c r="H75" s="27" t="n"/>
      <c r="I75" s="27" t="n"/>
      <c r="J75" s="36" t="n"/>
      <c r="K75" s="27" t="n"/>
      <c r="L75" s="36" t="n"/>
    </row>
    <row r="76">
      <c r="B76" s="36" t="n"/>
      <c r="C76" s="27" t="n"/>
      <c r="D76" s="36" t="n"/>
      <c r="E76" s="36" t="n"/>
      <c r="F76" s="36" t="n"/>
      <c r="G76" s="27" t="n"/>
      <c r="H76" s="27" t="n"/>
      <c r="I76" s="27" t="n"/>
      <c r="J76" s="36" t="n"/>
      <c r="K76" s="27" t="n"/>
      <c r="L76" s="36" t="n"/>
    </row>
    <row r="77">
      <c r="B77" s="36" t="n"/>
      <c r="C77" s="27" t="n"/>
      <c r="D77" s="36" t="n"/>
      <c r="E77" s="36" t="n"/>
      <c r="F77" s="36" t="n"/>
      <c r="G77" s="27" t="n"/>
      <c r="H77" s="27" t="n"/>
      <c r="I77" s="27" t="n"/>
      <c r="J77" s="36" t="n"/>
      <c r="K77" s="27" t="n"/>
      <c r="L77" s="36" t="n"/>
    </row>
    <row r="78">
      <c r="B78" s="36" t="n"/>
      <c r="C78" s="27" t="n"/>
      <c r="D78" s="36" t="n"/>
      <c r="E78" s="36" t="n"/>
      <c r="F78" s="36" t="n"/>
      <c r="G78" s="27" t="n"/>
      <c r="H78" s="27" t="n"/>
      <c r="I78" s="27" t="n"/>
      <c r="J78" s="36" t="n"/>
      <c r="K78" s="27" t="n"/>
      <c r="L78" s="36" t="n"/>
    </row>
    <row r="79">
      <c r="B79" s="36" t="n"/>
      <c r="C79" s="27" t="n"/>
      <c r="D79" s="36" t="n"/>
      <c r="E79" s="36" t="n"/>
      <c r="F79" s="36" t="n"/>
      <c r="G79" s="27" t="n"/>
      <c r="H79" s="27" t="n"/>
      <c r="I79" s="27" t="n"/>
      <c r="J79" s="36" t="n"/>
      <c r="K79" s="27" t="n"/>
      <c r="L79" s="36" t="n"/>
    </row>
    <row r="80">
      <c r="B80" s="36" t="n"/>
      <c r="C80" s="27" t="n"/>
      <c r="D80" s="36" t="n"/>
      <c r="E80" s="36" t="n"/>
      <c r="F80" s="36" t="n"/>
      <c r="G80" s="27" t="n"/>
      <c r="H80" s="27" t="n"/>
      <c r="I80" s="27" t="n"/>
      <c r="J80" s="36" t="n"/>
      <c r="K80" s="27" t="n"/>
      <c r="L80" s="36" t="n"/>
    </row>
    <row r="81">
      <c r="B81" s="36" t="n"/>
      <c r="C81" s="27" t="n"/>
      <c r="D81" s="36" t="n"/>
      <c r="E81" s="36" t="n"/>
      <c r="F81" s="36" t="n"/>
      <c r="G81" s="27" t="n"/>
      <c r="H81" s="27" t="n"/>
      <c r="I81" s="27" t="n"/>
      <c r="J81" s="36" t="n"/>
      <c r="K81" s="27" t="n"/>
      <c r="L81" s="36" t="n"/>
    </row>
    <row r="82">
      <c r="B82" s="36" t="n"/>
      <c r="C82" s="27" t="n"/>
      <c r="D82" s="36" t="n"/>
      <c r="E82" s="36" t="n"/>
      <c r="F82" s="36" t="n"/>
      <c r="G82" s="27" t="n"/>
      <c r="H82" s="27" t="n"/>
      <c r="I82" s="27" t="n"/>
      <c r="J82" s="36" t="n"/>
      <c r="K82" s="27" t="n"/>
      <c r="L82" s="36" t="n"/>
    </row>
    <row r="83">
      <c r="B83" s="36" t="n"/>
      <c r="C83" s="27" t="n"/>
      <c r="D83" s="36" t="n"/>
      <c r="E83" s="36" t="n"/>
      <c r="F83" s="36" t="n"/>
      <c r="G83" s="27" t="n"/>
      <c r="H83" s="27" t="n"/>
      <c r="I83" s="27" t="n"/>
      <c r="J83" s="36" t="n"/>
      <c r="K83" s="27" t="n"/>
      <c r="L83" s="36" t="n"/>
    </row>
    <row r="84">
      <c r="B84" s="36" t="n"/>
      <c r="C84" s="27" t="n"/>
      <c r="D84" s="36" t="n"/>
      <c r="E84" s="36" t="n"/>
      <c r="F84" s="36" t="n"/>
      <c r="G84" s="27" t="n"/>
      <c r="H84" s="27" t="n"/>
      <c r="I84" s="27" t="n"/>
      <c r="J84" s="36" t="n"/>
      <c r="K84" s="27" t="n"/>
      <c r="L84" s="36" t="n"/>
    </row>
    <row r="85">
      <c r="B85" s="36" t="n"/>
      <c r="C85" s="27" t="n"/>
      <c r="D85" s="36" t="n"/>
      <c r="E85" s="36" t="n"/>
      <c r="F85" s="36" t="n"/>
      <c r="G85" s="27" t="n"/>
      <c r="H85" s="27" t="n"/>
      <c r="I85" s="27" t="n"/>
      <c r="J85" s="36" t="n"/>
      <c r="K85" s="27" t="n"/>
      <c r="L85" s="36" t="n"/>
    </row>
    <row r="86">
      <c r="B86" s="36" t="n"/>
      <c r="C86" s="27" t="n"/>
      <c r="D86" s="36" t="n"/>
      <c r="E86" s="36" t="n"/>
      <c r="F86" s="36" t="n"/>
      <c r="G86" s="27" t="n"/>
      <c r="H86" s="27" t="n"/>
      <c r="I86" s="27" t="n"/>
      <c r="J86" s="36" t="n"/>
      <c r="K86" s="27" t="n"/>
      <c r="L86" s="36" t="n"/>
    </row>
    <row r="87">
      <c r="B87" s="36" t="n"/>
      <c r="C87" s="27" t="n"/>
      <c r="D87" s="36" t="n"/>
      <c r="E87" s="36" t="n"/>
      <c r="F87" s="36" t="n"/>
      <c r="G87" s="27" t="n"/>
      <c r="H87" s="27" t="n"/>
      <c r="I87" s="27" t="n"/>
      <c r="J87" s="36" t="n"/>
      <c r="K87" s="27" t="n"/>
      <c r="L87" s="36" t="n"/>
    </row>
    <row r="88">
      <c r="B88" s="36" t="n"/>
      <c r="C88" s="27" t="n"/>
      <c r="D88" s="36" t="n"/>
      <c r="E88" s="36" t="n"/>
      <c r="F88" s="36" t="n"/>
      <c r="G88" s="27" t="n"/>
      <c r="H88" s="27" t="n"/>
      <c r="I88" s="27" t="n"/>
      <c r="J88" s="36" t="n"/>
      <c r="K88" s="27" t="n"/>
      <c r="L88" s="36" t="n"/>
    </row>
    <row r="89">
      <c r="B89" s="36" t="n"/>
      <c r="C89" s="27" t="n"/>
      <c r="D89" s="36" t="n"/>
      <c r="E89" s="36" t="n"/>
      <c r="F89" s="36" t="n"/>
      <c r="G89" s="27" t="n"/>
      <c r="H89" s="27" t="n"/>
      <c r="I89" s="27" t="n"/>
      <c r="J89" s="36" t="n"/>
      <c r="K89" s="27" t="n"/>
      <c r="L89" s="36" t="n"/>
    </row>
    <row r="90">
      <c r="B90" s="36" t="n"/>
      <c r="C90" s="27" t="n"/>
      <c r="D90" s="36" t="n"/>
      <c r="E90" s="36" t="n"/>
      <c r="F90" s="36" t="n"/>
      <c r="G90" s="27" t="n"/>
      <c r="H90" s="27" t="n"/>
      <c r="I90" s="27" t="n"/>
      <c r="J90" s="36" t="n"/>
      <c r="K90" s="27" t="n"/>
      <c r="L90" s="36" t="n"/>
    </row>
    <row r="91">
      <c r="B91" s="36" t="n"/>
      <c r="C91" s="27" t="n"/>
      <c r="D91" s="36" t="n"/>
      <c r="E91" s="36" t="n"/>
      <c r="F91" s="36" t="n"/>
      <c r="G91" s="27" t="n"/>
      <c r="H91" s="27" t="n"/>
      <c r="I91" s="27" t="n"/>
      <c r="J91" s="36" t="n"/>
      <c r="K91" s="27" t="n"/>
      <c r="L91" s="36" t="n"/>
    </row>
    <row r="92">
      <c r="B92" s="36" t="n"/>
      <c r="C92" s="27" t="n"/>
      <c r="D92" s="36" t="n"/>
      <c r="E92" s="36" t="n"/>
      <c r="F92" s="36" t="n"/>
      <c r="G92" s="27" t="n"/>
      <c r="H92" s="27" t="n"/>
      <c r="I92" s="27" t="n"/>
      <c r="J92" s="36" t="n"/>
      <c r="K92" s="27" t="n"/>
      <c r="L92" s="36" t="n"/>
    </row>
    <row r="93">
      <c r="B93" s="36" t="n"/>
      <c r="C93" s="27" t="n"/>
      <c r="D93" s="36" t="n"/>
      <c r="E93" s="36" t="n"/>
      <c r="F93" s="36" t="n"/>
      <c r="G93" s="27" t="n"/>
      <c r="H93" s="27" t="n"/>
      <c r="I93" s="27" t="n"/>
      <c r="J93" s="36" t="n"/>
      <c r="K93" s="27" t="n"/>
      <c r="L93" s="36" t="n"/>
    </row>
    <row r="94">
      <c r="B94" s="36" t="n"/>
      <c r="C94" s="27" t="n"/>
      <c r="D94" s="36" t="n"/>
      <c r="E94" s="36" t="n"/>
      <c r="F94" s="36" t="n"/>
      <c r="G94" s="27" t="n"/>
      <c r="H94" s="27" t="n"/>
      <c r="I94" s="27" t="n"/>
      <c r="J94" s="36" t="n"/>
      <c r="K94" s="27" t="n"/>
      <c r="L94" s="36" t="n"/>
    </row>
    <row r="95">
      <c r="B95" s="36" t="n"/>
      <c r="C95" s="27" t="n"/>
      <c r="D95" s="36" t="n"/>
      <c r="E95" s="36" t="n"/>
      <c r="F95" s="36" t="n"/>
      <c r="G95" s="27" t="n"/>
      <c r="H95" s="27" t="n"/>
      <c r="I95" s="27" t="n"/>
      <c r="J95" s="36" t="n"/>
      <c r="K95" s="27" t="n"/>
      <c r="L95" s="36" t="n"/>
    </row>
    <row r="96">
      <c r="B96" s="36" t="n"/>
      <c r="C96" s="27" t="n"/>
      <c r="D96" s="36" t="n"/>
      <c r="E96" s="36" t="n"/>
      <c r="F96" s="36" t="n"/>
      <c r="G96" s="27" t="n"/>
      <c r="H96" s="27" t="n"/>
      <c r="I96" s="27" t="n"/>
      <c r="J96" s="36" t="n"/>
      <c r="K96" s="27" t="n"/>
      <c r="L96" s="36" t="n"/>
    </row>
    <row r="97">
      <c r="B97" s="36" t="n"/>
      <c r="C97" s="27" t="n"/>
      <c r="D97" s="36" t="n"/>
      <c r="E97" s="36" t="n"/>
      <c r="F97" s="36" t="n"/>
      <c r="G97" s="27" t="n"/>
      <c r="H97" s="27" t="n"/>
      <c r="I97" s="27" t="n"/>
      <c r="J97" s="36" t="n"/>
      <c r="K97" s="27" t="n"/>
      <c r="L97" s="36" t="n"/>
    </row>
    <row r="98">
      <c r="B98" s="36" t="n"/>
      <c r="C98" s="27" t="n"/>
      <c r="D98" s="36" t="n"/>
      <c r="E98" s="36" t="n"/>
      <c r="F98" s="36" t="n"/>
      <c r="G98" s="27" t="n"/>
      <c r="H98" s="27" t="n"/>
      <c r="I98" s="27" t="n"/>
      <c r="J98" s="36" t="n"/>
      <c r="K98" s="27" t="n"/>
      <c r="L98" s="36" t="n"/>
    </row>
    <row r="99">
      <c r="B99" s="36" t="n"/>
      <c r="C99" s="27" t="n"/>
      <c r="D99" s="36" t="n"/>
      <c r="E99" s="36" t="n"/>
      <c r="F99" s="36" t="n"/>
      <c r="G99" s="27" t="n"/>
      <c r="H99" s="27" t="n"/>
      <c r="I99" s="27" t="n"/>
      <c r="J99" s="36" t="n"/>
      <c r="K99" s="27" t="n"/>
      <c r="L99" s="36" t="n"/>
    </row>
    <row r="100">
      <c r="B100" s="36" t="n"/>
      <c r="C100" s="27" t="n"/>
      <c r="D100" s="36" t="n"/>
      <c r="E100" s="36" t="n"/>
      <c r="F100" s="36" t="n"/>
      <c r="G100" s="27" t="n"/>
      <c r="H100" s="27" t="n"/>
      <c r="I100" s="27" t="n"/>
      <c r="J100" s="36" t="n"/>
      <c r="K100" s="27" t="n"/>
      <c r="L100" s="36" t="n"/>
    </row>
    <row r="101">
      <c r="B101" s="36" t="n"/>
      <c r="C101" s="27" t="n"/>
      <c r="D101" s="36" t="n"/>
      <c r="E101" s="36" t="n"/>
      <c r="F101" s="36" t="n"/>
      <c r="G101" s="27" t="n"/>
      <c r="H101" s="27" t="n"/>
      <c r="I101" s="27" t="n"/>
      <c r="J101" s="36" t="n"/>
      <c r="K101" s="27" t="n"/>
      <c r="L101" s="36" t="n"/>
    </row>
    <row r="102">
      <c r="B102" s="36" t="n"/>
      <c r="C102" s="27" t="n"/>
      <c r="D102" s="36" t="n"/>
      <c r="E102" s="36" t="n"/>
      <c r="F102" s="36" t="n"/>
      <c r="G102" s="27" t="n"/>
      <c r="H102" s="27" t="n"/>
      <c r="I102" s="27" t="n"/>
      <c r="J102" s="36" t="n"/>
      <c r="K102" s="27" t="n"/>
      <c r="L102" s="36" t="n"/>
    </row>
    <row r="103">
      <c r="B103" s="36" t="n"/>
      <c r="C103" s="27" t="n"/>
      <c r="D103" s="36" t="n"/>
      <c r="E103" s="36" t="n"/>
      <c r="F103" s="36" t="n"/>
      <c r="G103" s="27" t="n"/>
      <c r="H103" s="27" t="n"/>
      <c r="I103" s="27" t="n"/>
      <c r="J103" s="36" t="n"/>
      <c r="K103" s="27" t="n"/>
      <c r="L103" s="36" t="n"/>
    </row>
    <row r="104">
      <c r="B104" s="36" t="n"/>
      <c r="C104" s="27" t="n"/>
      <c r="D104" s="36" t="n"/>
      <c r="E104" s="36" t="n"/>
      <c r="F104" s="36" t="n"/>
      <c r="G104" s="27" t="n"/>
      <c r="H104" s="27" t="n"/>
      <c r="I104" s="27" t="n"/>
      <c r="J104" s="36" t="n"/>
      <c r="K104" s="27" t="n"/>
      <c r="L104" s="36" t="n"/>
    </row>
    <row r="105">
      <c r="B105" s="36" t="n"/>
      <c r="C105" s="27" t="n"/>
      <c r="D105" s="36" t="n"/>
      <c r="E105" s="36" t="n"/>
      <c r="F105" s="36" t="n"/>
      <c r="G105" s="27" t="n"/>
      <c r="H105" s="27" t="n"/>
      <c r="I105" s="27" t="n"/>
      <c r="J105" s="36" t="n"/>
      <c r="K105" s="27" t="n"/>
      <c r="L105" s="36" t="n"/>
    </row>
    <row r="106">
      <c r="B106" s="36" t="n"/>
      <c r="C106" s="27" t="n"/>
      <c r="D106" s="36" t="n"/>
      <c r="E106" s="36" t="n"/>
      <c r="F106" s="36" t="n"/>
      <c r="G106" s="27" t="n"/>
      <c r="H106" s="27" t="n"/>
      <c r="I106" s="27" t="n"/>
      <c r="J106" s="36" t="n"/>
      <c r="K106" s="27" t="n"/>
      <c r="L106" s="36" t="n"/>
    </row>
    <row r="107">
      <c r="B107" s="36" t="n"/>
      <c r="C107" s="27" t="n"/>
      <c r="D107" s="36" t="n"/>
      <c r="E107" s="36" t="n"/>
      <c r="F107" s="36" t="n"/>
      <c r="G107" s="27" t="n"/>
      <c r="H107" s="27" t="n"/>
      <c r="I107" s="27" t="n"/>
      <c r="J107" s="36" t="n"/>
      <c r="K107" s="27" t="n"/>
      <c r="L107" s="36" t="n"/>
    </row>
    <row r="108">
      <c r="B108" s="36" t="n"/>
      <c r="C108" s="27" t="n"/>
      <c r="D108" s="36" t="n"/>
      <c r="E108" s="36" t="n"/>
      <c r="F108" s="36" t="n"/>
      <c r="G108" s="27" t="n"/>
      <c r="H108" s="27" t="n"/>
      <c r="I108" s="27" t="n"/>
      <c r="J108" s="36" t="n"/>
      <c r="K108" s="27" t="n"/>
      <c r="L108" s="36" t="n"/>
    </row>
    <row r="109">
      <c r="B109" s="36" t="n"/>
      <c r="C109" s="27" t="n"/>
      <c r="D109" s="36" t="n"/>
      <c r="E109" s="36" t="n"/>
      <c r="F109" s="36" t="n"/>
      <c r="G109" s="27" t="n"/>
      <c r="H109" s="27" t="n"/>
      <c r="I109" s="27" t="n"/>
      <c r="J109" s="36" t="n"/>
      <c r="K109" s="27" t="n"/>
      <c r="L109" s="36" t="n"/>
    </row>
    <row r="110">
      <c r="B110" s="36" t="n"/>
      <c r="C110" s="27" t="n"/>
      <c r="D110" s="36" t="n"/>
      <c r="E110" s="36" t="n"/>
      <c r="F110" s="36" t="n"/>
      <c r="G110" s="27" t="n"/>
      <c r="H110" s="27" t="n"/>
      <c r="I110" s="27" t="n"/>
      <c r="J110" s="36" t="n"/>
      <c r="K110" s="27" t="n"/>
      <c r="L110" s="36" t="n"/>
    </row>
    <row r="111">
      <c r="B111" s="36" t="n"/>
      <c r="C111" s="27" t="n"/>
      <c r="D111" s="36" t="n"/>
      <c r="E111" s="36" t="n"/>
      <c r="F111" s="36" t="n"/>
      <c r="G111" s="27" t="n"/>
      <c r="H111" s="27" t="n"/>
      <c r="I111" s="27" t="n"/>
      <c r="J111" s="36" t="n"/>
      <c r="K111" s="27" t="n"/>
      <c r="L111" s="36" t="n"/>
    </row>
    <row r="112">
      <c r="B112" s="36" t="n"/>
      <c r="C112" s="27" t="n"/>
      <c r="D112" s="36" t="n"/>
      <c r="E112" s="36" t="n"/>
      <c r="F112" s="36" t="n"/>
      <c r="G112" s="27" t="n"/>
      <c r="H112" s="27" t="n"/>
      <c r="I112" s="27" t="n"/>
      <c r="J112" s="36" t="n"/>
      <c r="K112" s="27" t="n"/>
      <c r="L112" s="36" t="n"/>
    </row>
    <row r="113">
      <c r="B113" s="36" t="n"/>
      <c r="C113" s="27" t="n"/>
      <c r="D113" s="36" t="n"/>
      <c r="E113" s="36" t="n"/>
      <c r="F113" s="36" t="n"/>
      <c r="G113" s="27" t="n"/>
      <c r="H113" s="27" t="n"/>
      <c r="I113" s="27" t="n"/>
      <c r="J113" s="36" t="n"/>
      <c r="K113" s="27" t="n"/>
      <c r="L113" s="36" t="n"/>
    </row>
    <row r="114">
      <c r="B114" s="36" t="n"/>
      <c r="C114" s="27" t="n"/>
      <c r="D114" s="36" t="n"/>
      <c r="E114" s="36" t="n"/>
      <c r="F114" s="36" t="n"/>
      <c r="G114" s="27" t="n"/>
      <c r="H114" s="27" t="n"/>
      <c r="I114" s="27" t="n"/>
      <c r="J114" s="36" t="n"/>
      <c r="K114" s="27" t="n"/>
      <c r="L114" s="36" t="n"/>
    </row>
    <row r="115">
      <c r="B115" s="36" t="n"/>
      <c r="C115" s="27" t="n"/>
      <c r="D115" s="36" t="n"/>
      <c r="E115" s="36" t="n"/>
      <c r="F115" s="36" t="n"/>
      <c r="G115" s="27" t="n"/>
      <c r="H115" s="27" t="n"/>
      <c r="I115" s="27" t="n"/>
      <c r="J115" s="36" t="n"/>
      <c r="K115" s="27" t="n"/>
      <c r="L115" s="36" t="n"/>
    </row>
    <row r="116">
      <c r="B116" s="36" t="n"/>
      <c r="C116" s="27" t="n"/>
      <c r="D116" s="36" t="n"/>
      <c r="E116" s="36" t="n"/>
      <c r="F116" s="36" t="n"/>
      <c r="G116" s="27" t="n"/>
      <c r="H116" s="27" t="n"/>
      <c r="I116" s="27" t="n"/>
      <c r="J116" s="36" t="n"/>
      <c r="K116" s="27" t="n"/>
      <c r="L116" s="36" t="n"/>
    </row>
    <row r="117">
      <c r="B117" s="36" t="n"/>
      <c r="C117" s="27" t="n"/>
      <c r="D117" s="36" t="n"/>
      <c r="E117" s="36" t="n"/>
      <c r="F117" s="36" t="n"/>
      <c r="G117" s="27" t="n"/>
      <c r="H117" s="27" t="n"/>
      <c r="I117" s="27" t="n"/>
      <c r="J117" s="36" t="n"/>
      <c r="K117" s="27" t="n"/>
      <c r="L117" s="36" t="n"/>
    </row>
    <row r="118">
      <c r="B118" s="36" t="n"/>
      <c r="C118" s="27" t="n"/>
      <c r="D118" s="36" t="n"/>
      <c r="E118" s="36" t="n"/>
      <c r="F118" s="36" t="n"/>
      <c r="G118" s="27" t="n"/>
      <c r="H118" s="27" t="n"/>
      <c r="I118" s="27" t="n"/>
      <c r="J118" s="36" t="n"/>
      <c r="K118" s="27" t="n"/>
      <c r="L118" s="36" t="n"/>
    </row>
    <row r="119">
      <c r="B119" s="36" t="n"/>
      <c r="C119" s="27" t="n"/>
      <c r="D119" s="36" t="n"/>
      <c r="E119" s="36" t="n"/>
      <c r="F119" s="36" t="n"/>
      <c r="G119" s="27" t="n"/>
      <c r="H119" s="27" t="n"/>
      <c r="I119" s="27" t="n"/>
      <c r="J119" s="36" t="n"/>
      <c r="K119" s="27" t="n"/>
      <c r="L119" s="36" t="n"/>
    </row>
    <row r="120">
      <c r="B120" s="36" t="n"/>
      <c r="C120" s="27" t="n"/>
      <c r="D120" s="36" t="n"/>
      <c r="E120" s="36" t="n"/>
      <c r="F120" s="36" t="n"/>
      <c r="G120" s="27" t="n"/>
      <c r="H120" s="27" t="n"/>
      <c r="I120" s="27" t="n"/>
      <c r="J120" s="36" t="n"/>
      <c r="K120" s="27" t="n"/>
      <c r="L120" s="36" t="n"/>
    </row>
    <row r="121">
      <c r="B121" s="36" t="n"/>
      <c r="C121" s="27" t="n"/>
      <c r="D121" s="36" t="n"/>
      <c r="E121" s="36" t="n"/>
      <c r="F121" s="36" t="n"/>
      <c r="G121" s="27" t="n"/>
      <c r="H121" s="27" t="n"/>
      <c r="I121" s="27" t="n"/>
      <c r="J121" s="36" t="n"/>
      <c r="K121" s="27" t="n"/>
      <c r="L121" s="36" t="n"/>
    </row>
    <row r="122">
      <c r="B122" s="36" t="n"/>
      <c r="C122" s="27" t="n"/>
      <c r="D122" s="36" t="n"/>
      <c r="E122" s="36" t="n"/>
      <c r="F122" s="36" t="n"/>
      <c r="G122" s="27" t="n"/>
      <c r="H122" s="27" t="n"/>
      <c r="I122" s="27" t="n"/>
      <c r="J122" s="36" t="n"/>
      <c r="K122" s="27" t="n"/>
      <c r="L122" s="36" t="n"/>
    </row>
    <row r="123">
      <c r="B123" s="36" t="n"/>
      <c r="C123" s="27" t="n"/>
      <c r="D123" s="36" t="n"/>
      <c r="E123" s="36" t="n"/>
      <c r="F123" s="36" t="n"/>
      <c r="G123" s="27" t="n"/>
      <c r="H123" s="27" t="n"/>
      <c r="I123" s="27" t="n"/>
      <c r="J123" s="36" t="n"/>
      <c r="K123" s="27" t="n"/>
      <c r="L123" s="36" t="n"/>
    </row>
    <row r="124">
      <c r="B124" s="36" t="n"/>
      <c r="C124" s="27" t="n"/>
      <c r="D124" s="36" t="n"/>
      <c r="E124" s="36" t="n"/>
      <c r="F124" s="36" t="n"/>
      <c r="G124" s="27" t="n"/>
      <c r="H124" s="27" t="n"/>
      <c r="I124" s="27" t="n"/>
      <c r="J124" s="36" t="n"/>
      <c r="K124" s="27" t="n"/>
      <c r="L124" s="36" t="n"/>
    </row>
    <row r="125">
      <c r="B125" s="36" t="n"/>
      <c r="C125" s="27" t="n"/>
      <c r="D125" s="36" t="n"/>
      <c r="E125" s="36" t="n"/>
      <c r="F125" s="36" t="n"/>
      <c r="G125" s="27" t="n"/>
      <c r="H125" s="27" t="n"/>
      <c r="I125" s="27" t="n"/>
      <c r="J125" s="36" t="n"/>
      <c r="K125" s="27" t="n"/>
      <c r="L125" s="36" t="n"/>
    </row>
    <row r="126">
      <c r="B126" s="36" t="n"/>
      <c r="C126" s="27" t="n"/>
      <c r="D126" s="36" t="n"/>
      <c r="E126" s="36" t="n"/>
      <c r="F126" s="36" t="n"/>
      <c r="G126" s="27" t="n"/>
      <c r="H126" s="27" t="n"/>
      <c r="I126" s="27" t="n"/>
      <c r="J126" s="36" t="n"/>
      <c r="K126" s="27" t="n"/>
      <c r="L126" s="36" t="n"/>
    </row>
    <row r="127">
      <c r="B127" s="36" t="n"/>
      <c r="C127" s="27" t="n"/>
      <c r="D127" s="36" t="n"/>
      <c r="E127" s="36" t="n"/>
      <c r="F127" s="36" t="n"/>
      <c r="G127" s="27" t="n"/>
      <c r="H127" s="27" t="n"/>
      <c r="I127" s="27" t="n"/>
      <c r="J127" s="36" t="n"/>
      <c r="K127" s="27" t="n"/>
      <c r="L127" s="36" t="n"/>
    </row>
    <row r="128">
      <c r="B128" s="36" t="n"/>
      <c r="C128" s="27" t="n"/>
      <c r="D128" s="36" t="n"/>
      <c r="E128" s="36" t="n"/>
      <c r="F128" s="36" t="n"/>
      <c r="G128" s="27" t="n"/>
      <c r="H128" s="27" t="n"/>
      <c r="I128" s="27" t="n"/>
      <c r="J128" s="36" t="n"/>
      <c r="K128" s="27" t="n"/>
      <c r="L128" s="36" t="n"/>
    </row>
    <row r="129">
      <c r="B129" s="36" t="n"/>
      <c r="C129" s="27" t="n"/>
      <c r="D129" s="36" t="n"/>
      <c r="E129" s="36" t="n"/>
      <c r="F129" s="36" t="n"/>
      <c r="G129" s="27" t="n"/>
      <c r="H129" s="27" t="n"/>
      <c r="I129" s="27" t="n"/>
      <c r="J129" s="36" t="n"/>
      <c r="K129" s="27" t="n"/>
      <c r="L129" s="36" t="n"/>
    </row>
    <row r="130">
      <c r="B130" s="36" t="n"/>
      <c r="C130" s="27" t="n"/>
      <c r="D130" s="36" t="n"/>
      <c r="E130" s="36" t="n"/>
      <c r="F130" s="36" t="n"/>
      <c r="G130" s="27" t="n"/>
      <c r="H130" s="27" t="n"/>
      <c r="I130" s="27" t="n"/>
      <c r="J130" s="36" t="n"/>
      <c r="K130" s="27" t="n"/>
      <c r="L130" s="36" t="n"/>
    </row>
    <row r="131">
      <c r="B131" s="36" t="n"/>
      <c r="C131" s="27" t="n"/>
      <c r="D131" s="36" t="n"/>
      <c r="E131" s="36" t="n"/>
      <c r="F131" s="36" t="n"/>
      <c r="G131" s="27" t="n"/>
      <c r="H131" s="27" t="n"/>
      <c r="I131" s="27" t="n"/>
      <c r="J131" s="36" t="n"/>
      <c r="K131" s="27" t="n"/>
      <c r="L131" s="36" t="n"/>
    </row>
    <row r="132">
      <c r="B132" s="36" t="n"/>
      <c r="C132" s="27" t="n"/>
      <c r="D132" s="36" t="n"/>
      <c r="E132" s="36" t="n"/>
      <c r="F132" s="36" t="n"/>
      <c r="G132" s="27" t="n"/>
      <c r="H132" s="27" t="n"/>
      <c r="I132" s="27" t="n"/>
      <c r="J132" s="36" t="n"/>
      <c r="K132" s="27" t="n"/>
      <c r="L132" s="36" t="n"/>
    </row>
    <row r="133">
      <c r="B133" s="36" t="n"/>
      <c r="C133" s="27" t="n"/>
      <c r="D133" s="36" t="n"/>
      <c r="E133" s="36" t="n"/>
      <c r="F133" s="36" t="n"/>
      <c r="G133" s="27" t="n"/>
      <c r="H133" s="27" t="n"/>
      <c r="I133" s="27" t="n"/>
      <c r="J133" s="36" t="n"/>
      <c r="K133" s="27" t="n"/>
      <c r="L133" s="36" t="n"/>
    </row>
    <row r="134">
      <c r="B134" s="36" t="n"/>
      <c r="C134" s="27" t="n"/>
      <c r="D134" s="36" t="n"/>
      <c r="E134" s="36" t="n"/>
      <c r="F134" s="36" t="n"/>
      <c r="G134" s="27" t="n"/>
      <c r="H134" s="27" t="n"/>
      <c r="I134" s="27" t="n"/>
      <c r="J134" s="36" t="n"/>
      <c r="K134" s="27" t="n"/>
      <c r="L134" s="36" t="n"/>
    </row>
    <row r="135">
      <c r="B135" s="36" t="n"/>
      <c r="C135" s="27" t="n"/>
      <c r="D135" s="36" t="n"/>
      <c r="E135" s="36" t="n"/>
      <c r="F135" s="36" t="n"/>
      <c r="G135" s="27" t="n"/>
      <c r="H135" s="27" t="n"/>
      <c r="I135" s="27" t="n"/>
      <c r="J135" s="36" t="n"/>
      <c r="K135" s="27" t="n"/>
      <c r="L135" s="36" t="n"/>
    </row>
    <row r="136">
      <c r="B136" s="36" t="n"/>
      <c r="C136" s="27" t="n"/>
      <c r="D136" s="36" t="n"/>
      <c r="E136" s="36" t="n"/>
      <c r="F136" s="36" t="n"/>
      <c r="G136" s="27" t="n"/>
      <c r="H136" s="27" t="n"/>
      <c r="I136" s="27" t="n"/>
      <c r="J136" s="36" t="n"/>
      <c r="K136" s="27" t="n"/>
      <c r="L136" s="36" t="n"/>
    </row>
    <row r="137">
      <c r="B137" s="36" t="n"/>
      <c r="C137" s="27" t="n"/>
      <c r="D137" s="36" t="n"/>
      <c r="E137" s="36" t="n"/>
      <c r="F137" s="36" t="n"/>
      <c r="G137" s="27" t="n"/>
      <c r="H137" s="27" t="n"/>
      <c r="I137" s="27" t="n"/>
      <c r="J137" s="36" t="n"/>
      <c r="K137" s="27" t="n"/>
      <c r="L137" s="36" t="n"/>
    </row>
    <row r="138">
      <c r="B138" s="36" t="n"/>
      <c r="C138" s="27" t="n"/>
      <c r="D138" s="36" t="n"/>
      <c r="E138" s="36" t="n"/>
      <c r="F138" s="36" t="n"/>
      <c r="G138" s="27" t="n"/>
      <c r="H138" s="27" t="n"/>
      <c r="I138" s="27" t="n"/>
      <c r="J138" s="36" t="n"/>
      <c r="K138" s="27" t="n"/>
      <c r="L138" s="36" t="n"/>
    </row>
    <row r="139">
      <c r="B139" s="36" t="n"/>
      <c r="C139" s="27" t="n"/>
      <c r="D139" s="36" t="n"/>
      <c r="E139" s="36" t="n"/>
      <c r="F139" s="36" t="n"/>
      <c r="G139" s="27" t="n"/>
      <c r="H139" s="27" t="n"/>
      <c r="I139" s="27" t="n"/>
      <c r="J139" s="36" t="n"/>
      <c r="K139" s="27" t="n"/>
      <c r="L139" s="36" t="n"/>
    </row>
    <row r="140">
      <c r="B140" s="36" t="n"/>
      <c r="C140" s="27" t="n"/>
      <c r="D140" s="36" t="n"/>
      <c r="E140" s="36" t="n"/>
      <c r="F140" s="36" t="n"/>
      <c r="G140" s="27" t="n"/>
      <c r="H140" s="27" t="n"/>
      <c r="I140" s="27" t="n"/>
      <c r="J140" s="36" t="n"/>
      <c r="K140" s="27" t="n"/>
      <c r="L140" s="36" t="n"/>
    </row>
    <row r="141">
      <c r="B141" s="36" t="n"/>
      <c r="C141" s="27" t="n"/>
      <c r="D141" s="36" t="n"/>
      <c r="E141" s="36" t="n"/>
      <c r="F141" s="36" t="n"/>
      <c r="G141" s="27" t="n"/>
      <c r="H141" s="27" t="n"/>
      <c r="I141" s="27" t="n"/>
      <c r="J141" s="36" t="n"/>
      <c r="K141" s="27" t="n"/>
      <c r="L141" s="36" t="n"/>
    </row>
    <row r="142">
      <c r="B142" s="36" t="n"/>
      <c r="C142" s="27" t="n"/>
      <c r="D142" s="36" t="n"/>
      <c r="E142" s="36" t="n"/>
      <c r="F142" s="36" t="n"/>
      <c r="G142" s="27" t="n"/>
      <c r="H142" s="27" t="n"/>
      <c r="I142" s="27" t="n"/>
      <c r="J142" s="36" t="n"/>
      <c r="K142" s="27" t="n"/>
      <c r="L142" s="36" t="n"/>
    </row>
    <row r="143">
      <c r="B143" s="36" t="n"/>
      <c r="C143" s="27" t="n"/>
      <c r="D143" s="36" t="n"/>
      <c r="E143" s="36" t="n"/>
      <c r="F143" s="36" t="n"/>
      <c r="G143" s="27" t="n"/>
      <c r="H143" s="27" t="n"/>
      <c r="I143" s="27" t="n"/>
      <c r="J143" s="36" t="n"/>
      <c r="K143" s="27" t="n"/>
      <c r="L143" s="36" t="n"/>
    </row>
    <row r="144">
      <c r="B144" s="36" t="n"/>
      <c r="C144" s="27" t="n"/>
      <c r="D144" s="36" t="n"/>
      <c r="E144" s="36" t="n"/>
      <c r="F144" s="36" t="n"/>
      <c r="G144" s="27" t="n"/>
      <c r="H144" s="27" t="n"/>
      <c r="I144" s="27" t="n"/>
      <c r="J144" s="36" t="n"/>
      <c r="K144" s="27" t="n"/>
      <c r="L144" s="36" t="n"/>
    </row>
    <row r="145">
      <c r="B145" s="36" t="n"/>
      <c r="C145" s="27" t="n"/>
      <c r="D145" s="36" t="n"/>
      <c r="E145" s="36" t="n"/>
      <c r="F145" s="36" t="n"/>
      <c r="G145" s="27" t="n"/>
      <c r="H145" s="27" t="n"/>
      <c r="I145" s="27" t="n"/>
      <c r="J145" s="36" t="n"/>
      <c r="K145" s="27" t="n"/>
      <c r="L145" s="36" t="n"/>
    </row>
    <row r="146">
      <c r="B146" s="36" t="n"/>
      <c r="C146" s="27" t="n"/>
      <c r="D146" s="36" t="n"/>
      <c r="E146" s="36" t="n"/>
      <c r="F146" s="36" t="n"/>
      <c r="G146" s="27" t="n"/>
      <c r="H146" s="27" t="n"/>
      <c r="I146" s="27" t="n"/>
      <c r="J146" s="36" t="n"/>
      <c r="K146" s="27" t="n"/>
      <c r="L146" s="36" t="n"/>
    </row>
    <row r="147">
      <c r="B147" s="36" t="n"/>
      <c r="C147" s="27" t="n"/>
      <c r="D147" s="36" t="n"/>
      <c r="E147" s="36" t="n"/>
      <c r="F147" s="36" t="n"/>
      <c r="G147" s="27" t="n"/>
      <c r="H147" s="27" t="n"/>
      <c r="I147" s="27" t="n"/>
      <c r="J147" s="36" t="n"/>
      <c r="K147" s="27" t="n"/>
      <c r="L147" s="36" t="n"/>
    </row>
    <row r="148">
      <c r="B148" s="36" t="n"/>
      <c r="C148" s="27" t="n"/>
      <c r="D148" s="36" t="n"/>
      <c r="E148" s="36" t="n"/>
      <c r="F148" s="36" t="n"/>
      <c r="G148" s="27" t="n"/>
      <c r="H148" s="27" t="n"/>
      <c r="I148" s="27" t="n"/>
      <c r="J148" s="36" t="n"/>
      <c r="K148" s="27" t="n"/>
      <c r="L148" s="36" t="n"/>
    </row>
    <row r="149">
      <c r="B149" s="36" t="n"/>
      <c r="C149" s="27" t="n"/>
      <c r="D149" s="36" t="n"/>
      <c r="E149" s="36" t="n"/>
      <c r="F149" s="36" t="n"/>
      <c r="G149" s="27" t="n"/>
      <c r="H149" s="27" t="n"/>
      <c r="I149" s="27" t="n"/>
      <c r="J149" s="36" t="n"/>
      <c r="K149" s="27" t="n"/>
      <c r="L149" s="36" t="n"/>
    </row>
    <row r="150">
      <c r="B150" s="36" t="n"/>
      <c r="C150" s="27" t="n"/>
      <c r="D150" s="36" t="n"/>
      <c r="E150" s="36" t="n"/>
      <c r="F150" s="36" t="n"/>
      <c r="G150" s="27" t="n"/>
      <c r="H150" s="27" t="n"/>
      <c r="I150" s="27" t="n"/>
      <c r="J150" s="36" t="n"/>
      <c r="K150" s="27" t="n"/>
      <c r="L150" s="36" t="n"/>
    </row>
    <row r="151">
      <c r="B151" s="36" t="n"/>
      <c r="C151" s="27" t="n"/>
      <c r="D151" s="36" t="n"/>
      <c r="E151" s="36" t="n"/>
      <c r="F151" s="36" t="n"/>
      <c r="G151" s="27" t="n"/>
      <c r="H151" s="27" t="n"/>
      <c r="I151" s="27" t="n"/>
      <c r="J151" s="36" t="n"/>
      <c r="K151" s="27" t="n"/>
      <c r="L151" s="36" t="n"/>
    </row>
    <row r="152">
      <c r="B152" s="36" t="n"/>
      <c r="C152" s="27" t="n"/>
      <c r="D152" s="36" t="n"/>
      <c r="E152" s="36" t="n"/>
      <c r="F152" s="36" t="n"/>
      <c r="G152" s="27" t="n"/>
      <c r="H152" s="27" t="n"/>
      <c r="I152" s="27" t="n"/>
      <c r="J152" s="36" t="n"/>
      <c r="K152" s="27" t="n"/>
      <c r="L152" s="36" t="n"/>
    </row>
    <row r="153">
      <c r="B153" s="36" t="n"/>
      <c r="C153" s="27" t="n"/>
      <c r="D153" s="36" t="n"/>
      <c r="E153" s="36" t="n"/>
      <c r="F153" s="36" t="n"/>
      <c r="G153" s="27" t="n"/>
      <c r="H153" s="27" t="n"/>
      <c r="I153" s="27" t="n"/>
      <c r="J153" s="36" t="n"/>
      <c r="K153" s="27" t="n"/>
      <c r="L153" s="36" t="n"/>
    </row>
    <row r="154">
      <c r="B154" s="36" t="n"/>
      <c r="C154" s="27" t="n"/>
      <c r="D154" s="36" t="n"/>
      <c r="E154" s="36" t="n"/>
      <c r="F154" s="36" t="n"/>
      <c r="G154" s="27" t="n"/>
      <c r="H154" s="27" t="n"/>
      <c r="I154" s="27" t="n"/>
      <c r="J154" s="36" t="n"/>
      <c r="K154" s="27" t="n"/>
      <c r="L154" s="36" t="n"/>
    </row>
    <row r="155">
      <c r="B155" s="36" t="n"/>
      <c r="C155" s="27" t="n"/>
      <c r="D155" s="36" t="n"/>
      <c r="E155" s="36" t="n"/>
      <c r="F155" s="36" t="n"/>
      <c r="G155" s="27" t="n"/>
      <c r="H155" s="27" t="n"/>
      <c r="I155" s="27" t="n"/>
      <c r="J155" s="36" t="n"/>
      <c r="K155" s="27" t="n"/>
      <c r="L155" s="36" t="n"/>
    </row>
    <row r="156">
      <c r="B156" s="36" t="n"/>
      <c r="C156" s="27" t="n"/>
      <c r="D156" s="36" t="n"/>
      <c r="E156" s="36" t="n"/>
      <c r="F156" s="36" t="n"/>
      <c r="G156" s="27" t="n"/>
      <c r="H156" s="27" t="n"/>
      <c r="I156" s="27" t="n"/>
      <c r="J156" s="36" t="n"/>
      <c r="K156" s="27" t="n"/>
      <c r="L156" s="36" t="n"/>
    </row>
    <row r="157">
      <c r="B157" s="36" t="n"/>
      <c r="C157" s="27" t="n"/>
      <c r="D157" s="36" t="n"/>
      <c r="E157" s="36" t="n"/>
      <c r="F157" s="36" t="n"/>
      <c r="G157" s="27" t="n"/>
      <c r="H157" s="27" t="n"/>
      <c r="I157" s="27" t="n"/>
      <c r="J157" s="36" t="n"/>
      <c r="K157" s="27" t="n"/>
      <c r="L157" s="36" t="n"/>
    </row>
    <row r="158">
      <c r="B158" s="36" t="n"/>
      <c r="C158" s="27" t="n"/>
      <c r="D158" s="36" t="n"/>
      <c r="E158" s="36" t="n"/>
      <c r="F158" s="36" t="n"/>
      <c r="G158" s="27" t="n"/>
      <c r="H158" s="27" t="n"/>
      <c r="I158" s="27" t="n"/>
      <c r="J158" s="36" t="n"/>
      <c r="K158" s="27" t="n"/>
      <c r="L158" s="36" t="n"/>
    </row>
    <row r="159">
      <c r="B159" s="36" t="n"/>
      <c r="C159" s="27" t="n"/>
      <c r="D159" s="36" t="n"/>
      <c r="E159" s="36" t="n"/>
      <c r="F159" s="36" t="n"/>
      <c r="G159" s="27" t="n"/>
      <c r="H159" s="27" t="n"/>
      <c r="I159" s="27" t="n"/>
      <c r="J159" s="36" t="n"/>
      <c r="K159" s="27" t="n"/>
      <c r="L159" s="36" t="n"/>
    </row>
    <row r="160">
      <c r="B160" s="36" t="n"/>
      <c r="C160" s="27" t="n"/>
      <c r="D160" s="36" t="n"/>
      <c r="E160" s="36" t="n"/>
      <c r="F160" s="36" t="n"/>
      <c r="G160" s="27" t="n"/>
      <c r="H160" s="27" t="n"/>
      <c r="I160" s="27" t="n"/>
      <c r="J160" s="36" t="n"/>
      <c r="K160" s="27" t="n"/>
      <c r="L160" s="36" t="n"/>
    </row>
    <row r="161">
      <c r="B161" s="36" t="n"/>
      <c r="C161" s="27" t="n"/>
      <c r="D161" s="36" t="n"/>
      <c r="E161" s="36" t="n"/>
      <c r="F161" s="36" t="n"/>
      <c r="G161" s="27" t="n"/>
      <c r="H161" s="27" t="n"/>
      <c r="I161" s="27" t="n"/>
      <c r="J161" s="36" t="n"/>
      <c r="K161" s="27" t="n"/>
      <c r="L161" s="36" t="n"/>
    </row>
    <row r="162">
      <c r="B162" s="36" t="n"/>
      <c r="C162" s="27" t="n"/>
      <c r="D162" s="36" t="n"/>
      <c r="E162" s="36" t="n"/>
      <c r="F162" s="36" t="n"/>
      <c r="G162" s="27" t="n"/>
      <c r="H162" s="27" t="n"/>
      <c r="I162" s="27" t="n"/>
      <c r="J162" s="36" t="n"/>
      <c r="K162" s="27" t="n"/>
      <c r="L162" s="36" t="n"/>
    </row>
    <row r="163">
      <c r="B163" s="36" t="n"/>
      <c r="C163" s="27" t="n"/>
      <c r="D163" s="36" t="n"/>
      <c r="E163" s="36" t="n"/>
      <c r="F163" s="36" t="n"/>
      <c r="G163" s="27" t="n"/>
      <c r="H163" s="27" t="n"/>
      <c r="I163" s="27" t="n"/>
      <c r="J163" s="36" t="n"/>
      <c r="K163" s="27" t="n"/>
      <c r="L163" s="36" t="n"/>
    </row>
    <row r="164">
      <c r="B164" s="36" t="n"/>
      <c r="C164" s="27" t="n"/>
      <c r="D164" s="36" t="n"/>
      <c r="E164" s="36" t="n"/>
      <c r="F164" s="36" t="n"/>
      <c r="G164" s="27" t="n"/>
      <c r="H164" s="27" t="n"/>
      <c r="I164" s="27" t="n"/>
      <c r="J164" s="36" t="n"/>
      <c r="K164" s="27" t="n"/>
      <c r="L164" s="36" t="n"/>
    </row>
    <row r="165">
      <c r="B165" s="36" t="n"/>
      <c r="C165" s="27" t="n"/>
      <c r="D165" s="36" t="n"/>
      <c r="E165" s="36" t="n"/>
      <c r="F165" s="36" t="n"/>
      <c r="G165" s="27" t="n"/>
      <c r="H165" s="27" t="n"/>
      <c r="I165" s="27" t="n"/>
      <c r="J165" s="36" t="n"/>
      <c r="K165" s="27" t="n"/>
      <c r="L165" s="36" t="n"/>
    </row>
    <row r="166">
      <c r="B166" s="36" t="n"/>
      <c r="C166" s="27" t="n"/>
      <c r="D166" s="36" t="n"/>
      <c r="E166" s="36" t="n"/>
      <c r="F166" s="36" t="n"/>
      <c r="G166" s="27" t="n"/>
      <c r="H166" s="27" t="n"/>
      <c r="I166" s="27" t="n"/>
      <c r="J166" s="36" t="n"/>
      <c r="K166" s="27" t="n"/>
      <c r="L166" s="36" t="n"/>
    </row>
    <row r="167">
      <c r="B167" s="36" t="n"/>
      <c r="C167" s="27" t="n"/>
      <c r="D167" s="36" t="n"/>
      <c r="E167" s="36" t="n"/>
      <c r="F167" s="36" t="n"/>
      <c r="G167" s="27" t="n"/>
      <c r="H167" s="27" t="n"/>
      <c r="I167" s="27" t="n"/>
      <c r="J167" s="36" t="n"/>
      <c r="K167" s="27" t="n"/>
      <c r="L167" s="36" t="n"/>
    </row>
    <row r="168">
      <c r="B168" s="36" t="n"/>
      <c r="C168" s="27" t="n"/>
      <c r="D168" s="36" t="n"/>
      <c r="E168" s="36" t="n"/>
      <c r="F168" s="36" t="n"/>
      <c r="G168" s="27" t="n"/>
      <c r="H168" s="27" t="n"/>
      <c r="I168" s="27" t="n"/>
      <c r="J168" s="36" t="n"/>
      <c r="K168" s="27" t="n"/>
      <c r="L168" s="36" t="n"/>
    </row>
    <row r="169">
      <c r="B169" s="36" t="n"/>
      <c r="C169" s="27" t="n"/>
      <c r="D169" s="36" t="n"/>
      <c r="E169" s="36" t="n"/>
      <c r="F169" s="36" t="n"/>
      <c r="G169" s="27" t="n"/>
      <c r="H169" s="27" t="n"/>
      <c r="I169" s="27" t="n"/>
      <c r="J169" s="36" t="n"/>
      <c r="K169" s="27" t="n"/>
      <c r="L169" s="36" t="n"/>
    </row>
    <row r="170">
      <c r="B170" s="36" t="n"/>
      <c r="C170" s="27" t="n"/>
      <c r="D170" s="36" t="n"/>
      <c r="E170" s="36" t="n"/>
      <c r="F170" s="36" t="n"/>
      <c r="G170" s="27" t="n"/>
      <c r="H170" s="27" t="n"/>
      <c r="I170" s="27" t="n"/>
      <c r="J170" s="36" t="n"/>
      <c r="K170" s="27" t="n"/>
      <c r="L170" s="36" t="n"/>
    </row>
    <row r="171">
      <c r="B171" s="36" t="n"/>
      <c r="C171" s="27" t="n"/>
      <c r="D171" s="36" t="n"/>
      <c r="E171" s="36" t="n"/>
      <c r="F171" s="36" t="n"/>
      <c r="G171" s="27" t="n"/>
      <c r="H171" s="27" t="n"/>
      <c r="I171" s="27" t="n"/>
      <c r="J171" s="36" t="n"/>
      <c r="K171" s="27" t="n"/>
      <c r="L171" s="36" t="n"/>
    </row>
    <row r="172">
      <c r="B172" s="36" t="n"/>
      <c r="C172" s="27" t="n"/>
      <c r="D172" s="36" t="n"/>
      <c r="E172" s="36" t="n"/>
      <c r="F172" s="36" t="n"/>
      <c r="G172" s="27" t="n"/>
      <c r="H172" s="27" t="n"/>
      <c r="I172" s="27" t="n"/>
      <c r="J172" s="36" t="n"/>
      <c r="K172" s="27" t="n"/>
      <c r="L172" s="36" t="n"/>
    </row>
    <row r="173">
      <c r="B173" s="36" t="n"/>
      <c r="C173" s="27" t="n"/>
      <c r="D173" s="36" t="n"/>
      <c r="E173" s="36" t="n"/>
      <c r="F173" s="36" t="n"/>
      <c r="G173" s="27" t="n"/>
      <c r="H173" s="27" t="n"/>
      <c r="I173" s="27" t="n"/>
      <c r="J173" s="36" t="n"/>
      <c r="K173" s="27" t="n"/>
      <c r="L173" s="36" t="n"/>
    </row>
    <row r="174">
      <c r="B174" s="36" t="n"/>
      <c r="C174" s="27" t="n"/>
      <c r="D174" s="36" t="n"/>
      <c r="E174" s="36" t="n"/>
      <c r="F174" s="36" t="n"/>
      <c r="G174" s="27" t="n"/>
      <c r="H174" s="27" t="n"/>
      <c r="I174" s="27" t="n"/>
      <c r="J174" s="36" t="n"/>
      <c r="K174" s="27" t="n"/>
      <c r="L174" s="36" t="n"/>
    </row>
    <row r="175">
      <c r="B175" s="36" t="n"/>
      <c r="C175" s="27" t="n"/>
      <c r="D175" s="36" t="n"/>
      <c r="E175" s="36" t="n"/>
      <c r="F175" s="36" t="n"/>
      <c r="G175" s="27" t="n"/>
      <c r="H175" s="27" t="n"/>
      <c r="I175" s="27" t="n"/>
      <c r="J175" s="36" t="n"/>
      <c r="K175" s="27" t="n"/>
      <c r="L175" s="36" t="n"/>
    </row>
    <row r="176">
      <c r="B176" s="36" t="n"/>
      <c r="C176" s="27" t="n"/>
      <c r="D176" s="36" t="n"/>
      <c r="E176" s="36" t="n"/>
      <c r="F176" s="36" t="n"/>
      <c r="G176" s="27" t="n"/>
      <c r="H176" s="27" t="n"/>
      <c r="I176" s="27" t="n"/>
      <c r="J176" s="36" t="n"/>
      <c r="K176" s="27" t="n"/>
      <c r="L176" s="36" t="n"/>
    </row>
    <row r="177">
      <c r="B177" s="36" t="n"/>
      <c r="C177" s="27" t="n"/>
      <c r="D177" s="36" t="n"/>
      <c r="E177" s="36" t="n"/>
      <c r="F177" s="36" t="n"/>
      <c r="G177" s="27" t="n"/>
      <c r="H177" s="27" t="n"/>
      <c r="I177" s="27" t="n"/>
      <c r="J177" s="36" t="n"/>
      <c r="K177" s="27" t="n"/>
      <c r="L177" s="36" t="n"/>
    </row>
    <row r="178">
      <c r="B178" s="36" t="n"/>
      <c r="C178" s="27" t="n"/>
      <c r="D178" s="36" t="n"/>
      <c r="E178" s="36" t="n"/>
      <c r="F178" s="36" t="n"/>
      <c r="G178" s="27" t="n"/>
      <c r="H178" s="27" t="n"/>
      <c r="I178" s="27" t="n"/>
      <c r="J178" s="36" t="n"/>
      <c r="K178" s="27" t="n"/>
      <c r="L178" s="36" t="n"/>
    </row>
    <row r="179">
      <c r="B179" s="36" t="n"/>
      <c r="C179" s="27" t="n"/>
      <c r="D179" s="36" t="n"/>
      <c r="E179" s="36" t="n"/>
      <c r="F179" s="36" t="n"/>
      <c r="G179" s="27" t="n"/>
      <c r="H179" s="27" t="n"/>
      <c r="I179" s="27" t="n"/>
      <c r="J179" s="36" t="n"/>
      <c r="K179" s="27" t="n"/>
      <c r="L179" s="36" t="n"/>
    </row>
    <row r="180">
      <c r="B180" s="36" t="n"/>
      <c r="C180" s="27" t="n"/>
      <c r="D180" s="36" t="n"/>
      <c r="E180" s="36" t="n"/>
      <c r="F180" s="36" t="n"/>
      <c r="G180" s="27" t="n"/>
      <c r="H180" s="27" t="n"/>
      <c r="I180" s="27" t="n"/>
      <c r="J180" s="36" t="n"/>
      <c r="K180" s="27" t="n"/>
      <c r="L180" s="36" t="n"/>
    </row>
    <row r="181">
      <c r="B181" s="36" t="n"/>
      <c r="C181" s="27" t="n"/>
      <c r="D181" s="36" t="n"/>
      <c r="E181" s="36" t="n"/>
      <c r="F181" s="36" t="n"/>
      <c r="G181" s="27" t="n"/>
      <c r="H181" s="27" t="n"/>
      <c r="I181" s="27" t="n"/>
      <c r="J181" s="36" t="n"/>
      <c r="K181" s="27" t="n"/>
      <c r="L181" s="36" t="n"/>
    </row>
    <row r="182">
      <c r="B182" s="36" t="n"/>
      <c r="C182" s="27" t="n"/>
      <c r="D182" s="36" t="n"/>
      <c r="E182" s="36" t="n"/>
      <c r="F182" s="36" t="n"/>
      <c r="G182" s="27" t="n"/>
      <c r="H182" s="27" t="n"/>
      <c r="I182" s="27" t="n"/>
      <c r="J182" s="36" t="n"/>
      <c r="K182" s="27" t="n"/>
      <c r="L182" s="36" t="n"/>
    </row>
    <row r="183">
      <c r="B183" s="36" t="n"/>
      <c r="C183" s="27" t="n"/>
      <c r="D183" s="36" t="n"/>
      <c r="E183" s="36" t="n"/>
      <c r="F183" s="36" t="n"/>
      <c r="G183" s="27" t="n"/>
      <c r="H183" s="27" t="n"/>
      <c r="I183" s="27" t="n"/>
      <c r="J183" s="36" t="n"/>
      <c r="K183" s="27" t="n"/>
      <c r="L183" s="36" t="n"/>
    </row>
    <row r="184">
      <c r="B184" s="36" t="n"/>
      <c r="C184" s="27" t="n"/>
      <c r="D184" s="36" t="n"/>
      <c r="E184" s="36" t="n"/>
      <c r="F184" s="36" t="n"/>
      <c r="G184" s="27" t="n"/>
      <c r="H184" s="27" t="n"/>
      <c r="I184" s="27" t="n"/>
      <c r="J184" s="36" t="n"/>
      <c r="K184" s="27" t="n"/>
      <c r="L184" s="36" t="n"/>
    </row>
    <row r="185">
      <c r="B185" s="36" t="n"/>
      <c r="C185" s="27" t="n"/>
      <c r="D185" s="36" t="n"/>
      <c r="E185" s="36" t="n"/>
      <c r="F185" s="36" t="n"/>
      <c r="G185" s="27" t="n"/>
      <c r="H185" s="27" t="n"/>
      <c r="I185" s="27" t="n"/>
      <c r="J185" s="36" t="n"/>
      <c r="K185" s="27" t="n"/>
      <c r="L185" s="36" t="n"/>
    </row>
    <row r="186">
      <c r="B186" s="36" t="n"/>
      <c r="C186" s="27" t="n"/>
      <c r="D186" s="36" t="n"/>
      <c r="E186" s="36" t="n"/>
      <c r="F186" s="36" t="n"/>
      <c r="G186" s="27" t="n"/>
      <c r="H186" s="27" t="n"/>
      <c r="I186" s="27" t="n"/>
      <c r="J186" s="36" t="n"/>
      <c r="K186" s="27" t="n"/>
      <c r="L186" s="36" t="n"/>
    </row>
    <row r="187">
      <c r="B187" s="36" t="n"/>
      <c r="C187" s="27" t="n"/>
      <c r="D187" s="36" t="n"/>
      <c r="E187" s="36" t="n"/>
      <c r="F187" s="36" t="n"/>
      <c r="G187" s="27" t="n"/>
      <c r="H187" s="27" t="n"/>
      <c r="I187" s="27" t="n"/>
      <c r="J187" s="36" t="n"/>
      <c r="K187" s="27" t="n"/>
      <c r="L187" s="36" t="n"/>
    </row>
    <row r="188">
      <c r="B188" s="36" t="n"/>
      <c r="C188" s="27" t="n"/>
      <c r="D188" s="36" t="n"/>
      <c r="E188" s="36" t="n"/>
      <c r="F188" s="36" t="n"/>
      <c r="G188" s="27" t="n"/>
      <c r="H188" s="27" t="n"/>
      <c r="I188" s="27" t="n"/>
      <c r="J188" s="36" t="n"/>
      <c r="K188" s="27" t="n"/>
      <c r="L188" s="36" t="n"/>
    </row>
    <row r="189">
      <c r="B189" s="36" t="n"/>
      <c r="C189" s="27" t="n"/>
      <c r="D189" s="36" t="n"/>
      <c r="E189" s="36" t="n"/>
      <c r="F189" s="36" t="n"/>
      <c r="G189" s="27" t="n"/>
      <c r="H189" s="27" t="n"/>
      <c r="I189" s="27" t="n"/>
      <c r="J189" s="36" t="n"/>
      <c r="K189" s="27" t="n"/>
      <c r="L189" s="36" t="n"/>
    </row>
    <row r="190">
      <c r="B190" s="36" t="n"/>
      <c r="C190" s="27" t="n"/>
      <c r="D190" s="36" t="n"/>
      <c r="E190" s="36" t="n"/>
      <c r="F190" s="36" t="n"/>
      <c r="G190" s="27" t="n"/>
      <c r="H190" s="27" t="n"/>
      <c r="I190" s="27" t="n"/>
      <c r="J190" s="36" t="n"/>
      <c r="K190" s="27" t="n"/>
      <c r="L190" s="36" t="n"/>
    </row>
    <row r="191">
      <c r="B191" s="36" t="n"/>
      <c r="C191" s="27" t="n"/>
      <c r="D191" s="36" t="n"/>
      <c r="E191" s="36" t="n"/>
      <c r="F191" s="36" t="n"/>
      <c r="G191" s="27" t="n"/>
      <c r="H191" s="27" t="n"/>
      <c r="I191" s="27" t="n"/>
      <c r="J191" s="36" t="n"/>
      <c r="K191" s="27" t="n"/>
      <c r="L191" s="36" t="n"/>
    </row>
    <row r="192">
      <c r="B192" s="36" t="n"/>
      <c r="C192" s="27" t="n"/>
      <c r="D192" s="36" t="n"/>
      <c r="E192" s="36" t="n"/>
      <c r="F192" s="36" t="n"/>
      <c r="G192" s="27" t="n"/>
      <c r="H192" s="27" t="n"/>
      <c r="I192" s="27" t="n"/>
      <c r="J192" s="36" t="n"/>
      <c r="K192" s="27" t="n"/>
      <c r="L192" s="36" t="n"/>
    </row>
    <row r="193">
      <c r="B193" s="36" t="n"/>
      <c r="C193" s="27" t="n"/>
      <c r="D193" s="36" t="n"/>
      <c r="E193" s="36" t="n"/>
      <c r="F193" s="36" t="n"/>
      <c r="G193" s="27" t="n"/>
      <c r="H193" s="27" t="n"/>
      <c r="I193" s="27" t="n"/>
      <c r="J193" s="36" t="n"/>
      <c r="K193" s="27" t="n"/>
      <c r="L193" s="36" t="n"/>
    </row>
    <row r="194">
      <c r="B194" s="36" t="n"/>
      <c r="C194" s="27" t="n"/>
      <c r="D194" s="36" t="n"/>
      <c r="E194" s="36" t="n"/>
      <c r="F194" s="36" t="n"/>
      <c r="G194" s="27" t="n"/>
      <c r="H194" s="27" t="n"/>
      <c r="I194" s="27" t="n"/>
      <c r="J194" s="36" t="n"/>
      <c r="K194" s="27" t="n"/>
      <c r="L194" s="36" t="n"/>
    </row>
    <row r="195">
      <c r="B195" s="36" t="n"/>
      <c r="C195" s="27" t="n"/>
      <c r="D195" s="36" t="n"/>
      <c r="E195" s="36" t="n"/>
      <c r="F195" s="36" t="n"/>
      <c r="G195" s="27" t="n"/>
      <c r="H195" s="27" t="n"/>
      <c r="I195" s="27" t="n"/>
      <c r="J195" s="36" t="n"/>
      <c r="K195" s="27" t="n"/>
      <c r="L195" s="36" t="n"/>
    </row>
    <row r="196">
      <c r="B196" s="36" t="n"/>
      <c r="C196" s="27" t="n"/>
      <c r="D196" s="36" t="n"/>
      <c r="E196" s="36" t="n"/>
      <c r="F196" s="36" t="n"/>
      <c r="G196" s="27" t="n"/>
      <c r="H196" s="27" t="n"/>
      <c r="I196" s="27" t="n"/>
      <c r="J196" s="36" t="n"/>
      <c r="K196" s="27" t="n"/>
      <c r="L196" s="36" t="n"/>
    </row>
    <row r="197">
      <c r="B197" s="36" t="n"/>
      <c r="C197" s="27" t="n"/>
      <c r="D197" s="36" t="n"/>
      <c r="E197" s="36" t="n"/>
      <c r="F197" s="36" t="n"/>
      <c r="G197" s="27" t="n"/>
      <c r="H197" s="27" t="n"/>
      <c r="I197" s="27" t="n"/>
      <c r="J197" s="36" t="n"/>
      <c r="K197" s="27" t="n"/>
      <c r="L197" s="36" t="n"/>
    </row>
    <row r="198">
      <c r="B198" s="36" t="n"/>
      <c r="C198" s="27" t="n"/>
      <c r="D198" s="36" t="n"/>
      <c r="E198" s="36" t="n"/>
      <c r="F198" s="36" t="n"/>
      <c r="G198" s="27" t="n"/>
      <c r="H198" s="27" t="n"/>
      <c r="I198" s="27" t="n"/>
      <c r="J198" s="36" t="n"/>
      <c r="K198" s="27" t="n"/>
      <c r="L198" s="36" t="n"/>
    </row>
    <row r="199">
      <c r="B199" s="36" t="n"/>
      <c r="C199" s="27" t="n"/>
      <c r="D199" s="36" t="n"/>
      <c r="E199" s="36" t="n"/>
      <c r="F199" s="36" t="n"/>
      <c r="G199" s="27" t="n"/>
      <c r="H199" s="27" t="n"/>
      <c r="I199" s="27" t="n"/>
      <c r="J199" s="36" t="n"/>
      <c r="K199" s="27" t="n"/>
      <c r="L199" s="36" t="n"/>
    </row>
    <row r="200">
      <c r="B200" s="36" t="n"/>
      <c r="C200" s="27" t="n"/>
      <c r="D200" s="36" t="n"/>
      <c r="E200" s="36" t="n"/>
      <c r="F200" s="36" t="n"/>
      <c r="G200" s="27" t="n"/>
      <c r="H200" s="27" t="n"/>
      <c r="I200" s="27" t="n"/>
      <c r="J200" s="36" t="n"/>
      <c r="K200" s="27" t="n"/>
      <c r="L200" s="36" t="n"/>
    </row>
    <row r="201">
      <c r="B201" s="36" t="n"/>
      <c r="C201" s="27" t="n"/>
      <c r="D201" s="36" t="n"/>
      <c r="E201" s="36" t="n"/>
      <c r="F201" s="36" t="n"/>
      <c r="G201" s="27" t="n"/>
      <c r="H201" s="27" t="n"/>
      <c r="I201" s="27" t="n"/>
      <c r="J201" s="36" t="n"/>
      <c r="K201" s="27" t="n"/>
      <c r="L201" s="36" t="n"/>
    </row>
    <row r="202">
      <c r="B202" s="36" t="n"/>
      <c r="C202" s="27" t="n"/>
      <c r="D202" s="36" t="n"/>
      <c r="E202" s="36" t="n"/>
      <c r="F202" s="36" t="n"/>
      <c r="G202" s="27" t="n"/>
      <c r="H202" s="27" t="n"/>
      <c r="I202" s="27" t="n"/>
      <c r="J202" s="36" t="n"/>
      <c r="K202" s="27" t="n"/>
      <c r="L202" s="36" t="n"/>
    </row>
    <row r="203">
      <c r="B203" s="36" t="n"/>
      <c r="C203" s="27" t="n"/>
      <c r="D203" s="36" t="n"/>
      <c r="E203" s="36" t="n"/>
      <c r="F203" s="36" t="n"/>
      <c r="G203" s="27" t="n"/>
      <c r="H203" s="27" t="n"/>
      <c r="I203" s="27" t="n"/>
      <c r="J203" s="36" t="n"/>
      <c r="K203" s="27" t="n"/>
      <c r="L203" s="36" t="n"/>
    </row>
    <row r="204">
      <c r="B204" s="36" t="n"/>
      <c r="C204" s="27" t="n"/>
      <c r="D204" s="36" t="n"/>
      <c r="E204" s="36" t="n"/>
      <c r="F204" s="36" t="n"/>
      <c r="G204" s="27" t="n"/>
      <c r="H204" s="27" t="n"/>
      <c r="I204" s="27" t="n"/>
      <c r="J204" s="36" t="n"/>
      <c r="K204" s="27" t="n"/>
      <c r="L204" s="36" t="n"/>
    </row>
    <row r="205">
      <c r="B205" s="36" t="n"/>
      <c r="C205" s="27" t="n"/>
      <c r="D205" s="36" t="n"/>
      <c r="E205" s="36" t="n"/>
      <c r="F205" s="36" t="n"/>
      <c r="G205" s="27" t="n"/>
      <c r="H205" s="27" t="n"/>
      <c r="I205" s="27" t="n"/>
      <c r="J205" s="36" t="n"/>
      <c r="K205" s="27" t="n"/>
      <c r="L205" s="36" t="n"/>
    </row>
    <row r="206">
      <c r="B206" s="36" t="n"/>
      <c r="C206" s="27" t="n"/>
      <c r="D206" s="36" t="n"/>
      <c r="E206" s="36" t="n"/>
      <c r="F206" s="36" t="n"/>
      <c r="G206" s="27" t="n"/>
      <c r="H206" s="27" t="n"/>
      <c r="I206" s="27" t="n"/>
      <c r="J206" s="36" t="n"/>
      <c r="K206" s="27" t="n"/>
      <c r="L206" s="36" t="n"/>
    </row>
    <row r="207">
      <c r="B207" s="36" t="n"/>
      <c r="C207" s="27" t="n"/>
      <c r="D207" s="36" t="n"/>
      <c r="E207" s="36" t="n"/>
      <c r="F207" s="36" t="n"/>
      <c r="G207" s="27" t="n"/>
      <c r="H207" s="27" t="n"/>
      <c r="I207" s="27" t="n"/>
      <c r="J207" s="36" t="n"/>
      <c r="K207" s="27" t="n"/>
      <c r="L207" s="36" t="n"/>
    </row>
    <row r="208">
      <c r="B208" s="36" t="n"/>
      <c r="C208" s="27" t="n"/>
      <c r="D208" s="36" t="n"/>
      <c r="E208" s="36" t="n"/>
      <c r="F208" s="36" t="n"/>
      <c r="G208" s="27" t="n"/>
      <c r="H208" s="27" t="n"/>
      <c r="I208" s="27" t="n"/>
      <c r="J208" s="36" t="n"/>
      <c r="K208" s="27" t="n"/>
      <c r="L208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L208"/>
  <mergeCells count="2">
    <mergeCell ref="B2:L2"/>
    <mergeCell ref="B1:L1"/>
  </mergeCells>
  <conditionalFormatting sqref="G9:G208">
    <cfRule type="cellIs" priority="1" operator="equal" dxfId="0">
      <formula>"Confirmed"</formula>
    </cfRule>
    <cfRule type="cellIs" priority="2" operator="equal" dxfId="2">
      <formula>"Declined"</formula>
    </cfRule>
    <cfRule type="cellIs" priority="3" operator="equal" dxfId="1">
      <formula>"Pending"</formula>
    </cfRule>
  </conditionalFormatting>
  <dataValidations count="4">
    <dataValidation sqref="C9:C208" showDropDown="0" showInputMessage="0" showErrorMessage="0" allowBlank="1" type="list">
      <formula1>"Bride,Groom,Both,Other"</formula1>
    </dataValidation>
    <dataValidation sqref="G9:G208" showDropDown="0" showInputMessage="0" showErrorMessage="0" allowBlank="1" type="list">
      <formula1>"Pending,Confirmed,Declined,No Reply"</formula1>
    </dataValidation>
    <dataValidation sqref="H9:H208" showDropDown="0" showInputMessage="0" showErrorMessage="0" allowBlank="1" type="list">
      <formula1>"Chicken,Beef,Fish,Vegetarian,Vegan,Gluten-Free,Kids Meal,TBD"</formula1>
    </dataValidation>
    <dataValidation sqref="I9:I208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D98BA3"/>
    <outlinePr summaryBelow="1" summaryRight="1"/>
    <pageSetUpPr fitToPage="1"/>
  </sheetPr>
  <dimension ref="B1:I20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</cols>
  <sheetData>
    <row r="1" ht="30" customHeight="1">
      <c r="B1" s="1" t="inlineStr">
        <is>
          <t>📬  SAVE-THE-DATE &amp; INVITATION TRACKER</t>
        </is>
      </c>
      <c r="C1" s="2" t="n"/>
      <c r="D1" s="2" t="n"/>
      <c r="E1" s="2" t="n"/>
      <c r="F1" s="2" t="n"/>
      <c r="G1" s="2" t="n"/>
      <c r="H1" s="2" t="n"/>
      <c r="I1" s="3" t="n"/>
    </row>
    <row r="2" ht="15" customHeight="1">
      <c r="B2" s="4" t="inlineStr">
        <is>
          <t>Guest names pull in automatically from the Guest List</t>
        </is>
      </c>
      <c r="C2" s="2" t="n"/>
      <c r="D2" s="2" t="n"/>
      <c r="E2" s="2" t="n"/>
      <c r="F2" s="2" t="n"/>
      <c r="G2" s="2" t="n"/>
      <c r="H2" s="2" t="n"/>
      <c r="I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5">
      <c r="B5" s="8" t="inlineStr">
        <is>
          <t>STCs SENT</t>
        </is>
      </c>
      <c r="C5" s="31">
        <f>SUMPRODUCT(($D$9:$D$208&lt;&gt;"")*1)</f>
        <v/>
      </c>
      <c r="D5" s="8" t="inlineStr">
        <is>
          <t>INVITES SENT</t>
        </is>
      </c>
      <c r="E5" s="31">
        <f>SUMPRODUCT(($E$9:$E$208&lt;&gt;"")*1)</f>
        <v/>
      </c>
      <c r="F5" s="8" t="inlineStr">
        <is>
          <t>RSVPs IN</t>
        </is>
      </c>
      <c r="G5" s="31">
        <f>COUNTIF($F$9:$F$208,"Yes")</f>
        <v/>
      </c>
      <c r="H5" s="8" t="inlineStr">
        <is>
          <t>CONFIRMED</t>
        </is>
      </c>
      <c r="I5" s="31">
        <f>COUNTIF($G$9:$G$208,"Confirmed")</f>
        <v/>
      </c>
    </row>
    <row r="8" ht="26" customHeight="1">
      <c r="B8" s="35" t="inlineStr">
        <is>
          <t>Guest 🔒</t>
        </is>
      </c>
      <c r="C8" s="35" t="inlineStr">
        <is>
          <t>Group 🔒</t>
        </is>
      </c>
      <c r="D8" s="35" t="inlineStr">
        <is>
          <t>Save-the-date sent</t>
        </is>
      </c>
      <c r="E8" s="35" t="inlineStr">
        <is>
          <t>Invitation sent</t>
        </is>
      </c>
      <c r="F8" s="35" t="inlineStr">
        <is>
          <t>RSVP received?</t>
        </is>
      </c>
      <c r="G8" s="35" t="inlineStr">
        <is>
          <t>Response</t>
        </is>
      </c>
      <c r="H8" s="35" t="inlineStr">
        <is>
          <t>Reply date</t>
        </is>
      </c>
      <c r="I8" s="35" t="inlineStr">
        <is>
          <t>Notes</t>
        </is>
      </c>
    </row>
    <row r="9">
      <c r="B9" s="20">
        <f>IF('Guest List'!$B9="","",'Guest List'!$B9)</f>
        <v/>
      </c>
      <c r="C9" s="20">
        <f>IF('Guest List'!$D9="","",'Guest List'!$D9)</f>
        <v/>
      </c>
      <c r="D9" s="47" t="n">
        <v>46327</v>
      </c>
      <c r="E9" s="47" t="n">
        <v>46402</v>
      </c>
      <c r="F9" s="27" t="inlineStr">
        <is>
          <t>Yes</t>
        </is>
      </c>
      <c r="G9" s="27" t="inlineStr">
        <is>
          <t>Confirmed</t>
        </is>
      </c>
      <c r="H9" s="47" t="n">
        <v>46415</v>
      </c>
      <c r="I9" s="36" t="n"/>
    </row>
    <row r="10">
      <c r="B10" s="20">
        <f>IF('Guest List'!$B10="","",'Guest List'!$B10)</f>
        <v/>
      </c>
      <c r="C10" s="20">
        <f>IF('Guest List'!$D10="","",'Guest List'!$D10)</f>
        <v/>
      </c>
      <c r="D10" s="47" t="n">
        <v>46327</v>
      </c>
      <c r="E10" s="47" t="n">
        <v>46402</v>
      </c>
      <c r="F10" s="27" t="inlineStr">
        <is>
          <t>Yes</t>
        </is>
      </c>
      <c r="G10" s="27" t="inlineStr">
        <is>
          <t>Confirmed</t>
        </is>
      </c>
      <c r="H10" s="47" t="n">
        <v>46420</v>
      </c>
      <c r="I10" s="36" t="n"/>
    </row>
    <row r="11">
      <c r="B11" s="20">
        <f>IF('Guest List'!$B11="","",'Guest List'!$B11)</f>
        <v/>
      </c>
      <c r="C11" s="20">
        <f>IF('Guest List'!$D11="","",'Guest List'!$D11)</f>
        <v/>
      </c>
      <c r="D11" s="47" t="n">
        <v>46327</v>
      </c>
      <c r="E11" s="47" t="n">
        <v>46402</v>
      </c>
      <c r="F11" s="27" t="inlineStr">
        <is>
          <t>No</t>
        </is>
      </c>
      <c r="G11" s="27" t="inlineStr">
        <is>
          <t>Pending</t>
        </is>
      </c>
      <c r="H11" s="47" t="n"/>
      <c r="I11" s="36" t="n"/>
    </row>
    <row r="12">
      <c r="B12" s="20">
        <f>IF('Guest List'!$B12="","",'Guest List'!$B12)</f>
        <v/>
      </c>
      <c r="C12" s="20">
        <f>IF('Guest List'!$D12="","",'Guest List'!$D12)</f>
        <v/>
      </c>
      <c r="D12" s="47" t="n">
        <v>46327</v>
      </c>
      <c r="E12" s="47" t="n">
        <v>46402</v>
      </c>
      <c r="F12" s="27" t="inlineStr">
        <is>
          <t>No</t>
        </is>
      </c>
      <c r="G12" s="27" t="inlineStr">
        <is>
          <t>Declined</t>
        </is>
      </c>
      <c r="H12" s="47" t="n"/>
      <c r="I12" s="36" t="n"/>
    </row>
    <row r="13">
      <c r="B13" s="20">
        <f>IF('Guest List'!$B13="","",'Guest List'!$B13)</f>
        <v/>
      </c>
      <c r="C13" s="20">
        <f>IF('Guest List'!$D13="","",'Guest List'!$D13)</f>
        <v/>
      </c>
      <c r="D13" s="47" t="n"/>
      <c r="E13" s="47" t="n"/>
      <c r="F13" s="27" t="n"/>
      <c r="G13" s="27" t="n"/>
      <c r="H13" s="47" t="n"/>
      <c r="I13" s="36" t="n"/>
    </row>
    <row r="14">
      <c r="B14" s="20">
        <f>IF('Guest List'!$B14="","",'Guest List'!$B14)</f>
        <v/>
      </c>
      <c r="C14" s="20">
        <f>IF('Guest List'!$D14="","",'Guest List'!$D14)</f>
        <v/>
      </c>
      <c r="D14" s="47" t="n"/>
      <c r="E14" s="47" t="n"/>
      <c r="F14" s="27" t="n"/>
      <c r="G14" s="27" t="n"/>
      <c r="H14" s="47" t="n"/>
      <c r="I14" s="36" t="n"/>
    </row>
    <row r="15">
      <c r="B15" s="20">
        <f>IF('Guest List'!$B15="","",'Guest List'!$B15)</f>
        <v/>
      </c>
      <c r="C15" s="20">
        <f>IF('Guest List'!$D15="","",'Guest List'!$D15)</f>
        <v/>
      </c>
      <c r="D15" s="47" t="n"/>
      <c r="E15" s="47" t="n"/>
      <c r="F15" s="27" t="n"/>
      <c r="G15" s="27" t="n"/>
      <c r="H15" s="47" t="n"/>
      <c r="I15" s="36" t="n"/>
    </row>
    <row r="16">
      <c r="B16" s="20">
        <f>IF('Guest List'!$B16="","",'Guest List'!$B16)</f>
        <v/>
      </c>
      <c r="C16" s="20">
        <f>IF('Guest List'!$D16="","",'Guest List'!$D16)</f>
        <v/>
      </c>
      <c r="D16" s="47" t="n"/>
      <c r="E16" s="47" t="n"/>
      <c r="F16" s="27" t="n"/>
      <c r="G16" s="27" t="n"/>
      <c r="H16" s="47" t="n"/>
      <c r="I16" s="36" t="n"/>
    </row>
    <row r="17">
      <c r="B17" s="20">
        <f>IF('Guest List'!$B17="","",'Guest List'!$B17)</f>
        <v/>
      </c>
      <c r="C17" s="20">
        <f>IF('Guest List'!$D17="","",'Guest List'!$D17)</f>
        <v/>
      </c>
      <c r="D17" s="47" t="n"/>
      <c r="E17" s="47" t="n"/>
      <c r="F17" s="27" t="n"/>
      <c r="G17" s="27" t="n"/>
      <c r="H17" s="47" t="n"/>
      <c r="I17" s="36" t="n"/>
    </row>
    <row r="18">
      <c r="B18" s="20">
        <f>IF('Guest List'!$B18="","",'Guest List'!$B18)</f>
        <v/>
      </c>
      <c r="C18" s="20">
        <f>IF('Guest List'!$D18="","",'Guest List'!$D18)</f>
        <v/>
      </c>
      <c r="D18" s="47" t="n"/>
      <c r="E18" s="47" t="n"/>
      <c r="F18" s="27" t="n"/>
      <c r="G18" s="27" t="n"/>
      <c r="H18" s="47" t="n"/>
      <c r="I18" s="36" t="n"/>
    </row>
    <row r="19">
      <c r="B19" s="20">
        <f>IF('Guest List'!$B19="","",'Guest List'!$B19)</f>
        <v/>
      </c>
      <c r="C19" s="20">
        <f>IF('Guest List'!$D19="","",'Guest List'!$D19)</f>
        <v/>
      </c>
      <c r="D19" s="47" t="n"/>
      <c r="E19" s="47" t="n"/>
      <c r="F19" s="27" t="n"/>
      <c r="G19" s="27" t="n"/>
      <c r="H19" s="47" t="n"/>
      <c r="I19" s="36" t="n"/>
    </row>
    <row r="20">
      <c r="B20" s="20">
        <f>IF('Guest List'!$B20="","",'Guest List'!$B20)</f>
        <v/>
      </c>
      <c r="C20" s="20">
        <f>IF('Guest List'!$D20="","",'Guest List'!$D20)</f>
        <v/>
      </c>
      <c r="D20" s="47" t="n"/>
      <c r="E20" s="47" t="n"/>
      <c r="F20" s="27" t="n"/>
      <c r="G20" s="27" t="n"/>
      <c r="H20" s="47" t="n"/>
      <c r="I20" s="36" t="n"/>
    </row>
    <row r="21">
      <c r="B21" s="20">
        <f>IF('Guest List'!$B21="","",'Guest List'!$B21)</f>
        <v/>
      </c>
      <c r="C21" s="20">
        <f>IF('Guest List'!$D21="","",'Guest List'!$D21)</f>
        <v/>
      </c>
      <c r="D21" s="47" t="n"/>
      <c r="E21" s="47" t="n"/>
      <c r="F21" s="27" t="n"/>
      <c r="G21" s="27" t="n"/>
      <c r="H21" s="47" t="n"/>
      <c r="I21" s="36" t="n"/>
    </row>
    <row r="22">
      <c r="B22" s="20">
        <f>IF('Guest List'!$B22="","",'Guest List'!$B22)</f>
        <v/>
      </c>
      <c r="C22" s="20">
        <f>IF('Guest List'!$D22="","",'Guest List'!$D22)</f>
        <v/>
      </c>
      <c r="D22" s="47" t="n"/>
      <c r="E22" s="47" t="n"/>
      <c r="F22" s="27" t="n"/>
      <c r="G22" s="27" t="n"/>
      <c r="H22" s="47" t="n"/>
      <c r="I22" s="36" t="n"/>
    </row>
    <row r="23">
      <c r="B23" s="20">
        <f>IF('Guest List'!$B23="","",'Guest List'!$B23)</f>
        <v/>
      </c>
      <c r="C23" s="20">
        <f>IF('Guest List'!$D23="","",'Guest List'!$D23)</f>
        <v/>
      </c>
      <c r="D23" s="47" t="n"/>
      <c r="E23" s="47" t="n"/>
      <c r="F23" s="27" t="n"/>
      <c r="G23" s="27" t="n"/>
      <c r="H23" s="47" t="n"/>
      <c r="I23" s="36" t="n"/>
    </row>
    <row r="24">
      <c r="B24" s="20">
        <f>IF('Guest List'!$B24="","",'Guest List'!$B24)</f>
        <v/>
      </c>
      <c r="C24" s="20">
        <f>IF('Guest List'!$D24="","",'Guest List'!$D24)</f>
        <v/>
      </c>
      <c r="D24" s="47" t="n"/>
      <c r="E24" s="47" t="n"/>
      <c r="F24" s="27" t="n"/>
      <c r="G24" s="27" t="n"/>
      <c r="H24" s="47" t="n"/>
      <c r="I24" s="36" t="n"/>
    </row>
    <row r="25">
      <c r="B25" s="20">
        <f>IF('Guest List'!$B25="","",'Guest List'!$B25)</f>
        <v/>
      </c>
      <c r="C25" s="20">
        <f>IF('Guest List'!$D25="","",'Guest List'!$D25)</f>
        <v/>
      </c>
      <c r="D25" s="47" t="n"/>
      <c r="E25" s="47" t="n"/>
      <c r="F25" s="27" t="n"/>
      <c r="G25" s="27" t="n"/>
      <c r="H25" s="47" t="n"/>
      <c r="I25" s="36" t="n"/>
    </row>
    <row r="26">
      <c r="B26" s="20">
        <f>IF('Guest List'!$B26="","",'Guest List'!$B26)</f>
        <v/>
      </c>
      <c r="C26" s="20">
        <f>IF('Guest List'!$D26="","",'Guest List'!$D26)</f>
        <v/>
      </c>
      <c r="D26" s="47" t="n"/>
      <c r="E26" s="47" t="n"/>
      <c r="F26" s="27" t="n"/>
      <c r="G26" s="27" t="n"/>
      <c r="H26" s="47" t="n"/>
      <c r="I26" s="36" t="n"/>
    </row>
    <row r="27">
      <c r="B27" s="20">
        <f>IF('Guest List'!$B27="","",'Guest List'!$B27)</f>
        <v/>
      </c>
      <c r="C27" s="20">
        <f>IF('Guest List'!$D27="","",'Guest List'!$D27)</f>
        <v/>
      </c>
      <c r="D27" s="47" t="n"/>
      <c r="E27" s="47" t="n"/>
      <c r="F27" s="27" t="n"/>
      <c r="G27" s="27" t="n"/>
      <c r="H27" s="47" t="n"/>
      <c r="I27" s="36" t="n"/>
    </row>
    <row r="28">
      <c r="B28" s="20">
        <f>IF('Guest List'!$B28="","",'Guest List'!$B28)</f>
        <v/>
      </c>
      <c r="C28" s="20">
        <f>IF('Guest List'!$D28="","",'Guest List'!$D28)</f>
        <v/>
      </c>
      <c r="D28" s="47" t="n"/>
      <c r="E28" s="47" t="n"/>
      <c r="F28" s="27" t="n"/>
      <c r="G28" s="27" t="n"/>
      <c r="H28" s="47" t="n"/>
      <c r="I28" s="36" t="n"/>
    </row>
    <row r="29">
      <c r="B29" s="20">
        <f>IF('Guest List'!$B29="","",'Guest List'!$B29)</f>
        <v/>
      </c>
      <c r="C29" s="20">
        <f>IF('Guest List'!$D29="","",'Guest List'!$D29)</f>
        <v/>
      </c>
      <c r="D29" s="47" t="n"/>
      <c r="E29" s="47" t="n"/>
      <c r="F29" s="27" t="n"/>
      <c r="G29" s="27" t="n"/>
      <c r="H29" s="47" t="n"/>
      <c r="I29" s="36" t="n"/>
    </row>
    <row r="30">
      <c r="B30" s="20">
        <f>IF('Guest List'!$B30="","",'Guest List'!$B30)</f>
        <v/>
      </c>
      <c r="C30" s="20">
        <f>IF('Guest List'!$D30="","",'Guest List'!$D30)</f>
        <v/>
      </c>
      <c r="D30" s="47" t="n"/>
      <c r="E30" s="47" t="n"/>
      <c r="F30" s="27" t="n"/>
      <c r="G30" s="27" t="n"/>
      <c r="H30" s="47" t="n"/>
      <c r="I30" s="36" t="n"/>
    </row>
    <row r="31">
      <c r="B31" s="20">
        <f>IF('Guest List'!$B31="","",'Guest List'!$B31)</f>
        <v/>
      </c>
      <c r="C31" s="20">
        <f>IF('Guest List'!$D31="","",'Guest List'!$D31)</f>
        <v/>
      </c>
      <c r="D31" s="47" t="n"/>
      <c r="E31" s="47" t="n"/>
      <c r="F31" s="27" t="n"/>
      <c r="G31" s="27" t="n"/>
      <c r="H31" s="47" t="n"/>
      <c r="I31" s="36" t="n"/>
    </row>
    <row r="32">
      <c r="B32" s="20">
        <f>IF('Guest List'!$B32="","",'Guest List'!$B32)</f>
        <v/>
      </c>
      <c r="C32" s="20">
        <f>IF('Guest List'!$D32="","",'Guest List'!$D32)</f>
        <v/>
      </c>
      <c r="D32" s="47" t="n"/>
      <c r="E32" s="47" t="n"/>
      <c r="F32" s="27" t="n"/>
      <c r="G32" s="27" t="n"/>
      <c r="H32" s="47" t="n"/>
      <c r="I32" s="36" t="n"/>
    </row>
    <row r="33">
      <c r="B33" s="20">
        <f>IF('Guest List'!$B33="","",'Guest List'!$B33)</f>
        <v/>
      </c>
      <c r="C33" s="20">
        <f>IF('Guest List'!$D33="","",'Guest List'!$D33)</f>
        <v/>
      </c>
      <c r="D33" s="47" t="n"/>
      <c r="E33" s="47" t="n"/>
      <c r="F33" s="27" t="n"/>
      <c r="G33" s="27" t="n"/>
      <c r="H33" s="47" t="n"/>
      <c r="I33" s="36" t="n"/>
    </row>
    <row r="34">
      <c r="B34" s="20">
        <f>IF('Guest List'!$B34="","",'Guest List'!$B34)</f>
        <v/>
      </c>
      <c r="C34" s="20">
        <f>IF('Guest List'!$D34="","",'Guest List'!$D34)</f>
        <v/>
      </c>
      <c r="D34" s="47" t="n"/>
      <c r="E34" s="47" t="n"/>
      <c r="F34" s="27" t="n"/>
      <c r="G34" s="27" t="n"/>
      <c r="H34" s="47" t="n"/>
      <c r="I34" s="36" t="n"/>
    </row>
    <row r="35">
      <c r="B35" s="20">
        <f>IF('Guest List'!$B35="","",'Guest List'!$B35)</f>
        <v/>
      </c>
      <c r="C35" s="20">
        <f>IF('Guest List'!$D35="","",'Guest List'!$D35)</f>
        <v/>
      </c>
      <c r="D35" s="47" t="n"/>
      <c r="E35" s="47" t="n"/>
      <c r="F35" s="27" t="n"/>
      <c r="G35" s="27" t="n"/>
      <c r="H35" s="47" t="n"/>
      <c r="I35" s="36" t="n"/>
    </row>
    <row r="36">
      <c r="B36" s="20">
        <f>IF('Guest List'!$B36="","",'Guest List'!$B36)</f>
        <v/>
      </c>
      <c r="C36" s="20">
        <f>IF('Guest List'!$D36="","",'Guest List'!$D36)</f>
        <v/>
      </c>
      <c r="D36" s="47" t="n"/>
      <c r="E36" s="47" t="n"/>
      <c r="F36" s="27" t="n"/>
      <c r="G36" s="27" t="n"/>
      <c r="H36" s="47" t="n"/>
      <c r="I36" s="36" t="n"/>
    </row>
    <row r="37">
      <c r="B37" s="20">
        <f>IF('Guest List'!$B37="","",'Guest List'!$B37)</f>
        <v/>
      </c>
      <c r="C37" s="20">
        <f>IF('Guest List'!$D37="","",'Guest List'!$D37)</f>
        <v/>
      </c>
      <c r="D37" s="47" t="n"/>
      <c r="E37" s="47" t="n"/>
      <c r="F37" s="27" t="n"/>
      <c r="G37" s="27" t="n"/>
      <c r="H37" s="47" t="n"/>
      <c r="I37" s="36" t="n"/>
    </row>
    <row r="38">
      <c r="B38" s="20">
        <f>IF('Guest List'!$B38="","",'Guest List'!$B38)</f>
        <v/>
      </c>
      <c r="C38" s="20">
        <f>IF('Guest List'!$D38="","",'Guest List'!$D38)</f>
        <v/>
      </c>
      <c r="D38" s="47" t="n"/>
      <c r="E38" s="47" t="n"/>
      <c r="F38" s="27" t="n"/>
      <c r="G38" s="27" t="n"/>
      <c r="H38" s="47" t="n"/>
      <c r="I38" s="36" t="n"/>
    </row>
    <row r="39">
      <c r="B39" s="20">
        <f>IF('Guest List'!$B39="","",'Guest List'!$B39)</f>
        <v/>
      </c>
      <c r="C39" s="20">
        <f>IF('Guest List'!$D39="","",'Guest List'!$D39)</f>
        <v/>
      </c>
      <c r="D39" s="47" t="n"/>
      <c r="E39" s="47" t="n"/>
      <c r="F39" s="27" t="n"/>
      <c r="G39" s="27" t="n"/>
      <c r="H39" s="47" t="n"/>
      <c r="I39" s="36" t="n"/>
    </row>
    <row r="40">
      <c r="B40" s="20">
        <f>IF('Guest List'!$B40="","",'Guest List'!$B40)</f>
        <v/>
      </c>
      <c r="C40" s="20">
        <f>IF('Guest List'!$D40="","",'Guest List'!$D40)</f>
        <v/>
      </c>
      <c r="D40" s="47" t="n"/>
      <c r="E40" s="47" t="n"/>
      <c r="F40" s="27" t="n"/>
      <c r="G40" s="27" t="n"/>
      <c r="H40" s="47" t="n"/>
      <c r="I40" s="36" t="n"/>
    </row>
    <row r="41">
      <c r="B41" s="20">
        <f>IF('Guest List'!$B41="","",'Guest List'!$B41)</f>
        <v/>
      </c>
      <c r="C41" s="20">
        <f>IF('Guest List'!$D41="","",'Guest List'!$D41)</f>
        <v/>
      </c>
      <c r="D41" s="47" t="n"/>
      <c r="E41" s="47" t="n"/>
      <c r="F41" s="27" t="n"/>
      <c r="G41" s="27" t="n"/>
      <c r="H41" s="47" t="n"/>
      <c r="I41" s="36" t="n"/>
    </row>
    <row r="42">
      <c r="B42" s="20">
        <f>IF('Guest List'!$B42="","",'Guest List'!$B42)</f>
        <v/>
      </c>
      <c r="C42" s="20">
        <f>IF('Guest List'!$D42="","",'Guest List'!$D42)</f>
        <v/>
      </c>
      <c r="D42" s="47" t="n"/>
      <c r="E42" s="47" t="n"/>
      <c r="F42" s="27" t="n"/>
      <c r="G42" s="27" t="n"/>
      <c r="H42" s="47" t="n"/>
      <c r="I42" s="36" t="n"/>
    </row>
    <row r="43">
      <c r="B43" s="20">
        <f>IF('Guest List'!$B43="","",'Guest List'!$B43)</f>
        <v/>
      </c>
      <c r="C43" s="20">
        <f>IF('Guest List'!$D43="","",'Guest List'!$D43)</f>
        <v/>
      </c>
      <c r="D43" s="47" t="n"/>
      <c r="E43" s="47" t="n"/>
      <c r="F43" s="27" t="n"/>
      <c r="G43" s="27" t="n"/>
      <c r="H43" s="47" t="n"/>
      <c r="I43" s="36" t="n"/>
    </row>
    <row r="44">
      <c r="B44" s="20">
        <f>IF('Guest List'!$B44="","",'Guest List'!$B44)</f>
        <v/>
      </c>
      <c r="C44" s="20">
        <f>IF('Guest List'!$D44="","",'Guest List'!$D44)</f>
        <v/>
      </c>
      <c r="D44" s="47" t="n"/>
      <c r="E44" s="47" t="n"/>
      <c r="F44" s="27" t="n"/>
      <c r="G44" s="27" t="n"/>
      <c r="H44" s="47" t="n"/>
      <c r="I44" s="36" t="n"/>
    </row>
    <row r="45">
      <c r="B45" s="20">
        <f>IF('Guest List'!$B45="","",'Guest List'!$B45)</f>
        <v/>
      </c>
      <c r="C45" s="20">
        <f>IF('Guest List'!$D45="","",'Guest List'!$D45)</f>
        <v/>
      </c>
      <c r="D45" s="47" t="n"/>
      <c r="E45" s="47" t="n"/>
      <c r="F45" s="27" t="n"/>
      <c r="G45" s="27" t="n"/>
      <c r="H45" s="47" t="n"/>
      <c r="I45" s="36" t="n"/>
    </row>
    <row r="46">
      <c r="B46" s="20">
        <f>IF('Guest List'!$B46="","",'Guest List'!$B46)</f>
        <v/>
      </c>
      <c r="C46" s="20">
        <f>IF('Guest List'!$D46="","",'Guest List'!$D46)</f>
        <v/>
      </c>
      <c r="D46" s="47" t="n"/>
      <c r="E46" s="47" t="n"/>
      <c r="F46" s="27" t="n"/>
      <c r="G46" s="27" t="n"/>
      <c r="H46" s="47" t="n"/>
      <c r="I46" s="36" t="n"/>
    </row>
    <row r="47">
      <c r="B47" s="20">
        <f>IF('Guest List'!$B47="","",'Guest List'!$B47)</f>
        <v/>
      </c>
      <c r="C47" s="20">
        <f>IF('Guest List'!$D47="","",'Guest List'!$D47)</f>
        <v/>
      </c>
      <c r="D47" s="47" t="n"/>
      <c r="E47" s="47" t="n"/>
      <c r="F47" s="27" t="n"/>
      <c r="G47" s="27" t="n"/>
      <c r="H47" s="47" t="n"/>
      <c r="I47" s="36" t="n"/>
    </row>
    <row r="48">
      <c r="B48" s="20">
        <f>IF('Guest List'!$B48="","",'Guest List'!$B48)</f>
        <v/>
      </c>
      <c r="C48" s="20">
        <f>IF('Guest List'!$D48="","",'Guest List'!$D48)</f>
        <v/>
      </c>
      <c r="D48" s="47" t="n"/>
      <c r="E48" s="47" t="n"/>
      <c r="F48" s="27" t="n"/>
      <c r="G48" s="27" t="n"/>
      <c r="H48" s="47" t="n"/>
      <c r="I48" s="36" t="n"/>
    </row>
    <row r="49">
      <c r="B49" s="20">
        <f>IF('Guest List'!$B49="","",'Guest List'!$B49)</f>
        <v/>
      </c>
      <c r="C49" s="20">
        <f>IF('Guest List'!$D49="","",'Guest List'!$D49)</f>
        <v/>
      </c>
      <c r="D49" s="47" t="n"/>
      <c r="E49" s="47" t="n"/>
      <c r="F49" s="27" t="n"/>
      <c r="G49" s="27" t="n"/>
      <c r="H49" s="47" t="n"/>
      <c r="I49" s="36" t="n"/>
    </row>
    <row r="50">
      <c r="B50" s="20">
        <f>IF('Guest List'!$B50="","",'Guest List'!$B50)</f>
        <v/>
      </c>
      <c r="C50" s="20">
        <f>IF('Guest List'!$D50="","",'Guest List'!$D50)</f>
        <v/>
      </c>
      <c r="D50" s="47" t="n"/>
      <c r="E50" s="47" t="n"/>
      <c r="F50" s="27" t="n"/>
      <c r="G50" s="27" t="n"/>
      <c r="H50" s="47" t="n"/>
      <c r="I50" s="36" t="n"/>
    </row>
    <row r="51">
      <c r="B51" s="20">
        <f>IF('Guest List'!$B51="","",'Guest List'!$B51)</f>
        <v/>
      </c>
      <c r="C51" s="20">
        <f>IF('Guest List'!$D51="","",'Guest List'!$D51)</f>
        <v/>
      </c>
      <c r="D51" s="47" t="n"/>
      <c r="E51" s="47" t="n"/>
      <c r="F51" s="27" t="n"/>
      <c r="G51" s="27" t="n"/>
      <c r="H51" s="47" t="n"/>
      <c r="I51" s="36" t="n"/>
    </row>
    <row r="52">
      <c r="B52" s="20">
        <f>IF('Guest List'!$B52="","",'Guest List'!$B52)</f>
        <v/>
      </c>
      <c r="C52" s="20">
        <f>IF('Guest List'!$D52="","",'Guest List'!$D52)</f>
        <v/>
      </c>
      <c r="D52" s="47" t="n"/>
      <c r="E52" s="47" t="n"/>
      <c r="F52" s="27" t="n"/>
      <c r="G52" s="27" t="n"/>
      <c r="H52" s="47" t="n"/>
      <c r="I52" s="36" t="n"/>
    </row>
    <row r="53">
      <c r="B53" s="20">
        <f>IF('Guest List'!$B53="","",'Guest List'!$B53)</f>
        <v/>
      </c>
      <c r="C53" s="20">
        <f>IF('Guest List'!$D53="","",'Guest List'!$D53)</f>
        <v/>
      </c>
      <c r="D53" s="47" t="n"/>
      <c r="E53" s="47" t="n"/>
      <c r="F53" s="27" t="n"/>
      <c r="G53" s="27" t="n"/>
      <c r="H53" s="47" t="n"/>
      <c r="I53" s="36" t="n"/>
    </row>
    <row r="54">
      <c r="B54" s="20">
        <f>IF('Guest List'!$B54="","",'Guest List'!$B54)</f>
        <v/>
      </c>
      <c r="C54" s="20">
        <f>IF('Guest List'!$D54="","",'Guest List'!$D54)</f>
        <v/>
      </c>
      <c r="D54" s="47" t="n"/>
      <c r="E54" s="47" t="n"/>
      <c r="F54" s="27" t="n"/>
      <c r="G54" s="27" t="n"/>
      <c r="H54" s="47" t="n"/>
      <c r="I54" s="36" t="n"/>
    </row>
    <row r="55">
      <c r="B55" s="20">
        <f>IF('Guest List'!$B55="","",'Guest List'!$B55)</f>
        <v/>
      </c>
      <c r="C55" s="20">
        <f>IF('Guest List'!$D55="","",'Guest List'!$D55)</f>
        <v/>
      </c>
      <c r="D55" s="47" t="n"/>
      <c r="E55" s="47" t="n"/>
      <c r="F55" s="27" t="n"/>
      <c r="G55" s="27" t="n"/>
      <c r="H55" s="47" t="n"/>
      <c r="I55" s="36" t="n"/>
    </row>
    <row r="56">
      <c r="B56" s="20">
        <f>IF('Guest List'!$B56="","",'Guest List'!$B56)</f>
        <v/>
      </c>
      <c r="C56" s="20">
        <f>IF('Guest List'!$D56="","",'Guest List'!$D56)</f>
        <v/>
      </c>
      <c r="D56" s="47" t="n"/>
      <c r="E56" s="47" t="n"/>
      <c r="F56" s="27" t="n"/>
      <c r="G56" s="27" t="n"/>
      <c r="H56" s="47" t="n"/>
      <c r="I56" s="36" t="n"/>
    </row>
    <row r="57">
      <c r="B57" s="20">
        <f>IF('Guest List'!$B57="","",'Guest List'!$B57)</f>
        <v/>
      </c>
      <c r="C57" s="20">
        <f>IF('Guest List'!$D57="","",'Guest List'!$D57)</f>
        <v/>
      </c>
      <c r="D57" s="47" t="n"/>
      <c r="E57" s="47" t="n"/>
      <c r="F57" s="27" t="n"/>
      <c r="G57" s="27" t="n"/>
      <c r="H57" s="47" t="n"/>
      <c r="I57" s="36" t="n"/>
    </row>
    <row r="58">
      <c r="B58" s="20">
        <f>IF('Guest List'!$B58="","",'Guest List'!$B58)</f>
        <v/>
      </c>
      <c r="C58" s="20">
        <f>IF('Guest List'!$D58="","",'Guest List'!$D58)</f>
        <v/>
      </c>
      <c r="D58" s="47" t="n"/>
      <c r="E58" s="47" t="n"/>
      <c r="F58" s="27" t="n"/>
      <c r="G58" s="27" t="n"/>
      <c r="H58" s="47" t="n"/>
      <c r="I58" s="36" t="n"/>
    </row>
    <row r="59">
      <c r="B59" s="20">
        <f>IF('Guest List'!$B59="","",'Guest List'!$B59)</f>
        <v/>
      </c>
      <c r="C59" s="20">
        <f>IF('Guest List'!$D59="","",'Guest List'!$D59)</f>
        <v/>
      </c>
      <c r="D59" s="47" t="n"/>
      <c r="E59" s="47" t="n"/>
      <c r="F59" s="27" t="n"/>
      <c r="G59" s="27" t="n"/>
      <c r="H59" s="47" t="n"/>
      <c r="I59" s="36" t="n"/>
    </row>
    <row r="60">
      <c r="B60" s="20">
        <f>IF('Guest List'!$B60="","",'Guest List'!$B60)</f>
        <v/>
      </c>
      <c r="C60" s="20">
        <f>IF('Guest List'!$D60="","",'Guest List'!$D60)</f>
        <v/>
      </c>
      <c r="D60" s="47" t="n"/>
      <c r="E60" s="47" t="n"/>
      <c r="F60" s="27" t="n"/>
      <c r="G60" s="27" t="n"/>
      <c r="H60" s="47" t="n"/>
      <c r="I60" s="36" t="n"/>
    </row>
    <row r="61">
      <c r="B61" s="20">
        <f>IF('Guest List'!$B61="","",'Guest List'!$B61)</f>
        <v/>
      </c>
      <c r="C61" s="20">
        <f>IF('Guest List'!$D61="","",'Guest List'!$D61)</f>
        <v/>
      </c>
      <c r="D61" s="47" t="n"/>
      <c r="E61" s="47" t="n"/>
      <c r="F61" s="27" t="n"/>
      <c r="G61" s="27" t="n"/>
      <c r="H61" s="47" t="n"/>
      <c r="I61" s="36" t="n"/>
    </row>
    <row r="62">
      <c r="B62" s="20">
        <f>IF('Guest List'!$B62="","",'Guest List'!$B62)</f>
        <v/>
      </c>
      <c r="C62" s="20">
        <f>IF('Guest List'!$D62="","",'Guest List'!$D62)</f>
        <v/>
      </c>
      <c r="D62" s="47" t="n"/>
      <c r="E62" s="47" t="n"/>
      <c r="F62" s="27" t="n"/>
      <c r="G62" s="27" t="n"/>
      <c r="H62" s="47" t="n"/>
      <c r="I62" s="36" t="n"/>
    </row>
    <row r="63">
      <c r="B63" s="20">
        <f>IF('Guest List'!$B63="","",'Guest List'!$B63)</f>
        <v/>
      </c>
      <c r="C63" s="20">
        <f>IF('Guest List'!$D63="","",'Guest List'!$D63)</f>
        <v/>
      </c>
      <c r="D63" s="47" t="n"/>
      <c r="E63" s="47" t="n"/>
      <c r="F63" s="27" t="n"/>
      <c r="G63" s="27" t="n"/>
      <c r="H63" s="47" t="n"/>
      <c r="I63" s="36" t="n"/>
    </row>
    <row r="64">
      <c r="B64" s="20">
        <f>IF('Guest List'!$B64="","",'Guest List'!$B64)</f>
        <v/>
      </c>
      <c r="C64" s="20">
        <f>IF('Guest List'!$D64="","",'Guest List'!$D64)</f>
        <v/>
      </c>
      <c r="D64" s="47" t="n"/>
      <c r="E64" s="47" t="n"/>
      <c r="F64" s="27" t="n"/>
      <c r="G64" s="27" t="n"/>
      <c r="H64" s="47" t="n"/>
      <c r="I64" s="36" t="n"/>
    </row>
    <row r="65">
      <c r="B65" s="20">
        <f>IF('Guest List'!$B65="","",'Guest List'!$B65)</f>
        <v/>
      </c>
      <c r="C65" s="20">
        <f>IF('Guest List'!$D65="","",'Guest List'!$D65)</f>
        <v/>
      </c>
      <c r="D65" s="47" t="n"/>
      <c r="E65" s="47" t="n"/>
      <c r="F65" s="27" t="n"/>
      <c r="G65" s="27" t="n"/>
      <c r="H65" s="47" t="n"/>
      <c r="I65" s="36" t="n"/>
    </row>
    <row r="66">
      <c r="B66" s="20">
        <f>IF('Guest List'!$B66="","",'Guest List'!$B66)</f>
        <v/>
      </c>
      <c r="C66" s="20">
        <f>IF('Guest List'!$D66="","",'Guest List'!$D66)</f>
        <v/>
      </c>
      <c r="D66" s="47" t="n"/>
      <c r="E66" s="47" t="n"/>
      <c r="F66" s="27" t="n"/>
      <c r="G66" s="27" t="n"/>
      <c r="H66" s="47" t="n"/>
      <c r="I66" s="36" t="n"/>
    </row>
    <row r="67">
      <c r="B67" s="20">
        <f>IF('Guest List'!$B67="","",'Guest List'!$B67)</f>
        <v/>
      </c>
      <c r="C67" s="20">
        <f>IF('Guest List'!$D67="","",'Guest List'!$D67)</f>
        <v/>
      </c>
      <c r="D67" s="47" t="n"/>
      <c r="E67" s="47" t="n"/>
      <c r="F67" s="27" t="n"/>
      <c r="G67" s="27" t="n"/>
      <c r="H67" s="47" t="n"/>
      <c r="I67" s="36" t="n"/>
    </row>
    <row r="68">
      <c r="B68" s="20">
        <f>IF('Guest List'!$B68="","",'Guest List'!$B68)</f>
        <v/>
      </c>
      <c r="C68" s="20">
        <f>IF('Guest List'!$D68="","",'Guest List'!$D68)</f>
        <v/>
      </c>
      <c r="D68" s="47" t="n"/>
      <c r="E68" s="47" t="n"/>
      <c r="F68" s="27" t="n"/>
      <c r="G68" s="27" t="n"/>
      <c r="H68" s="47" t="n"/>
      <c r="I68" s="36" t="n"/>
    </row>
    <row r="69">
      <c r="B69" s="20">
        <f>IF('Guest List'!$B69="","",'Guest List'!$B69)</f>
        <v/>
      </c>
      <c r="C69" s="20">
        <f>IF('Guest List'!$D69="","",'Guest List'!$D69)</f>
        <v/>
      </c>
      <c r="D69" s="47" t="n"/>
      <c r="E69" s="47" t="n"/>
      <c r="F69" s="27" t="n"/>
      <c r="G69" s="27" t="n"/>
      <c r="H69" s="47" t="n"/>
      <c r="I69" s="36" t="n"/>
    </row>
    <row r="70">
      <c r="B70" s="20">
        <f>IF('Guest List'!$B70="","",'Guest List'!$B70)</f>
        <v/>
      </c>
      <c r="C70" s="20">
        <f>IF('Guest List'!$D70="","",'Guest List'!$D70)</f>
        <v/>
      </c>
      <c r="D70" s="47" t="n"/>
      <c r="E70" s="47" t="n"/>
      <c r="F70" s="27" t="n"/>
      <c r="G70" s="27" t="n"/>
      <c r="H70" s="47" t="n"/>
      <c r="I70" s="36" t="n"/>
    </row>
    <row r="71">
      <c r="B71" s="20">
        <f>IF('Guest List'!$B71="","",'Guest List'!$B71)</f>
        <v/>
      </c>
      <c r="C71" s="20">
        <f>IF('Guest List'!$D71="","",'Guest List'!$D71)</f>
        <v/>
      </c>
      <c r="D71" s="47" t="n"/>
      <c r="E71" s="47" t="n"/>
      <c r="F71" s="27" t="n"/>
      <c r="G71" s="27" t="n"/>
      <c r="H71" s="47" t="n"/>
      <c r="I71" s="36" t="n"/>
    </row>
    <row r="72">
      <c r="B72" s="20">
        <f>IF('Guest List'!$B72="","",'Guest List'!$B72)</f>
        <v/>
      </c>
      <c r="C72" s="20">
        <f>IF('Guest List'!$D72="","",'Guest List'!$D72)</f>
        <v/>
      </c>
      <c r="D72" s="47" t="n"/>
      <c r="E72" s="47" t="n"/>
      <c r="F72" s="27" t="n"/>
      <c r="G72" s="27" t="n"/>
      <c r="H72" s="47" t="n"/>
      <c r="I72" s="36" t="n"/>
    </row>
    <row r="73">
      <c r="B73" s="20">
        <f>IF('Guest List'!$B73="","",'Guest List'!$B73)</f>
        <v/>
      </c>
      <c r="C73" s="20">
        <f>IF('Guest List'!$D73="","",'Guest List'!$D73)</f>
        <v/>
      </c>
      <c r="D73" s="47" t="n"/>
      <c r="E73" s="47" t="n"/>
      <c r="F73" s="27" t="n"/>
      <c r="G73" s="27" t="n"/>
      <c r="H73" s="47" t="n"/>
      <c r="I73" s="36" t="n"/>
    </row>
    <row r="74">
      <c r="B74" s="20">
        <f>IF('Guest List'!$B74="","",'Guest List'!$B74)</f>
        <v/>
      </c>
      <c r="C74" s="20">
        <f>IF('Guest List'!$D74="","",'Guest List'!$D74)</f>
        <v/>
      </c>
      <c r="D74" s="47" t="n"/>
      <c r="E74" s="47" t="n"/>
      <c r="F74" s="27" t="n"/>
      <c r="G74" s="27" t="n"/>
      <c r="H74" s="47" t="n"/>
      <c r="I74" s="36" t="n"/>
    </row>
    <row r="75">
      <c r="B75" s="20">
        <f>IF('Guest List'!$B75="","",'Guest List'!$B75)</f>
        <v/>
      </c>
      <c r="C75" s="20">
        <f>IF('Guest List'!$D75="","",'Guest List'!$D75)</f>
        <v/>
      </c>
      <c r="D75" s="47" t="n"/>
      <c r="E75" s="47" t="n"/>
      <c r="F75" s="27" t="n"/>
      <c r="G75" s="27" t="n"/>
      <c r="H75" s="47" t="n"/>
      <c r="I75" s="36" t="n"/>
    </row>
    <row r="76">
      <c r="B76" s="20">
        <f>IF('Guest List'!$B76="","",'Guest List'!$B76)</f>
        <v/>
      </c>
      <c r="C76" s="20">
        <f>IF('Guest List'!$D76="","",'Guest List'!$D76)</f>
        <v/>
      </c>
      <c r="D76" s="47" t="n"/>
      <c r="E76" s="47" t="n"/>
      <c r="F76" s="27" t="n"/>
      <c r="G76" s="27" t="n"/>
      <c r="H76" s="47" t="n"/>
      <c r="I76" s="36" t="n"/>
    </row>
    <row r="77">
      <c r="B77" s="20">
        <f>IF('Guest List'!$B77="","",'Guest List'!$B77)</f>
        <v/>
      </c>
      <c r="C77" s="20">
        <f>IF('Guest List'!$D77="","",'Guest List'!$D77)</f>
        <v/>
      </c>
      <c r="D77" s="47" t="n"/>
      <c r="E77" s="47" t="n"/>
      <c r="F77" s="27" t="n"/>
      <c r="G77" s="27" t="n"/>
      <c r="H77" s="47" t="n"/>
      <c r="I77" s="36" t="n"/>
    </row>
    <row r="78">
      <c r="B78" s="20">
        <f>IF('Guest List'!$B78="","",'Guest List'!$B78)</f>
        <v/>
      </c>
      <c r="C78" s="20">
        <f>IF('Guest List'!$D78="","",'Guest List'!$D78)</f>
        <v/>
      </c>
      <c r="D78" s="47" t="n"/>
      <c r="E78" s="47" t="n"/>
      <c r="F78" s="27" t="n"/>
      <c r="G78" s="27" t="n"/>
      <c r="H78" s="47" t="n"/>
      <c r="I78" s="36" t="n"/>
    </row>
    <row r="79">
      <c r="B79" s="20">
        <f>IF('Guest List'!$B79="","",'Guest List'!$B79)</f>
        <v/>
      </c>
      <c r="C79" s="20">
        <f>IF('Guest List'!$D79="","",'Guest List'!$D79)</f>
        <v/>
      </c>
      <c r="D79" s="47" t="n"/>
      <c r="E79" s="47" t="n"/>
      <c r="F79" s="27" t="n"/>
      <c r="G79" s="27" t="n"/>
      <c r="H79" s="47" t="n"/>
      <c r="I79" s="36" t="n"/>
    </row>
    <row r="80">
      <c r="B80" s="20">
        <f>IF('Guest List'!$B80="","",'Guest List'!$B80)</f>
        <v/>
      </c>
      <c r="C80" s="20">
        <f>IF('Guest List'!$D80="","",'Guest List'!$D80)</f>
        <v/>
      </c>
      <c r="D80" s="47" t="n"/>
      <c r="E80" s="47" t="n"/>
      <c r="F80" s="27" t="n"/>
      <c r="G80" s="27" t="n"/>
      <c r="H80" s="47" t="n"/>
      <c r="I80" s="36" t="n"/>
    </row>
    <row r="81">
      <c r="B81" s="20">
        <f>IF('Guest List'!$B81="","",'Guest List'!$B81)</f>
        <v/>
      </c>
      <c r="C81" s="20">
        <f>IF('Guest List'!$D81="","",'Guest List'!$D81)</f>
        <v/>
      </c>
      <c r="D81" s="47" t="n"/>
      <c r="E81" s="47" t="n"/>
      <c r="F81" s="27" t="n"/>
      <c r="G81" s="27" t="n"/>
      <c r="H81" s="47" t="n"/>
      <c r="I81" s="36" t="n"/>
    </row>
    <row r="82">
      <c r="B82" s="20">
        <f>IF('Guest List'!$B82="","",'Guest List'!$B82)</f>
        <v/>
      </c>
      <c r="C82" s="20">
        <f>IF('Guest List'!$D82="","",'Guest List'!$D82)</f>
        <v/>
      </c>
      <c r="D82" s="47" t="n"/>
      <c r="E82" s="47" t="n"/>
      <c r="F82" s="27" t="n"/>
      <c r="G82" s="27" t="n"/>
      <c r="H82" s="47" t="n"/>
      <c r="I82" s="36" t="n"/>
    </row>
    <row r="83">
      <c r="B83" s="20">
        <f>IF('Guest List'!$B83="","",'Guest List'!$B83)</f>
        <v/>
      </c>
      <c r="C83" s="20">
        <f>IF('Guest List'!$D83="","",'Guest List'!$D83)</f>
        <v/>
      </c>
      <c r="D83" s="47" t="n"/>
      <c r="E83" s="47" t="n"/>
      <c r="F83" s="27" t="n"/>
      <c r="G83" s="27" t="n"/>
      <c r="H83" s="47" t="n"/>
      <c r="I83" s="36" t="n"/>
    </row>
    <row r="84">
      <c r="B84" s="20">
        <f>IF('Guest List'!$B84="","",'Guest List'!$B84)</f>
        <v/>
      </c>
      <c r="C84" s="20">
        <f>IF('Guest List'!$D84="","",'Guest List'!$D84)</f>
        <v/>
      </c>
      <c r="D84" s="47" t="n"/>
      <c r="E84" s="47" t="n"/>
      <c r="F84" s="27" t="n"/>
      <c r="G84" s="27" t="n"/>
      <c r="H84" s="47" t="n"/>
      <c r="I84" s="36" t="n"/>
    </row>
    <row r="85">
      <c r="B85" s="20">
        <f>IF('Guest List'!$B85="","",'Guest List'!$B85)</f>
        <v/>
      </c>
      <c r="C85" s="20">
        <f>IF('Guest List'!$D85="","",'Guest List'!$D85)</f>
        <v/>
      </c>
      <c r="D85" s="47" t="n"/>
      <c r="E85" s="47" t="n"/>
      <c r="F85" s="27" t="n"/>
      <c r="G85" s="27" t="n"/>
      <c r="H85" s="47" t="n"/>
      <c r="I85" s="36" t="n"/>
    </row>
    <row r="86">
      <c r="B86" s="20">
        <f>IF('Guest List'!$B86="","",'Guest List'!$B86)</f>
        <v/>
      </c>
      <c r="C86" s="20">
        <f>IF('Guest List'!$D86="","",'Guest List'!$D86)</f>
        <v/>
      </c>
      <c r="D86" s="47" t="n"/>
      <c r="E86" s="47" t="n"/>
      <c r="F86" s="27" t="n"/>
      <c r="G86" s="27" t="n"/>
      <c r="H86" s="47" t="n"/>
      <c r="I86" s="36" t="n"/>
    </row>
    <row r="87">
      <c r="B87" s="20">
        <f>IF('Guest List'!$B87="","",'Guest List'!$B87)</f>
        <v/>
      </c>
      <c r="C87" s="20">
        <f>IF('Guest List'!$D87="","",'Guest List'!$D87)</f>
        <v/>
      </c>
      <c r="D87" s="47" t="n"/>
      <c r="E87" s="47" t="n"/>
      <c r="F87" s="27" t="n"/>
      <c r="G87" s="27" t="n"/>
      <c r="H87" s="47" t="n"/>
      <c r="I87" s="36" t="n"/>
    </row>
    <row r="88">
      <c r="B88" s="20">
        <f>IF('Guest List'!$B88="","",'Guest List'!$B88)</f>
        <v/>
      </c>
      <c r="C88" s="20">
        <f>IF('Guest List'!$D88="","",'Guest List'!$D88)</f>
        <v/>
      </c>
      <c r="D88" s="47" t="n"/>
      <c r="E88" s="47" t="n"/>
      <c r="F88" s="27" t="n"/>
      <c r="G88" s="27" t="n"/>
      <c r="H88" s="47" t="n"/>
      <c r="I88" s="36" t="n"/>
    </row>
    <row r="89">
      <c r="B89" s="20">
        <f>IF('Guest List'!$B89="","",'Guest List'!$B89)</f>
        <v/>
      </c>
      <c r="C89" s="20">
        <f>IF('Guest List'!$D89="","",'Guest List'!$D89)</f>
        <v/>
      </c>
      <c r="D89" s="47" t="n"/>
      <c r="E89" s="47" t="n"/>
      <c r="F89" s="27" t="n"/>
      <c r="G89" s="27" t="n"/>
      <c r="H89" s="47" t="n"/>
      <c r="I89" s="36" t="n"/>
    </row>
    <row r="90">
      <c r="B90" s="20">
        <f>IF('Guest List'!$B90="","",'Guest List'!$B90)</f>
        <v/>
      </c>
      <c r="C90" s="20">
        <f>IF('Guest List'!$D90="","",'Guest List'!$D90)</f>
        <v/>
      </c>
      <c r="D90" s="47" t="n"/>
      <c r="E90" s="47" t="n"/>
      <c r="F90" s="27" t="n"/>
      <c r="G90" s="27" t="n"/>
      <c r="H90" s="47" t="n"/>
      <c r="I90" s="36" t="n"/>
    </row>
    <row r="91">
      <c r="B91" s="20">
        <f>IF('Guest List'!$B91="","",'Guest List'!$B91)</f>
        <v/>
      </c>
      <c r="C91" s="20">
        <f>IF('Guest List'!$D91="","",'Guest List'!$D91)</f>
        <v/>
      </c>
      <c r="D91" s="47" t="n"/>
      <c r="E91" s="47" t="n"/>
      <c r="F91" s="27" t="n"/>
      <c r="G91" s="27" t="n"/>
      <c r="H91" s="47" t="n"/>
      <c r="I91" s="36" t="n"/>
    </row>
    <row r="92">
      <c r="B92" s="20">
        <f>IF('Guest List'!$B92="","",'Guest List'!$B92)</f>
        <v/>
      </c>
      <c r="C92" s="20">
        <f>IF('Guest List'!$D92="","",'Guest List'!$D92)</f>
        <v/>
      </c>
      <c r="D92" s="47" t="n"/>
      <c r="E92" s="47" t="n"/>
      <c r="F92" s="27" t="n"/>
      <c r="G92" s="27" t="n"/>
      <c r="H92" s="47" t="n"/>
      <c r="I92" s="36" t="n"/>
    </row>
    <row r="93">
      <c r="B93" s="20">
        <f>IF('Guest List'!$B93="","",'Guest List'!$B93)</f>
        <v/>
      </c>
      <c r="C93" s="20">
        <f>IF('Guest List'!$D93="","",'Guest List'!$D93)</f>
        <v/>
      </c>
      <c r="D93" s="47" t="n"/>
      <c r="E93" s="47" t="n"/>
      <c r="F93" s="27" t="n"/>
      <c r="G93" s="27" t="n"/>
      <c r="H93" s="47" t="n"/>
      <c r="I93" s="36" t="n"/>
    </row>
    <row r="94">
      <c r="B94" s="20">
        <f>IF('Guest List'!$B94="","",'Guest List'!$B94)</f>
        <v/>
      </c>
      <c r="C94" s="20">
        <f>IF('Guest List'!$D94="","",'Guest List'!$D94)</f>
        <v/>
      </c>
      <c r="D94" s="47" t="n"/>
      <c r="E94" s="47" t="n"/>
      <c r="F94" s="27" t="n"/>
      <c r="G94" s="27" t="n"/>
      <c r="H94" s="47" t="n"/>
      <c r="I94" s="36" t="n"/>
    </row>
    <row r="95">
      <c r="B95" s="20">
        <f>IF('Guest List'!$B95="","",'Guest List'!$B95)</f>
        <v/>
      </c>
      <c r="C95" s="20">
        <f>IF('Guest List'!$D95="","",'Guest List'!$D95)</f>
        <v/>
      </c>
      <c r="D95" s="47" t="n"/>
      <c r="E95" s="47" t="n"/>
      <c r="F95" s="27" t="n"/>
      <c r="G95" s="27" t="n"/>
      <c r="H95" s="47" t="n"/>
      <c r="I95" s="36" t="n"/>
    </row>
    <row r="96">
      <c r="B96" s="20">
        <f>IF('Guest List'!$B96="","",'Guest List'!$B96)</f>
        <v/>
      </c>
      <c r="C96" s="20">
        <f>IF('Guest List'!$D96="","",'Guest List'!$D96)</f>
        <v/>
      </c>
      <c r="D96" s="47" t="n"/>
      <c r="E96" s="47" t="n"/>
      <c r="F96" s="27" t="n"/>
      <c r="G96" s="27" t="n"/>
      <c r="H96" s="47" t="n"/>
      <c r="I96" s="36" t="n"/>
    </row>
    <row r="97">
      <c r="B97" s="20">
        <f>IF('Guest List'!$B97="","",'Guest List'!$B97)</f>
        <v/>
      </c>
      <c r="C97" s="20">
        <f>IF('Guest List'!$D97="","",'Guest List'!$D97)</f>
        <v/>
      </c>
      <c r="D97" s="47" t="n"/>
      <c r="E97" s="47" t="n"/>
      <c r="F97" s="27" t="n"/>
      <c r="G97" s="27" t="n"/>
      <c r="H97" s="47" t="n"/>
      <c r="I97" s="36" t="n"/>
    </row>
    <row r="98">
      <c r="B98" s="20">
        <f>IF('Guest List'!$B98="","",'Guest List'!$B98)</f>
        <v/>
      </c>
      <c r="C98" s="20">
        <f>IF('Guest List'!$D98="","",'Guest List'!$D98)</f>
        <v/>
      </c>
      <c r="D98" s="47" t="n"/>
      <c r="E98" s="47" t="n"/>
      <c r="F98" s="27" t="n"/>
      <c r="G98" s="27" t="n"/>
      <c r="H98" s="47" t="n"/>
      <c r="I98" s="36" t="n"/>
    </row>
    <row r="99">
      <c r="B99" s="20">
        <f>IF('Guest List'!$B99="","",'Guest List'!$B99)</f>
        <v/>
      </c>
      <c r="C99" s="20">
        <f>IF('Guest List'!$D99="","",'Guest List'!$D99)</f>
        <v/>
      </c>
      <c r="D99" s="47" t="n"/>
      <c r="E99" s="47" t="n"/>
      <c r="F99" s="27" t="n"/>
      <c r="G99" s="27" t="n"/>
      <c r="H99" s="47" t="n"/>
      <c r="I99" s="36" t="n"/>
    </row>
    <row r="100">
      <c r="B100" s="20">
        <f>IF('Guest List'!$B100="","",'Guest List'!$B100)</f>
        <v/>
      </c>
      <c r="C100" s="20">
        <f>IF('Guest List'!$D100="","",'Guest List'!$D100)</f>
        <v/>
      </c>
      <c r="D100" s="47" t="n"/>
      <c r="E100" s="47" t="n"/>
      <c r="F100" s="27" t="n"/>
      <c r="G100" s="27" t="n"/>
      <c r="H100" s="47" t="n"/>
      <c r="I100" s="36" t="n"/>
    </row>
    <row r="101">
      <c r="B101" s="20">
        <f>IF('Guest List'!$B101="","",'Guest List'!$B101)</f>
        <v/>
      </c>
      <c r="C101" s="20">
        <f>IF('Guest List'!$D101="","",'Guest List'!$D101)</f>
        <v/>
      </c>
      <c r="D101" s="47" t="n"/>
      <c r="E101" s="47" t="n"/>
      <c r="F101" s="27" t="n"/>
      <c r="G101" s="27" t="n"/>
      <c r="H101" s="47" t="n"/>
      <c r="I101" s="36" t="n"/>
    </row>
    <row r="102">
      <c r="B102" s="20">
        <f>IF('Guest List'!$B102="","",'Guest List'!$B102)</f>
        <v/>
      </c>
      <c r="C102" s="20">
        <f>IF('Guest List'!$D102="","",'Guest List'!$D102)</f>
        <v/>
      </c>
      <c r="D102" s="47" t="n"/>
      <c r="E102" s="47" t="n"/>
      <c r="F102" s="27" t="n"/>
      <c r="G102" s="27" t="n"/>
      <c r="H102" s="47" t="n"/>
      <c r="I102" s="36" t="n"/>
    </row>
    <row r="103">
      <c r="B103" s="20">
        <f>IF('Guest List'!$B103="","",'Guest List'!$B103)</f>
        <v/>
      </c>
      <c r="C103" s="20">
        <f>IF('Guest List'!$D103="","",'Guest List'!$D103)</f>
        <v/>
      </c>
      <c r="D103" s="47" t="n"/>
      <c r="E103" s="47" t="n"/>
      <c r="F103" s="27" t="n"/>
      <c r="G103" s="27" t="n"/>
      <c r="H103" s="47" t="n"/>
      <c r="I103" s="36" t="n"/>
    </row>
    <row r="104">
      <c r="B104" s="20">
        <f>IF('Guest List'!$B104="","",'Guest List'!$B104)</f>
        <v/>
      </c>
      <c r="C104" s="20">
        <f>IF('Guest List'!$D104="","",'Guest List'!$D104)</f>
        <v/>
      </c>
      <c r="D104" s="47" t="n"/>
      <c r="E104" s="47" t="n"/>
      <c r="F104" s="27" t="n"/>
      <c r="G104" s="27" t="n"/>
      <c r="H104" s="47" t="n"/>
      <c r="I104" s="36" t="n"/>
    </row>
    <row r="105">
      <c r="B105" s="20">
        <f>IF('Guest List'!$B105="","",'Guest List'!$B105)</f>
        <v/>
      </c>
      <c r="C105" s="20">
        <f>IF('Guest List'!$D105="","",'Guest List'!$D105)</f>
        <v/>
      </c>
      <c r="D105" s="47" t="n"/>
      <c r="E105" s="47" t="n"/>
      <c r="F105" s="27" t="n"/>
      <c r="G105" s="27" t="n"/>
      <c r="H105" s="47" t="n"/>
      <c r="I105" s="36" t="n"/>
    </row>
    <row r="106">
      <c r="B106" s="20">
        <f>IF('Guest List'!$B106="","",'Guest List'!$B106)</f>
        <v/>
      </c>
      <c r="C106" s="20">
        <f>IF('Guest List'!$D106="","",'Guest List'!$D106)</f>
        <v/>
      </c>
      <c r="D106" s="47" t="n"/>
      <c r="E106" s="47" t="n"/>
      <c r="F106" s="27" t="n"/>
      <c r="G106" s="27" t="n"/>
      <c r="H106" s="47" t="n"/>
      <c r="I106" s="36" t="n"/>
    </row>
    <row r="107">
      <c r="B107" s="20">
        <f>IF('Guest List'!$B107="","",'Guest List'!$B107)</f>
        <v/>
      </c>
      <c r="C107" s="20">
        <f>IF('Guest List'!$D107="","",'Guest List'!$D107)</f>
        <v/>
      </c>
      <c r="D107" s="47" t="n"/>
      <c r="E107" s="47" t="n"/>
      <c r="F107" s="27" t="n"/>
      <c r="G107" s="27" t="n"/>
      <c r="H107" s="47" t="n"/>
      <c r="I107" s="36" t="n"/>
    </row>
    <row r="108">
      <c r="B108" s="20">
        <f>IF('Guest List'!$B108="","",'Guest List'!$B108)</f>
        <v/>
      </c>
      <c r="C108" s="20">
        <f>IF('Guest List'!$D108="","",'Guest List'!$D108)</f>
        <v/>
      </c>
      <c r="D108" s="47" t="n"/>
      <c r="E108" s="47" t="n"/>
      <c r="F108" s="27" t="n"/>
      <c r="G108" s="27" t="n"/>
      <c r="H108" s="47" t="n"/>
      <c r="I108" s="36" t="n"/>
    </row>
    <row r="109">
      <c r="B109" s="20">
        <f>IF('Guest List'!$B109="","",'Guest List'!$B109)</f>
        <v/>
      </c>
      <c r="C109" s="20">
        <f>IF('Guest List'!$D109="","",'Guest List'!$D109)</f>
        <v/>
      </c>
      <c r="D109" s="47" t="n"/>
      <c r="E109" s="47" t="n"/>
      <c r="F109" s="27" t="n"/>
      <c r="G109" s="27" t="n"/>
      <c r="H109" s="47" t="n"/>
      <c r="I109" s="36" t="n"/>
    </row>
    <row r="110">
      <c r="B110" s="20">
        <f>IF('Guest List'!$B110="","",'Guest List'!$B110)</f>
        <v/>
      </c>
      <c r="C110" s="20">
        <f>IF('Guest List'!$D110="","",'Guest List'!$D110)</f>
        <v/>
      </c>
      <c r="D110" s="47" t="n"/>
      <c r="E110" s="47" t="n"/>
      <c r="F110" s="27" t="n"/>
      <c r="G110" s="27" t="n"/>
      <c r="H110" s="47" t="n"/>
      <c r="I110" s="36" t="n"/>
    </row>
    <row r="111">
      <c r="B111" s="20">
        <f>IF('Guest List'!$B111="","",'Guest List'!$B111)</f>
        <v/>
      </c>
      <c r="C111" s="20">
        <f>IF('Guest List'!$D111="","",'Guest List'!$D111)</f>
        <v/>
      </c>
      <c r="D111" s="47" t="n"/>
      <c r="E111" s="47" t="n"/>
      <c r="F111" s="27" t="n"/>
      <c r="G111" s="27" t="n"/>
      <c r="H111" s="47" t="n"/>
      <c r="I111" s="36" t="n"/>
    </row>
    <row r="112">
      <c r="B112" s="20">
        <f>IF('Guest List'!$B112="","",'Guest List'!$B112)</f>
        <v/>
      </c>
      <c r="C112" s="20">
        <f>IF('Guest List'!$D112="","",'Guest List'!$D112)</f>
        <v/>
      </c>
      <c r="D112" s="47" t="n"/>
      <c r="E112" s="47" t="n"/>
      <c r="F112" s="27" t="n"/>
      <c r="G112" s="27" t="n"/>
      <c r="H112" s="47" t="n"/>
      <c r="I112" s="36" t="n"/>
    </row>
    <row r="113">
      <c r="B113" s="20">
        <f>IF('Guest List'!$B113="","",'Guest List'!$B113)</f>
        <v/>
      </c>
      <c r="C113" s="20">
        <f>IF('Guest List'!$D113="","",'Guest List'!$D113)</f>
        <v/>
      </c>
      <c r="D113" s="47" t="n"/>
      <c r="E113" s="47" t="n"/>
      <c r="F113" s="27" t="n"/>
      <c r="G113" s="27" t="n"/>
      <c r="H113" s="47" t="n"/>
      <c r="I113" s="36" t="n"/>
    </row>
    <row r="114">
      <c r="B114" s="20">
        <f>IF('Guest List'!$B114="","",'Guest List'!$B114)</f>
        <v/>
      </c>
      <c r="C114" s="20">
        <f>IF('Guest List'!$D114="","",'Guest List'!$D114)</f>
        <v/>
      </c>
      <c r="D114" s="47" t="n"/>
      <c r="E114" s="47" t="n"/>
      <c r="F114" s="27" t="n"/>
      <c r="G114" s="27" t="n"/>
      <c r="H114" s="47" t="n"/>
      <c r="I114" s="36" t="n"/>
    </row>
    <row r="115">
      <c r="B115" s="20">
        <f>IF('Guest List'!$B115="","",'Guest List'!$B115)</f>
        <v/>
      </c>
      <c r="C115" s="20">
        <f>IF('Guest List'!$D115="","",'Guest List'!$D115)</f>
        <v/>
      </c>
      <c r="D115" s="47" t="n"/>
      <c r="E115" s="47" t="n"/>
      <c r="F115" s="27" t="n"/>
      <c r="G115" s="27" t="n"/>
      <c r="H115" s="47" t="n"/>
      <c r="I115" s="36" t="n"/>
    </row>
    <row r="116">
      <c r="B116" s="20">
        <f>IF('Guest List'!$B116="","",'Guest List'!$B116)</f>
        <v/>
      </c>
      <c r="C116" s="20">
        <f>IF('Guest List'!$D116="","",'Guest List'!$D116)</f>
        <v/>
      </c>
      <c r="D116" s="47" t="n"/>
      <c r="E116" s="47" t="n"/>
      <c r="F116" s="27" t="n"/>
      <c r="G116" s="27" t="n"/>
      <c r="H116" s="47" t="n"/>
      <c r="I116" s="36" t="n"/>
    </row>
    <row r="117">
      <c r="B117" s="20">
        <f>IF('Guest List'!$B117="","",'Guest List'!$B117)</f>
        <v/>
      </c>
      <c r="C117" s="20">
        <f>IF('Guest List'!$D117="","",'Guest List'!$D117)</f>
        <v/>
      </c>
      <c r="D117" s="47" t="n"/>
      <c r="E117" s="47" t="n"/>
      <c r="F117" s="27" t="n"/>
      <c r="G117" s="27" t="n"/>
      <c r="H117" s="47" t="n"/>
      <c r="I117" s="36" t="n"/>
    </row>
    <row r="118">
      <c r="B118" s="20">
        <f>IF('Guest List'!$B118="","",'Guest List'!$B118)</f>
        <v/>
      </c>
      <c r="C118" s="20">
        <f>IF('Guest List'!$D118="","",'Guest List'!$D118)</f>
        <v/>
      </c>
      <c r="D118" s="47" t="n"/>
      <c r="E118" s="47" t="n"/>
      <c r="F118" s="27" t="n"/>
      <c r="G118" s="27" t="n"/>
      <c r="H118" s="47" t="n"/>
      <c r="I118" s="36" t="n"/>
    </row>
    <row r="119">
      <c r="B119" s="20">
        <f>IF('Guest List'!$B119="","",'Guest List'!$B119)</f>
        <v/>
      </c>
      <c r="C119" s="20">
        <f>IF('Guest List'!$D119="","",'Guest List'!$D119)</f>
        <v/>
      </c>
      <c r="D119" s="47" t="n"/>
      <c r="E119" s="47" t="n"/>
      <c r="F119" s="27" t="n"/>
      <c r="G119" s="27" t="n"/>
      <c r="H119" s="47" t="n"/>
      <c r="I119" s="36" t="n"/>
    </row>
    <row r="120">
      <c r="B120" s="20">
        <f>IF('Guest List'!$B120="","",'Guest List'!$B120)</f>
        <v/>
      </c>
      <c r="C120" s="20">
        <f>IF('Guest List'!$D120="","",'Guest List'!$D120)</f>
        <v/>
      </c>
      <c r="D120" s="47" t="n"/>
      <c r="E120" s="47" t="n"/>
      <c r="F120" s="27" t="n"/>
      <c r="G120" s="27" t="n"/>
      <c r="H120" s="47" t="n"/>
      <c r="I120" s="36" t="n"/>
    </row>
    <row r="121">
      <c r="B121" s="20">
        <f>IF('Guest List'!$B121="","",'Guest List'!$B121)</f>
        <v/>
      </c>
      <c r="C121" s="20">
        <f>IF('Guest List'!$D121="","",'Guest List'!$D121)</f>
        <v/>
      </c>
      <c r="D121" s="47" t="n"/>
      <c r="E121" s="47" t="n"/>
      <c r="F121" s="27" t="n"/>
      <c r="G121" s="27" t="n"/>
      <c r="H121" s="47" t="n"/>
      <c r="I121" s="36" t="n"/>
    </row>
    <row r="122">
      <c r="B122" s="20">
        <f>IF('Guest List'!$B122="","",'Guest List'!$B122)</f>
        <v/>
      </c>
      <c r="C122" s="20">
        <f>IF('Guest List'!$D122="","",'Guest List'!$D122)</f>
        <v/>
      </c>
      <c r="D122" s="47" t="n"/>
      <c r="E122" s="47" t="n"/>
      <c r="F122" s="27" t="n"/>
      <c r="G122" s="27" t="n"/>
      <c r="H122" s="47" t="n"/>
      <c r="I122" s="36" t="n"/>
    </row>
    <row r="123">
      <c r="B123" s="20">
        <f>IF('Guest List'!$B123="","",'Guest List'!$B123)</f>
        <v/>
      </c>
      <c r="C123" s="20">
        <f>IF('Guest List'!$D123="","",'Guest List'!$D123)</f>
        <v/>
      </c>
      <c r="D123" s="47" t="n"/>
      <c r="E123" s="47" t="n"/>
      <c r="F123" s="27" t="n"/>
      <c r="G123" s="27" t="n"/>
      <c r="H123" s="47" t="n"/>
      <c r="I123" s="36" t="n"/>
    </row>
    <row r="124">
      <c r="B124" s="20">
        <f>IF('Guest List'!$B124="","",'Guest List'!$B124)</f>
        <v/>
      </c>
      <c r="C124" s="20">
        <f>IF('Guest List'!$D124="","",'Guest List'!$D124)</f>
        <v/>
      </c>
      <c r="D124" s="47" t="n"/>
      <c r="E124" s="47" t="n"/>
      <c r="F124" s="27" t="n"/>
      <c r="G124" s="27" t="n"/>
      <c r="H124" s="47" t="n"/>
      <c r="I124" s="36" t="n"/>
    </row>
    <row r="125">
      <c r="B125" s="20">
        <f>IF('Guest List'!$B125="","",'Guest List'!$B125)</f>
        <v/>
      </c>
      <c r="C125" s="20">
        <f>IF('Guest List'!$D125="","",'Guest List'!$D125)</f>
        <v/>
      </c>
      <c r="D125" s="47" t="n"/>
      <c r="E125" s="47" t="n"/>
      <c r="F125" s="27" t="n"/>
      <c r="G125" s="27" t="n"/>
      <c r="H125" s="47" t="n"/>
      <c r="I125" s="36" t="n"/>
    </row>
    <row r="126">
      <c r="B126" s="20">
        <f>IF('Guest List'!$B126="","",'Guest List'!$B126)</f>
        <v/>
      </c>
      <c r="C126" s="20">
        <f>IF('Guest List'!$D126="","",'Guest List'!$D126)</f>
        <v/>
      </c>
      <c r="D126" s="47" t="n"/>
      <c r="E126" s="47" t="n"/>
      <c r="F126" s="27" t="n"/>
      <c r="G126" s="27" t="n"/>
      <c r="H126" s="47" t="n"/>
      <c r="I126" s="36" t="n"/>
    </row>
    <row r="127">
      <c r="B127" s="20">
        <f>IF('Guest List'!$B127="","",'Guest List'!$B127)</f>
        <v/>
      </c>
      <c r="C127" s="20">
        <f>IF('Guest List'!$D127="","",'Guest List'!$D127)</f>
        <v/>
      </c>
      <c r="D127" s="47" t="n"/>
      <c r="E127" s="47" t="n"/>
      <c r="F127" s="27" t="n"/>
      <c r="G127" s="27" t="n"/>
      <c r="H127" s="47" t="n"/>
      <c r="I127" s="36" t="n"/>
    </row>
    <row r="128">
      <c r="B128" s="20">
        <f>IF('Guest List'!$B128="","",'Guest List'!$B128)</f>
        <v/>
      </c>
      <c r="C128" s="20">
        <f>IF('Guest List'!$D128="","",'Guest List'!$D128)</f>
        <v/>
      </c>
      <c r="D128" s="47" t="n"/>
      <c r="E128" s="47" t="n"/>
      <c r="F128" s="27" t="n"/>
      <c r="G128" s="27" t="n"/>
      <c r="H128" s="47" t="n"/>
      <c r="I128" s="36" t="n"/>
    </row>
    <row r="129">
      <c r="B129" s="20">
        <f>IF('Guest List'!$B129="","",'Guest List'!$B129)</f>
        <v/>
      </c>
      <c r="C129" s="20">
        <f>IF('Guest List'!$D129="","",'Guest List'!$D129)</f>
        <v/>
      </c>
      <c r="D129" s="47" t="n"/>
      <c r="E129" s="47" t="n"/>
      <c r="F129" s="27" t="n"/>
      <c r="G129" s="27" t="n"/>
      <c r="H129" s="47" t="n"/>
      <c r="I129" s="36" t="n"/>
    </row>
    <row r="130">
      <c r="B130" s="20">
        <f>IF('Guest List'!$B130="","",'Guest List'!$B130)</f>
        <v/>
      </c>
      <c r="C130" s="20">
        <f>IF('Guest List'!$D130="","",'Guest List'!$D130)</f>
        <v/>
      </c>
      <c r="D130" s="47" t="n"/>
      <c r="E130" s="47" t="n"/>
      <c r="F130" s="27" t="n"/>
      <c r="G130" s="27" t="n"/>
      <c r="H130" s="47" t="n"/>
      <c r="I130" s="36" t="n"/>
    </row>
    <row r="131">
      <c r="B131" s="20">
        <f>IF('Guest List'!$B131="","",'Guest List'!$B131)</f>
        <v/>
      </c>
      <c r="C131" s="20">
        <f>IF('Guest List'!$D131="","",'Guest List'!$D131)</f>
        <v/>
      </c>
      <c r="D131" s="47" t="n"/>
      <c r="E131" s="47" t="n"/>
      <c r="F131" s="27" t="n"/>
      <c r="G131" s="27" t="n"/>
      <c r="H131" s="47" t="n"/>
      <c r="I131" s="36" t="n"/>
    </row>
    <row r="132">
      <c r="B132" s="20">
        <f>IF('Guest List'!$B132="","",'Guest List'!$B132)</f>
        <v/>
      </c>
      <c r="C132" s="20">
        <f>IF('Guest List'!$D132="","",'Guest List'!$D132)</f>
        <v/>
      </c>
      <c r="D132" s="47" t="n"/>
      <c r="E132" s="47" t="n"/>
      <c r="F132" s="27" t="n"/>
      <c r="G132" s="27" t="n"/>
      <c r="H132" s="47" t="n"/>
      <c r="I132" s="36" t="n"/>
    </row>
    <row r="133">
      <c r="B133" s="20">
        <f>IF('Guest List'!$B133="","",'Guest List'!$B133)</f>
        <v/>
      </c>
      <c r="C133" s="20">
        <f>IF('Guest List'!$D133="","",'Guest List'!$D133)</f>
        <v/>
      </c>
      <c r="D133" s="47" t="n"/>
      <c r="E133" s="47" t="n"/>
      <c r="F133" s="27" t="n"/>
      <c r="G133" s="27" t="n"/>
      <c r="H133" s="47" t="n"/>
      <c r="I133" s="36" t="n"/>
    </row>
    <row r="134">
      <c r="B134" s="20">
        <f>IF('Guest List'!$B134="","",'Guest List'!$B134)</f>
        <v/>
      </c>
      <c r="C134" s="20">
        <f>IF('Guest List'!$D134="","",'Guest List'!$D134)</f>
        <v/>
      </c>
      <c r="D134" s="47" t="n"/>
      <c r="E134" s="47" t="n"/>
      <c r="F134" s="27" t="n"/>
      <c r="G134" s="27" t="n"/>
      <c r="H134" s="47" t="n"/>
      <c r="I134" s="36" t="n"/>
    </row>
    <row r="135">
      <c r="B135" s="20">
        <f>IF('Guest List'!$B135="","",'Guest List'!$B135)</f>
        <v/>
      </c>
      <c r="C135" s="20">
        <f>IF('Guest List'!$D135="","",'Guest List'!$D135)</f>
        <v/>
      </c>
      <c r="D135" s="47" t="n"/>
      <c r="E135" s="47" t="n"/>
      <c r="F135" s="27" t="n"/>
      <c r="G135" s="27" t="n"/>
      <c r="H135" s="47" t="n"/>
      <c r="I135" s="36" t="n"/>
    </row>
    <row r="136">
      <c r="B136" s="20">
        <f>IF('Guest List'!$B136="","",'Guest List'!$B136)</f>
        <v/>
      </c>
      <c r="C136" s="20">
        <f>IF('Guest List'!$D136="","",'Guest List'!$D136)</f>
        <v/>
      </c>
      <c r="D136" s="47" t="n"/>
      <c r="E136" s="47" t="n"/>
      <c r="F136" s="27" t="n"/>
      <c r="G136" s="27" t="n"/>
      <c r="H136" s="47" t="n"/>
      <c r="I136" s="36" t="n"/>
    </row>
    <row r="137">
      <c r="B137" s="20">
        <f>IF('Guest List'!$B137="","",'Guest List'!$B137)</f>
        <v/>
      </c>
      <c r="C137" s="20">
        <f>IF('Guest List'!$D137="","",'Guest List'!$D137)</f>
        <v/>
      </c>
      <c r="D137" s="47" t="n"/>
      <c r="E137" s="47" t="n"/>
      <c r="F137" s="27" t="n"/>
      <c r="G137" s="27" t="n"/>
      <c r="H137" s="47" t="n"/>
      <c r="I137" s="36" t="n"/>
    </row>
    <row r="138">
      <c r="B138" s="20">
        <f>IF('Guest List'!$B138="","",'Guest List'!$B138)</f>
        <v/>
      </c>
      <c r="C138" s="20">
        <f>IF('Guest List'!$D138="","",'Guest List'!$D138)</f>
        <v/>
      </c>
      <c r="D138" s="47" t="n"/>
      <c r="E138" s="47" t="n"/>
      <c r="F138" s="27" t="n"/>
      <c r="G138" s="27" t="n"/>
      <c r="H138" s="47" t="n"/>
      <c r="I138" s="36" t="n"/>
    </row>
    <row r="139">
      <c r="B139" s="20">
        <f>IF('Guest List'!$B139="","",'Guest List'!$B139)</f>
        <v/>
      </c>
      <c r="C139" s="20">
        <f>IF('Guest List'!$D139="","",'Guest List'!$D139)</f>
        <v/>
      </c>
      <c r="D139" s="47" t="n"/>
      <c r="E139" s="47" t="n"/>
      <c r="F139" s="27" t="n"/>
      <c r="G139" s="27" t="n"/>
      <c r="H139" s="47" t="n"/>
      <c r="I139" s="36" t="n"/>
    </row>
    <row r="140">
      <c r="B140" s="20">
        <f>IF('Guest List'!$B140="","",'Guest List'!$B140)</f>
        <v/>
      </c>
      <c r="C140" s="20">
        <f>IF('Guest List'!$D140="","",'Guest List'!$D140)</f>
        <v/>
      </c>
      <c r="D140" s="47" t="n"/>
      <c r="E140" s="47" t="n"/>
      <c r="F140" s="27" t="n"/>
      <c r="G140" s="27" t="n"/>
      <c r="H140" s="47" t="n"/>
      <c r="I140" s="36" t="n"/>
    </row>
    <row r="141">
      <c r="B141" s="20">
        <f>IF('Guest List'!$B141="","",'Guest List'!$B141)</f>
        <v/>
      </c>
      <c r="C141" s="20">
        <f>IF('Guest List'!$D141="","",'Guest List'!$D141)</f>
        <v/>
      </c>
      <c r="D141" s="47" t="n"/>
      <c r="E141" s="47" t="n"/>
      <c r="F141" s="27" t="n"/>
      <c r="G141" s="27" t="n"/>
      <c r="H141" s="47" t="n"/>
      <c r="I141" s="36" t="n"/>
    </row>
    <row r="142">
      <c r="B142" s="20">
        <f>IF('Guest List'!$B142="","",'Guest List'!$B142)</f>
        <v/>
      </c>
      <c r="C142" s="20">
        <f>IF('Guest List'!$D142="","",'Guest List'!$D142)</f>
        <v/>
      </c>
      <c r="D142" s="47" t="n"/>
      <c r="E142" s="47" t="n"/>
      <c r="F142" s="27" t="n"/>
      <c r="G142" s="27" t="n"/>
      <c r="H142" s="47" t="n"/>
      <c r="I142" s="36" t="n"/>
    </row>
    <row r="143">
      <c r="B143" s="20">
        <f>IF('Guest List'!$B143="","",'Guest List'!$B143)</f>
        <v/>
      </c>
      <c r="C143" s="20">
        <f>IF('Guest List'!$D143="","",'Guest List'!$D143)</f>
        <v/>
      </c>
      <c r="D143" s="47" t="n"/>
      <c r="E143" s="47" t="n"/>
      <c r="F143" s="27" t="n"/>
      <c r="G143" s="27" t="n"/>
      <c r="H143" s="47" t="n"/>
      <c r="I143" s="36" t="n"/>
    </row>
    <row r="144">
      <c r="B144" s="20">
        <f>IF('Guest List'!$B144="","",'Guest List'!$B144)</f>
        <v/>
      </c>
      <c r="C144" s="20">
        <f>IF('Guest List'!$D144="","",'Guest List'!$D144)</f>
        <v/>
      </c>
      <c r="D144" s="47" t="n"/>
      <c r="E144" s="47" t="n"/>
      <c r="F144" s="27" t="n"/>
      <c r="G144" s="27" t="n"/>
      <c r="H144" s="47" t="n"/>
      <c r="I144" s="36" t="n"/>
    </row>
    <row r="145">
      <c r="B145" s="20">
        <f>IF('Guest List'!$B145="","",'Guest List'!$B145)</f>
        <v/>
      </c>
      <c r="C145" s="20">
        <f>IF('Guest List'!$D145="","",'Guest List'!$D145)</f>
        <v/>
      </c>
      <c r="D145" s="47" t="n"/>
      <c r="E145" s="47" t="n"/>
      <c r="F145" s="27" t="n"/>
      <c r="G145" s="27" t="n"/>
      <c r="H145" s="47" t="n"/>
      <c r="I145" s="36" t="n"/>
    </row>
    <row r="146">
      <c r="B146" s="20">
        <f>IF('Guest List'!$B146="","",'Guest List'!$B146)</f>
        <v/>
      </c>
      <c r="C146" s="20">
        <f>IF('Guest List'!$D146="","",'Guest List'!$D146)</f>
        <v/>
      </c>
      <c r="D146" s="47" t="n"/>
      <c r="E146" s="47" t="n"/>
      <c r="F146" s="27" t="n"/>
      <c r="G146" s="27" t="n"/>
      <c r="H146" s="47" t="n"/>
      <c r="I146" s="36" t="n"/>
    </row>
    <row r="147">
      <c r="B147" s="20">
        <f>IF('Guest List'!$B147="","",'Guest List'!$B147)</f>
        <v/>
      </c>
      <c r="C147" s="20">
        <f>IF('Guest List'!$D147="","",'Guest List'!$D147)</f>
        <v/>
      </c>
      <c r="D147" s="47" t="n"/>
      <c r="E147" s="47" t="n"/>
      <c r="F147" s="27" t="n"/>
      <c r="G147" s="27" t="n"/>
      <c r="H147" s="47" t="n"/>
      <c r="I147" s="36" t="n"/>
    </row>
    <row r="148">
      <c r="B148" s="20">
        <f>IF('Guest List'!$B148="","",'Guest List'!$B148)</f>
        <v/>
      </c>
      <c r="C148" s="20">
        <f>IF('Guest List'!$D148="","",'Guest List'!$D148)</f>
        <v/>
      </c>
      <c r="D148" s="47" t="n"/>
      <c r="E148" s="47" t="n"/>
      <c r="F148" s="27" t="n"/>
      <c r="G148" s="27" t="n"/>
      <c r="H148" s="47" t="n"/>
      <c r="I148" s="36" t="n"/>
    </row>
    <row r="149">
      <c r="B149" s="20">
        <f>IF('Guest List'!$B149="","",'Guest List'!$B149)</f>
        <v/>
      </c>
      <c r="C149" s="20">
        <f>IF('Guest List'!$D149="","",'Guest List'!$D149)</f>
        <v/>
      </c>
      <c r="D149" s="47" t="n"/>
      <c r="E149" s="47" t="n"/>
      <c r="F149" s="27" t="n"/>
      <c r="G149" s="27" t="n"/>
      <c r="H149" s="47" t="n"/>
      <c r="I149" s="36" t="n"/>
    </row>
    <row r="150">
      <c r="B150" s="20">
        <f>IF('Guest List'!$B150="","",'Guest List'!$B150)</f>
        <v/>
      </c>
      <c r="C150" s="20">
        <f>IF('Guest List'!$D150="","",'Guest List'!$D150)</f>
        <v/>
      </c>
      <c r="D150" s="47" t="n"/>
      <c r="E150" s="47" t="n"/>
      <c r="F150" s="27" t="n"/>
      <c r="G150" s="27" t="n"/>
      <c r="H150" s="47" t="n"/>
      <c r="I150" s="36" t="n"/>
    </row>
    <row r="151">
      <c r="B151" s="20">
        <f>IF('Guest List'!$B151="","",'Guest List'!$B151)</f>
        <v/>
      </c>
      <c r="C151" s="20">
        <f>IF('Guest List'!$D151="","",'Guest List'!$D151)</f>
        <v/>
      </c>
      <c r="D151" s="47" t="n"/>
      <c r="E151" s="47" t="n"/>
      <c r="F151" s="27" t="n"/>
      <c r="G151" s="27" t="n"/>
      <c r="H151" s="47" t="n"/>
      <c r="I151" s="36" t="n"/>
    </row>
    <row r="152">
      <c r="B152" s="20">
        <f>IF('Guest List'!$B152="","",'Guest List'!$B152)</f>
        <v/>
      </c>
      <c r="C152" s="20">
        <f>IF('Guest List'!$D152="","",'Guest List'!$D152)</f>
        <v/>
      </c>
      <c r="D152" s="47" t="n"/>
      <c r="E152" s="47" t="n"/>
      <c r="F152" s="27" t="n"/>
      <c r="G152" s="27" t="n"/>
      <c r="H152" s="47" t="n"/>
      <c r="I152" s="36" t="n"/>
    </row>
    <row r="153">
      <c r="B153" s="20">
        <f>IF('Guest List'!$B153="","",'Guest List'!$B153)</f>
        <v/>
      </c>
      <c r="C153" s="20">
        <f>IF('Guest List'!$D153="","",'Guest List'!$D153)</f>
        <v/>
      </c>
      <c r="D153" s="47" t="n"/>
      <c r="E153" s="47" t="n"/>
      <c r="F153" s="27" t="n"/>
      <c r="G153" s="27" t="n"/>
      <c r="H153" s="47" t="n"/>
      <c r="I153" s="36" t="n"/>
    </row>
    <row r="154">
      <c r="B154" s="20">
        <f>IF('Guest List'!$B154="","",'Guest List'!$B154)</f>
        <v/>
      </c>
      <c r="C154" s="20">
        <f>IF('Guest List'!$D154="","",'Guest List'!$D154)</f>
        <v/>
      </c>
      <c r="D154" s="47" t="n"/>
      <c r="E154" s="47" t="n"/>
      <c r="F154" s="27" t="n"/>
      <c r="G154" s="27" t="n"/>
      <c r="H154" s="47" t="n"/>
      <c r="I154" s="36" t="n"/>
    </row>
    <row r="155">
      <c r="B155" s="20">
        <f>IF('Guest List'!$B155="","",'Guest List'!$B155)</f>
        <v/>
      </c>
      <c r="C155" s="20">
        <f>IF('Guest List'!$D155="","",'Guest List'!$D155)</f>
        <v/>
      </c>
      <c r="D155" s="47" t="n"/>
      <c r="E155" s="47" t="n"/>
      <c r="F155" s="27" t="n"/>
      <c r="G155" s="27" t="n"/>
      <c r="H155" s="47" t="n"/>
      <c r="I155" s="36" t="n"/>
    </row>
    <row r="156">
      <c r="B156" s="20">
        <f>IF('Guest List'!$B156="","",'Guest List'!$B156)</f>
        <v/>
      </c>
      <c r="C156" s="20">
        <f>IF('Guest List'!$D156="","",'Guest List'!$D156)</f>
        <v/>
      </c>
      <c r="D156" s="47" t="n"/>
      <c r="E156" s="47" t="n"/>
      <c r="F156" s="27" t="n"/>
      <c r="G156" s="27" t="n"/>
      <c r="H156" s="47" t="n"/>
      <c r="I156" s="36" t="n"/>
    </row>
    <row r="157">
      <c r="B157" s="20">
        <f>IF('Guest List'!$B157="","",'Guest List'!$B157)</f>
        <v/>
      </c>
      <c r="C157" s="20">
        <f>IF('Guest List'!$D157="","",'Guest List'!$D157)</f>
        <v/>
      </c>
      <c r="D157" s="47" t="n"/>
      <c r="E157" s="47" t="n"/>
      <c r="F157" s="27" t="n"/>
      <c r="G157" s="27" t="n"/>
      <c r="H157" s="47" t="n"/>
      <c r="I157" s="36" t="n"/>
    </row>
    <row r="158">
      <c r="B158" s="20">
        <f>IF('Guest List'!$B158="","",'Guest List'!$B158)</f>
        <v/>
      </c>
      <c r="C158" s="20">
        <f>IF('Guest List'!$D158="","",'Guest List'!$D158)</f>
        <v/>
      </c>
      <c r="D158" s="47" t="n"/>
      <c r="E158" s="47" t="n"/>
      <c r="F158" s="27" t="n"/>
      <c r="G158" s="27" t="n"/>
      <c r="H158" s="47" t="n"/>
      <c r="I158" s="36" t="n"/>
    </row>
    <row r="159">
      <c r="B159" s="20">
        <f>IF('Guest List'!$B159="","",'Guest List'!$B159)</f>
        <v/>
      </c>
      <c r="C159" s="20">
        <f>IF('Guest List'!$D159="","",'Guest List'!$D159)</f>
        <v/>
      </c>
      <c r="D159" s="47" t="n"/>
      <c r="E159" s="47" t="n"/>
      <c r="F159" s="27" t="n"/>
      <c r="G159" s="27" t="n"/>
      <c r="H159" s="47" t="n"/>
      <c r="I159" s="36" t="n"/>
    </row>
    <row r="160">
      <c r="B160" s="20">
        <f>IF('Guest List'!$B160="","",'Guest List'!$B160)</f>
        <v/>
      </c>
      <c r="C160" s="20">
        <f>IF('Guest List'!$D160="","",'Guest List'!$D160)</f>
        <v/>
      </c>
      <c r="D160" s="47" t="n"/>
      <c r="E160" s="47" t="n"/>
      <c r="F160" s="27" t="n"/>
      <c r="G160" s="27" t="n"/>
      <c r="H160" s="47" t="n"/>
      <c r="I160" s="36" t="n"/>
    </row>
    <row r="161">
      <c r="B161" s="20">
        <f>IF('Guest List'!$B161="","",'Guest List'!$B161)</f>
        <v/>
      </c>
      <c r="C161" s="20">
        <f>IF('Guest List'!$D161="","",'Guest List'!$D161)</f>
        <v/>
      </c>
      <c r="D161" s="47" t="n"/>
      <c r="E161" s="47" t="n"/>
      <c r="F161" s="27" t="n"/>
      <c r="G161" s="27" t="n"/>
      <c r="H161" s="47" t="n"/>
      <c r="I161" s="36" t="n"/>
    </row>
    <row r="162">
      <c r="B162" s="20">
        <f>IF('Guest List'!$B162="","",'Guest List'!$B162)</f>
        <v/>
      </c>
      <c r="C162" s="20">
        <f>IF('Guest List'!$D162="","",'Guest List'!$D162)</f>
        <v/>
      </c>
      <c r="D162" s="47" t="n"/>
      <c r="E162" s="47" t="n"/>
      <c r="F162" s="27" t="n"/>
      <c r="G162" s="27" t="n"/>
      <c r="H162" s="47" t="n"/>
      <c r="I162" s="36" t="n"/>
    </row>
    <row r="163">
      <c r="B163" s="20">
        <f>IF('Guest List'!$B163="","",'Guest List'!$B163)</f>
        <v/>
      </c>
      <c r="C163" s="20">
        <f>IF('Guest List'!$D163="","",'Guest List'!$D163)</f>
        <v/>
      </c>
      <c r="D163" s="47" t="n"/>
      <c r="E163" s="47" t="n"/>
      <c r="F163" s="27" t="n"/>
      <c r="G163" s="27" t="n"/>
      <c r="H163" s="47" t="n"/>
      <c r="I163" s="36" t="n"/>
    </row>
    <row r="164">
      <c r="B164" s="20">
        <f>IF('Guest List'!$B164="","",'Guest List'!$B164)</f>
        <v/>
      </c>
      <c r="C164" s="20">
        <f>IF('Guest List'!$D164="","",'Guest List'!$D164)</f>
        <v/>
      </c>
      <c r="D164" s="47" t="n"/>
      <c r="E164" s="47" t="n"/>
      <c r="F164" s="27" t="n"/>
      <c r="G164" s="27" t="n"/>
      <c r="H164" s="47" t="n"/>
      <c r="I164" s="36" t="n"/>
    </row>
    <row r="165">
      <c r="B165" s="20">
        <f>IF('Guest List'!$B165="","",'Guest List'!$B165)</f>
        <v/>
      </c>
      <c r="C165" s="20">
        <f>IF('Guest List'!$D165="","",'Guest List'!$D165)</f>
        <v/>
      </c>
      <c r="D165" s="47" t="n"/>
      <c r="E165" s="47" t="n"/>
      <c r="F165" s="27" t="n"/>
      <c r="G165" s="27" t="n"/>
      <c r="H165" s="47" t="n"/>
      <c r="I165" s="36" t="n"/>
    </row>
    <row r="166">
      <c r="B166" s="20">
        <f>IF('Guest List'!$B166="","",'Guest List'!$B166)</f>
        <v/>
      </c>
      <c r="C166" s="20">
        <f>IF('Guest List'!$D166="","",'Guest List'!$D166)</f>
        <v/>
      </c>
      <c r="D166" s="47" t="n"/>
      <c r="E166" s="47" t="n"/>
      <c r="F166" s="27" t="n"/>
      <c r="G166" s="27" t="n"/>
      <c r="H166" s="47" t="n"/>
      <c r="I166" s="36" t="n"/>
    </row>
    <row r="167">
      <c r="B167" s="20">
        <f>IF('Guest List'!$B167="","",'Guest List'!$B167)</f>
        <v/>
      </c>
      <c r="C167" s="20">
        <f>IF('Guest List'!$D167="","",'Guest List'!$D167)</f>
        <v/>
      </c>
      <c r="D167" s="47" t="n"/>
      <c r="E167" s="47" t="n"/>
      <c r="F167" s="27" t="n"/>
      <c r="G167" s="27" t="n"/>
      <c r="H167" s="47" t="n"/>
      <c r="I167" s="36" t="n"/>
    </row>
    <row r="168">
      <c r="B168" s="20">
        <f>IF('Guest List'!$B168="","",'Guest List'!$B168)</f>
        <v/>
      </c>
      <c r="C168" s="20">
        <f>IF('Guest List'!$D168="","",'Guest List'!$D168)</f>
        <v/>
      </c>
      <c r="D168" s="47" t="n"/>
      <c r="E168" s="47" t="n"/>
      <c r="F168" s="27" t="n"/>
      <c r="G168" s="27" t="n"/>
      <c r="H168" s="47" t="n"/>
      <c r="I168" s="36" t="n"/>
    </row>
    <row r="169">
      <c r="B169" s="20">
        <f>IF('Guest List'!$B169="","",'Guest List'!$B169)</f>
        <v/>
      </c>
      <c r="C169" s="20">
        <f>IF('Guest List'!$D169="","",'Guest List'!$D169)</f>
        <v/>
      </c>
      <c r="D169" s="47" t="n"/>
      <c r="E169" s="47" t="n"/>
      <c r="F169" s="27" t="n"/>
      <c r="G169" s="27" t="n"/>
      <c r="H169" s="47" t="n"/>
      <c r="I169" s="36" t="n"/>
    </row>
    <row r="170">
      <c r="B170" s="20">
        <f>IF('Guest List'!$B170="","",'Guest List'!$B170)</f>
        <v/>
      </c>
      <c r="C170" s="20">
        <f>IF('Guest List'!$D170="","",'Guest List'!$D170)</f>
        <v/>
      </c>
      <c r="D170" s="47" t="n"/>
      <c r="E170" s="47" t="n"/>
      <c r="F170" s="27" t="n"/>
      <c r="G170" s="27" t="n"/>
      <c r="H170" s="47" t="n"/>
      <c r="I170" s="36" t="n"/>
    </row>
    <row r="171">
      <c r="B171" s="20">
        <f>IF('Guest List'!$B171="","",'Guest List'!$B171)</f>
        <v/>
      </c>
      <c r="C171" s="20">
        <f>IF('Guest List'!$D171="","",'Guest List'!$D171)</f>
        <v/>
      </c>
      <c r="D171" s="47" t="n"/>
      <c r="E171" s="47" t="n"/>
      <c r="F171" s="27" t="n"/>
      <c r="G171" s="27" t="n"/>
      <c r="H171" s="47" t="n"/>
      <c r="I171" s="36" t="n"/>
    </row>
    <row r="172">
      <c r="B172" s="20">
        <f>IF('Guest List'!$B172="","",'Guest List'!$B172)</f>
        <v/>
      </c>
      <c r="C172" s="20">
        <f>IF('Guest List'!$D172="","",'Guest List'!$D172)</f>
        <v/>
      </c>
      <c r="D172" s="47" t="n"/>
      <c r="E172" s="47" t="n"/>
      <c r="F172" s="27" t="n"/>
      <c r="G172" s="27" t="n"/>
      <c r="H172" s="47" t="n"/>
      <c r="I172" s="36" t="n"/>
    </row>
    <row r="173">
      <c r="B173" s="20">
        <f>IF('Guest List'!$B173="","",'Guest List'!$B173)</f>
        <v/>
      </c>
      <c r="C173" s="20">
        <f>IF('Guest List'!$D173="","",'Guest List'!$D173)</f>
        <v/>
      </c>
      <c r="D173" s="47" t="n"/>
      <c r="E173" s="47" t="n"/>
      <c r="F173" s="27" t="n"/>
      <c r="G173" s="27" t="n"/>
      <c r="H173" s="47" t="n"/>
      <c r="I173" s="36" t="n"/>
    </row>
    <row r="174">
      <c r="B174" s="20">
        <f>IF('Guest List'!$B174="","",'Guest List'!$B174)</f>
        <v/>
      </c>
      <c r="C174" s="20">
        <f>IF('Guest List'!$D174="","",'Guest List'!$D174)</f>
        <v/>
      </c>
      <c r="D174" s="47" t="n"/>
      <c r="E174" s="47" t="n"/>
      <c r="F174" s="27" t="n"/>
      <c r="G174" s="27" t="n"/>
      <c r="H174" s="47" t="n"/>
      <c r="I174" s="36" t="n"/>
    </row>
    <row r="175">
      <c r="B175" s="20">
        <f>IF('Guest List'!$B175="","",'Guest List'!$B175)</f>
        <v/>
      </c>
      <c r="C175" s="20">
        <f>IF('Guest List'!$D175="","",'Guest List'!$D175)</f>
        <v/>
      </c>
      <c r="D175" s="47" t="n"/>
      <c r="E175" s="47" t="n"/>
      <c r="F175" s="27" t="n"/>
      <c r="G175" s="27" t="n"/>
      <c r="H175" s="47" t="n"/>
      <c r="I175" s="36" t="n"/>
    </row>
    <row r="176">
      <c r="B176" s="20">
        <f>IF('Guest List'!$B176="","",'Guest List'!$B176)</f>
        <v/>
      </c>
      <c r="C176" s="20">
        <f>IF('Guest List'!$D176="","",'Guest List'!$D176)</f>
        <v/>
      </c>
      <c r="D176" s="47" t="n"/>
      <c r="E176" s="47" t="n"/>
      <c r="F176" s="27" t="n"/>
      <c r="G176" s="27" t="n"/>
      <c r="H176" s="47" t="n"/>
      <c r="I176" s="36" t="n"/>
    </row>
    <row r="177">
      <c r="B177" s="20">
        <f>IF('Guest List'!$B177="","",'Guest List'!$B177)</f>
        <v/>
      </c>
      <c r="C177" s="20">
        <f>IF('Guest List'!$D177="","",'Guest List'!$D177)</f>
        <v/>
      </c>
      <c r="D177" s="47" t="n"/>
      <c r="E177" s="47" t="n"/>
      <c r="F177" s="27" t="n"/>
      <c r="G177" s="27" t="n"/>
      <c r="H177" s="47" t="n"/>
      <c r="I177" s="36" t="n"/>
    </row>
    <row r="178">
      <c r="B178" s="20">
        <f>IF('Guest List'!$B178="","",'Guest List'!$B178)</f>
        <v/>
      </c>
      <c r="C178" s="20">
        <f>IF('Guest List'!$D178="","",'Guest List'!$D178)</f>
        <v/>
      </c>
      <c r="D178" s="47" t="n"/>
      <c r="E178" s="47" t="n"/>
      <c r="F178" s="27" t="n"/>
      <c r="G178" s="27" t="n"/>
      <c r="H178" s="47" t="n"/>
      <c r="I178" s="36" t="n"/>
    </row>
    <row r="179">
      <c r="B179" s="20">
        <f>IF('Guest List'!$B179="","",'Guest List'!$B179)</f>
        <v/>
      </c>
      <c r="C179" s="20">
        <f>IF('Guest List'!$D179="","",'Guest List'!$D179)</f>
        <v/>
      </c>
      <c r="D179" s="47" t="n"/>
      <c r="E179" s="47" t="n"/>
      <c r="F179" s="27" t="n"/>
      <c r="G179" s="27" t="n"/>
      <c r="H179" s="47" t="n"/>
      <c r="I179" s="36" t="n"/>
    </row>
    <row r="180">
      <c r="B180" s="20">
        <f>IF('Guest List'!$B180="","",'Guest List'!$B180)</f>
        <v/>
      </c>
      <c r="C180" s="20">
        <f>IF('Guest List'!$D180="","",'Guest List'!$D180)</f>
        <v/>
      </c>
      <c r="D180" s="47" t="n"/>
      <c r="E180" s="47" t="n"/>
      <c r="F180" s="27" t="n"/>
      <c r="G180" s="27" t="n"/>
      <c r="H180" s="47" t="n"/>
      <c r="I180" s="36" t="n"/>
    </row>
    <row r="181">
      <c r="B181" s="20">
        <f>IF('Guest List'!$B181="","",'Guest List'!$B181)</f>
        <v/>
      </c>
      <c r="C181" s="20">
        <f>IF('Guest List'!$D181="","",'Guest List'!$D181)</f>
        <v/>
      </c>
      <c r="D181" s="47" t="n"/>
      <c r="E181" s="47" t="n"/>
      <c r="F181" s="27" t="n"/>
      <c r="G181" s="27" t="n"/>
      <c r="H181" s="47" t="n"/>
      <c r="I181" s="36" t="n"/>
    </row>
    <row r="182">
      <c r="B182" s="20">
        <f>IF('Guest List'!$B182="","",'Guest List'!$B182)</f>
        <v/>
      </c>
      <c r="C182" s="20">
        <f>IF('Guest List'!$D182="","",'Guest List'!$D182)</f>
        <v/>
      </c>
      <c r="D182" s="47" t="n"/>
      <c r="E182" s="47" t="n"/>
      <c r="F182" s="27" t="n"/>
      <c r="G182" s="27" t="n"/>
      <c r="H182" s="47" t="n"/>
      <c r="I182" s="36" t="n"/>
    </row>
    <row r="183">
      <c r="B183" s="20">
        <f>IF('Guest List'!$B183="","",'Guest List'!$B183)</f>
        <v/>
      </c>
      <c r="C183" s="20">
        <f>IF('Guest List'!$D183="","",'Guest List'!$D183)</f>
        <v/>
      </c>
      <c r="D183" s="47" t="n"/>
      <c r="E183" s="47" t="n"/>
      <c r="F183" s="27" t="n"/>
      <c r="G183" s="27" t="n"/>
      <c r="H183" s="47" t="n"/>
      <c r="I183" s="36" t="n"/>
    </row>
    <row r="184">
      <c r="B184" s="20">
        <f>IF('Guest List'!$B184="","",'Guest List'!$B184)</f>
        <v/>
      </c>
      <c r="C184" s="20">
        <f>IF('Guest List'!$D184="","",'Guest List'!$D184)</f>
        <v/>
      </c>
      <c r="D184" s="47" t="n"/>
      <c r="E184" s="47" t="n"/>
      <c r="F184" s="27" t="n"/>
      <c r="G184" s="27" t="n"/>
      <c r="H184" s="47" t="n"/>
      <c r="I184" s="36" t="n"/>
    </row>
    <row r="185">
      <c r="B185" s="20">
        <f>IF('Guest List'!$B185="","",'Guest List'!$B185)</f>
        <v/>
      </c>
      <c r="C185" s="20">
        <f>IF('Guest List'!$D185="","",'Guest List'!$D185)</f>
        <v/>
      </c>
      <c r="D185" s="47" t="n"/>
      <c r="E185" s="47" t="n"/>
      <c r="F185" s="27" t="n"/>
      <c r="G185" s="27" t="n"/>
      <c r="H185" s="47" t="n"/>
      <c r="I185" s="36" t="n"/>
    </row>
    <row r="186">
      <c r="B186" s="20">
        <f>IF('Guest List'!$B186="","",'Guest List'!$B186)</f>
        <v/>
      </c>
      <c r="C186" s="20">
        <f>IF('Guest List'!$D186="","",'Guest List'!$D186)</f>
        <v/>
      </c>
      <c r="D186" s="47" t="n"/>
      <c r="E186" s="47" t="n"/>
      <c r="F186" s="27" t="n"/>
      <c r="G186" s="27" t="n"/>
      <c r="H186" s="47" t="n"/>
      <c r="I186" s="36" t="n"/>
    </row>
    <row r="187">
      <c r="B187" s="20">
        <f>IF('Guest List'!$B187="","",'Guest List'!$B187)</f>
        <v/>
      </c>
      <c r="C187" s="20">
        <f>IF('Guest List'!$D187="","",'Guest List'!$D187)</f>
        <v/>
      </c>
      <c r="D187" s="47" t="n"/>
      <c r="E187" s="47" t="n"/>
      <c r="F187" s="27" t="n"/>
      <c r="G187" s="27" t="n"/>
      <c r="H187" s="47" t="n"/>
      <c r="I187" s="36" t="n"/>
    </row>
    <row r="188">
      <c r="B188" s="20">
        <f>IF('Guest List'!$B188="","",'Guest List'!$B188)</f>
        <v/>
      </c>
      <c r="C188" s="20">
        <f>IF('Guest List'!$D188="","",'Guest List'!$D188)</f>
        <v/>
      </c>
      <c r="D188" s="47" t="n"/>
      <c r="E188" s="47" t="n"/>
      <c r="F188" s="27" t="n"/>
      <c r="G188" s="27" t="n"/>
      <c r="H188" s="47" t="n"/>
      <c r="I188" s="36" t="n"/>
    </row>
    <row r="189">
      <c r="B189" s="20">
        <f>IF('Guest List'!$B189="","",'Guest List'!$B189)</f>
        <v/>
      </c>
      <c r="C189" s="20">
        <f>IF('Guest List'!$D189="","",'Guest List'!$D189)</f>
        <v/>
      </c>
      <c r="D189" s="47" t="n"/>
      <c r="E189" s="47" t="n"/>
      <c r="F189" s="27" t="n"/>
      <c r="G189" s="27" t="n"/>
      <c r="H189" s="47" t="n"/>
      <c r="I189" s="36" t="n"/>
    </row>
    <row r="190">
      <c r="B190" s="20">
        <f>IF('Guest List'!$B190="","",'Guest List'!$B190)</f>
        <v/>
      </c>
      <c r="C190" s="20">
        <f>IF('Guest List'!$D190="","",'Guest List'!$D190)</f>
        <v/>
      </c>
      <c r="D190" s="47" t="n"/>
      <c r="E190" s="47" t="n"/>
      <c r="F190" s="27" t="n"/>
      <c r="G190" s="27" t="n"/>
      <c r="H190" s="47" t="n"/>
      <c r="I190" s="36" t="n"/>
    </row>
    <row r="191">
      <c r="B191" s="20">
        <f>IF('Guest List'!$B191="","",'Guest List'!$B191)</f>
        <v/>
      </c>
      <c r="C191" s="20">
        <f>IF('Guest List'!$D191="","",'Guest List'!$D191)</f>
        <v/>
      </c>
      <c r="D191" s="47" t="n"/>
      <c r="E191" s="47" t="n"/>
      <c r="F191" s="27" t="n"/>
      <c r="G191" s="27" t="n"/>
      <c r="H191" s="47" t="n"/>
      <c r="I191" s="36" t="n"/>
    </row>
    <row r="192">
      <c r="B192" s="20">
        <f>IF('Guest List'!$B192="","",'Guest List'!$B192)</f>
        <v/>
      </c>
      <c r="C192" s="20">
        <f>IF('Guest List'!$D192="","",'Guest List'!$D192)</f>
        <v/>
      </c>
      <c r="D192" s="47" t="n"/>
      <c r="E192" s="47" t="n"/>
      <c r="F192" s="27" t="n"/>
      <c r="G192" s="27" t="n"/>
      <c r="H192" s="47" t="n"/>
      <c r="I192" s="36" t="n"/>
    </row>
    <row r="193">
      <c r="B193" s="20">
        <f>IF('Guest List'!$B193="","",'Guest List'!$B193)</f>
        <v/>
      </c>
      <c r="C193" s="20">
        <f>IF('Guest List'!$D193="","",'Guest List'!$D193)</f>
        <v/>
      </c>
      <c r="D193" s="47" t="n"/>
      <c r="E193" s="47" t="n"/>
      <c r="F193" s="27" t="n"/>
      <c r="G193" s="27" t="n"/>
      <c r="H193" s="47" t="n"/>
      <c r="I193" s="36" t="n"/>
    </row>
    <row r="194">
      <c r="B194" s="20">
        <f>IF('Guest List'!$B194="","",'Guest List'!$B194)</f>
        <v/>
      </c>
      <c r="C194" s="20">
        <f>IF('Guest List'!$D194="","",'Guest List'!$D194)</f>
        <v/>
      </c>
      <c r="D194" s="47" t="n"/>
      <c r="E194" s="47" t="n"/>
      <c r="F194" s="27" t="n"/>
      <c r="G194" s="27" t="n"/>
      <c r="H194" s="47" t="n"/>
      <c r="I194" s="36" t="n"/>
    </row>
    <row r="195">
      <c r="B195" s="20">
        <f>IF('Guest List'!$B195="","",'Guest List'!$B195)</f>
        <v/>
      </c>
      <c r="C195" s="20">
        <f>IF('Guest List'!$D195="","",'Guest List'!$D195)</f>
        <v/>
      </c>
      <c r="D195" s="47" t="n"/>
      <c r="E195" s="47" t="n"/>
      <c r="F195" s="27" t="n"/>
      <c r="G195" s="27" t="n"/>
      <c r="H195" s="47" t="n"/>
      <c r="I195" s="36" t="n"/>
    </row>
    <row r="196">
      <c r="B196" s="20">
        <f>IF('Guest List'!$B196="","",'Guest List'!$B196)</f>
        <v/>
      </c>
      <c r="C196" s="20">
        <f>IF('Guest List'!$D196="","",'Guest List'!$D196)</f>
        <v/>
      </c>
      <c r="D196" s="47" t="n"/>
      <c r="E196" s="47" t="n"/>
      <c r="F196" s="27" t="n"/>
      <c r="G196" s="27" t="n"/>
      <c r="H196" s="47" t="n"/>
      <c r="I196" s="36" t="n"/>
    </row>
    <row r="197">
      <c r="B197" s="20">
        <f>IF('Guest List'!$B197="","",'Guest List'!$B197)</f>
        <v/>
      </c>
      <c r="C197" s="20">
        <f>IF('Guest List'!$D197="","",'Guest List'!$D197)</f>
        <v/>
      </c>
      <c r="D197" s="47" t="n"/>
      <c r="E197" s="47" t="n"/>
      <c r="F197" s="27" t="n"/>
      <c r="G197" s="27" t="n"/>
      <c r="H197" s="47" t="n"/>
      <c r="I197" s="36" t="n"/>
    </row>
    <row r="198">
      <c r="B198" s="20">
        <f>IF('Guest List'!$B198="","",'Guest List'!$B198)</f>
        <v/>
      </c>
      <c r="C198" s="20">
        <f>IF('Guest List'!$D198="","",'Guest List'!$D198)</f>
        <v/>
      </c>
      <c r="D198" s="47" t="n"/>
      <c r="E198" s="47" t="n"/>
      <c r="F198" s="27" t="n"/>
      <c r="G198" s="27" t="n"/>
      <c r="H198" s="47" t="n"/>
      <c r="I198" s="36" t="n"/>
    </row>
    <row r="199">
      <c r="B199" s="20">
        <f>IF('Guest List'!$B199="","",'Guest List'!$B199)</f>
        <v/>
      </c>
      <c r="C199" s="20">
        <f>IF('Guest List'!$D199="","",'Guest List'!$D199)</f>
        <v/>
      </c>
      <c r="D199" s="47" t="n"/>
      <c r="E199" s="47" t="n"/>
      <c r="F199" s="27" t="n"/>
      <c r="G199" s="27" t="n"/>
      <c r="H199" s="47" t="n"/>
      <c r="I199" s="36" t="n"/>
    </row>
    <row r="200">
      <c r="B200" s="20">
        <f>IF('Guest List'!$B200="","",'Guest List'!$B200)</f>
        <v/>
      </c>
      <c r="C200" s="20">
        <f>IF('Guest List'!$D200="","",'Guest List'!$D200)</f>
        <v/>
      </c>
      <c r="D200" s="47" t="n"/>
      <c r="E200" s="47" t="n"/>
      <c r="F200" s="27" t="n"/>
      <c r="G200" s="27" t="n"/>
      <c r="H200" s="47" t="n"/>
      <c r="I200" s="36" t="n"/>
    </row>
    <row r="201">
      <c r="B201" s="20">
        <f>IF('Guest List'!$B201="","",'Guest List'!$B201)</f>
        <v/>
      </c>
      <c r="C201" s="20">
        <f>IF('Guest List'!$D201="","",'Guest List'!$D201)</f>
        <v/>
      </c>
      <c r="D201" s="47" t="n"/>
      <c r="E201" s="47" t="n"/>
      <c r="F201" s="27" t="n"/>
      <c r="G201" s="27" t="n"/>
      <c r="H201" s="47" t="n"/>
      <c r="I201" s="36" t="n"/>
    </row>
    <row r="202">
      <c r="B202" s="20">
        <f>IF('Guest List'!$B202="","",'Guest List'!$B202)</f>
        <v/>
      </c>
      <c r="C202" s="20">
        <f>IF('Guest List'!$D202="","",'Guest List'!$D202)</f>
        <v/>
      </c>
      <c r="D202" s="47" t="n"/>
      <c r="E202" s="47" t="n"/>
      <c r="F202" s="27" t="n"/>
      <c r="G202" s="27" t="n"/>
      <c r="H202" s="47" t="n"/>
      <c r="I202" s="36" t="n"/>
    </row>
    <row r="203">
      <c r="B203" s="20">
        <f>IF('Guest List'!$B203="","",'Guest List'!$B203)</f>
        <v/>
      </c>
      <c r="C203" s="20">
        <f>IF('Guest List'!$D203="","",'Guest List'!$D203)</f>
        <v/>
      </c>
      <c r="D203" s="47" t="n"/>
      <c r="E203" s="47" t="n"/>
      <c r="F203" s="27" t="n"/>
      <c r="G203" s="27" t="n"/>
      <c r="H203" s="47" t="n"/>
      <c r="I203" s="36" t="n"/>
    </row>
    <row r="204">
      <c r="B204" s="20">
        <f>IF('Guest List'!$B204="","",'Guest List'!$B204)</f>
        <v/>
      </c>
      <c r="C204" s="20">
        <f>IF('Guest List'!$D204="","",'Guest List'!$D204)</f>
        <v/>
      </c>
      <c r="D204" s="47" t="n"/>
      <c r="E204" s="47" t="n"/>
      <c r="F204" s="27" t="n"/>
      <c r="G204" s="27" t="n"/>
      <c r="H204" s="47" t="n"/>
      <c r="I204" s="36" t="n"/>
    </row>
    <row r="205">
      <c r="B205" s="20">
        <f>IF('Guest List'!$B205="","",'Guest List'!$B205)</f>
        <v/>
      </c>
      <c r="C205" s="20">
        <f>IF('Guest List'!$D205="","",'Guest List'!$D205)</f>
        <v/>
      </c>
      <c r="D205" s="47" t="n"/>
      <c r="E205" s="47" t="n"/>
      <c r="F205" s="27" t="n"/>
      <c r="G205" s="27" t="n"/>
      <c r="H205" s="47" t="n"/>
      <c r="I205" s="36" t="n"/>
    </row>
    <row r="206">
      <c r="B206" s="20">
        <f>IF('Guest List'!$B206="","",'Guest List'!$B206)</f>
        <v/>
      </c>
      <c r="C206" s="20">
        <f>IF('Guest List'!$D206="","",'Guest List'!$D206)</f>
        <v/>
      </c>
      <c r="D206" s="47" t="n"/>
      <c r="E206" s="47" t="n"/>
      <c r="F206" s="27" t="n"/>
      <c r="G206" s="27" t="n"/>
      <c r="H206" s="47" t="n"/>
      <c r="I206" s="36" t="n"/>
    </row>
    <row r="207">
      <c r="B207" s="20">
        <f>IF('Guest List'!$B207="","",'Guest List'!$B207)</f>
        <v/>
      </c>
      <c r="C207" s="20">
        <f>IF('Guest List'!$D207="","",'Guest List'!$D207)</f>
        <v/>
      </c>
      <c r="D207" s="47" t="n"/>
      <c r="E207" s="47" t="n"/>
      <c r="F207" s="27" t="n"/>
      <c r="G207" s="27" t="n"/>
      <c r="H207" s="47" t="n"/>
      <c r="I207" s="36" t="n"/>
    </row>
    <row r="208">
      <c r="B208" s="20">
        <f>IF('Guest List'!$B208="","",'Guest List'!$B208)</f>
        <v/>
      </c>
      <c r="C208" s="20">
        <f>IF('Guest List'!$D208="","",'Guest List'!$D208)</f>
        <v/>
      </c>
      <c r="D208" s="47" t="n"/>
      <c r="E208" s="47" t="n"/>
      <c r="F208" s="27" t="n"/>
      <c r="G208" s="27" t="n"/>
      <c r="H208" s="47" t="n"/>
      <c r="I208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I208"/>
  <mergeCells count="2">
    <mergeCell ref="B1:I1"/>
    <mergeCell ref="B2:I2"/>
  </mergeCells>
  <conditionalFormatting sqref="G9:G208">
    <cfRule type="cellIs" priority="1" operator="equal" dxfId="0">
      <formula>"Confirmed"</formula>
    </cfRule>
    <cfRule type="cellIs" priority="2" operator="equal" dxfId="2">
      <formula>"Declined"</formula>
    </cfRule>
  </conditionalFormatting>
  <dataValidations count="2">
    <dataValidation sqref="F9:F208" showDropDown="0" showInputMessage="0" showErrorMessage="0" allowBlank="1" type="list">
      <formula1>"Yes,No"</formula1>
    </dataValidation>
    <dataValidation sqref="G9:G208" showDropDown="0" showInputMessage="0" showErrorMessage="0" allowBlank="1" type="list">
      <formula1>"Confirmed,Declined,Pending"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D98BA3"/>
    <outlinePr summaryBelow="1" summaryRight="1"/>
    <pageSetUpPr fitToPage="1"/>
  </sheetPr>
  <dimension ref="B1:J22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9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B1" s="1" t="inlineStr">
        <is>
          <t>🪑  SEATING CHART PLANNER</t>
        </is>
      </c>
      <c r="C1" s="2" t="n"/>
      <c r="D1" s="2" t="n"/>
      <c r="E1" s="2" t="n"/>
      <c r="F1" s="2" t="n"/>
      <c r="G1" s="2" t="n"/>
      <c r="H1" s="2" t="n"/>
      <c r="I1" s="2" t="n"/>
      <c r="J1" s="3" t="n"/>
    </row>
    <row r="2" ht="15" customHeight="1">
      <c r="B2" s="4" t="inlineStr">
        <is>
          <t>Six seats per table — assigned guests count automatically</t>
        </is>
      </c>
      <c r="C2" s="2" t="n"/>
      <c r="D2" s="2" t="n"/>
      <c r="E2" s="2" t="n"/>
      <c r="F2" s="2" t="n"/>
      <c r="G2" s="2" t="n"/>
      <c r="H2" s="2" t="n"/>
      <c r="I2" s="2" t="n"/>
      <c r="J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5">
      <c r="B5" s="8" t="inlineStr">
        <is>
          <t>CONFIRMED</t>
        </is>
      </c>
      <c r="C5" s="31">
        <f>'Guest List'!$E$5</f>
        <v/>
      </c>
      <c r="D5" s="8" t="inlineStr">
        <is>
          <t>SEATED</t>
        </is>
      </c>
      <c r="E5" s="31">
        <f>SUMPRODUCT(($D$9:$I$20&lt;&gt;"")*1)</f>
        <v/>
      </c>
      <c r="F5" s="8" t="inlineStr">
        <is>
          <t>STILL TO SEAT</t>
        </is>
      </c>
      <c r="G5" s="31">
        <f>MAX(0,N('Guest List'!$E$5)-$E$5)</f>
        <v/>
      </c>
    </row>
    <row r="8" ht="26" customHeight="1">
      <c r="B8" s="35" t="inlineStr">
        <is>
          <t>Table #</t>
        </is>
      </c>
      <c r="C8" s="35" t="inlineStr">
        <is>
          <t>Table name</t>
        </is>
      </c>
      <c r="D8" s="35" t="inlineStr">
        <is>
          <t>Seat 1</t>
        </is>
      </c>
      <c r="E8" s="35" t="inlineStr">
        <is>
          <t>Seat 2</t>
        </is>
      </c>
      <c r="F8" s="35" t="inlineStr">
        <is>
          <t>Seat 3</t>
        </is>
      </c>
      <c r="G8" s="35" t="inlineStr">
        <is>
          <t>Seat 4</t>
        </is>
      </c>
      <c r="H8" s="35" t="inlineStr">
        <is>
          <t>Seat 5</t>
        </is>
      </c>
      <c r="I8" s="35" t="inlineStr">
        <is>
          <t>Seat 6</t>
        </is>
      </c>
      <c r="J8" s="35" t="inlineStr">
        <is>
          <t>Notes</t>
        </is>
      </c>
    </row>
    <row r="9">
      <c r="B9" s="27" t="n">
        <v>1</v>
      </c>
      <c r="C9" s="36" t="inlineStr">
        <is>
          <t>Family of the bride</t>
        </is>
      </c>
      <c r="D9" s="36" t="n"/>
      <c r="E9" s="36" t="n"/>
      <c r="F9" s="36" t="n"/>
      <c r="G9" s="36" t="n"/>
      <c r="H9" s="36" t="n"/>
      <c r="I9" s="36" t="n"/>
      <c r="J9" s="36" t="n"/>
    </row>
    <row r="10">
      <c r="B10" s="27" t="n">
        <v>2</v>
      </c>
      <c r="C10" s="36" t="inlineStr">
        <is>
          <t>Family of the groom</t>
        </is>
      </c>
      <c r="D10" s="36" t="n"/>
      <c r="E10" s="36" t="n"/>
      <c r="F10" s="36" t="n"/>
      <c r="G10" s="36" t="n"/>
      <c r="H10" s="36" t="n"/>
      <c r="I10" s="36" t="n"/>
      <c r="J10" s="36" t="n"/>
    </row>
    <row r="11">
      <c r="B11" s="27" t="n">
        <v>3</v>
      </c>
      <c r="C11" s="36" t="inlineStr">
        <is>
          <t>College friends</t>
        </is>
      </c>
      <c r="D11" s="36" t="n"/>
      <c r="E11" s="36" t="n"/>
      <c r="F11" s="36" t="n"/>
      <c r="G11" s="36" t="n"/>
      <c r="H11" s="36" t="n"/>
      <c r="I11" s="36" t="n"/>
      <c r="J11" s="36" t="n"/>
    </row>
    <row r="12">
      <c r="B12" s="27" t="n">
        <v>4</v>
      </c>
      <c r="C12" s="36" t="inlineStr">
        <is>
          <t>Work friends</t>
        </is>
      </c>
      <c r="D12" s="36" t="n"/>
      <c r="E12" s="36" t="n"/>
      <c r="F12" s="36" t="n"/>
      <c r="G12" s="36" t="n"/>
      <c r="H12" s="36" t="n"/>
      <c r="I12" s="36" t="n"/>
      <c r="J12" s="36" t="n"/>
    </row>
    <row r="13">
      <c r="B13" s="27" t="n">
        <v>5</v>
      </c>
      <c r="C13" s="36" t="inlineStr">
        <is>
          <t>Childhood friends</t>
        </is>
      </c>
      <c r="D13" s="36" t="n"/>
      <c r="E13" s="36" t="n"/>
      <c r="F13" s="36" t="n"/>
      <c r="G13" s="36" t="n"/>
      <c r="H13" s="36" t="n"/>
      <c r="I13" s="36" t="n"/>
      <c r="J13" s="36" t="n"/>
    </row>
    <row r="14">
      <c r="B14" s="27" t="n">
        <v>6</v>
      </c>
      <c r="C14" s="36" t="inlineStr">
        <is>
          <t>The newlywed nook</t>
        </is>
      </c>
      <c r="D14" s="36" t="n"/>
      <c r="E14" s="36" t="n"/>
      <c r="F14" s="36" t="n"/>
      <c r="G14" s="36" t="n"/>
      <c r="H14" s="36" t="n"/>
      <c r="I14" s="36" t="n"/>
      <c r="J14" s="36" t="n"/>
    </row>
    <row r="15">
      <c r="B15" s="27" t="n">
        <v>7</v>
      </c>
      <c r="C15" s="36" t="inlineStr">
        <is>
          <t>Party people</t>
        </is>
      </c>
      <c r="D15" s="36" t="n"/>
      <c r="E15" s="36" t="n"/>
      <c r="F15" s="36" t="n"/>
      <c r="G15" s="36" t="n"/>
      <c r="H15" s="36" t="n"/>
      <c r="I15" s="36" t="n"/>
      <c r="J15" s="36" t="n"/>
    </row>
    <row r="16">
      <c r="B16" s="27" t="n">
        <v>8</v>
      </c>
      <c r="C16" s="36" t="inlineStr">
        <is>
          <t>Sweethearts' table</t>
        </is>
      </c>
      <c r="D16" s="36" t="n"/>
      <c r="E16" s="36" t="n"/>
      <c r="F16" s="36" t="n"/>
      <c r="G16" s="36" t="n"/>
      <c r="H16" s="36" t="n"/>
      <c r="I16" s="36" t="n"/>
      <c r="J16" s="36" t="n"/>
    </row>
    <row r="17">
      <c r="B17" s="27" t="n">
        <v>9</v>
      </c>
      <c r="C17" s="36" t="inlineStr">
        <is>
          <t>Out-of-towners</t>
        </is>
      </c>
      <c r="D17" s="36" t="n"/>
      <c r="E17" s="36" t="n"/>
      <c r="F17" s="36" t="n"/>
      <c r="G17" s="36" t="n"/>
      <c r="H17" s="36" t="n"/>
      <c r="I17" s="36" t="n"/>
      <c r="J17" s="36" t="n"/>
    </row>
    <row r="18">
      <c r="B18" s="27" t="n">
        <v>10</v>
      </c>
      <c r="C18" s="36" t="inlineStr">
        <is>
          <t>Vendor table</t>
        </is>
      </c>
      <c r="D18" s="36" t="n"/>
      <c r="E18" s="36" t="n"/>
      <c r="F18" s="36" t="n"/>
      <c r="G18" s="36" t="n"/>
      <c r="H18" s="36" t="n"/>
      <c r="I18" s="36" t="n"/>
      <c r="J18" s="36" t="n"/>
    </row>
    <row r="19">
      <c r="B19" s="27" t="n">
        <v>11</v>
      </c>
      <c r="C19" s="36" t="n"/>
      <c r="D19" s="36" t="n"/>
      <c r="E19" s="36" t="n"/>
      <c r="F19" s="36" t="n"/>
      <c r="G19" s="36" t="n"/>
      <c r="H19" s="36" t="n"/>
      <c r="I19" s="36" t="n"/>
      <c r="J19" s="36" t="n"/>
    </row>
    <row r="20">
      <c r="B20" s="27" t="n">
        <v>12</v>
      </c>
      <c r="C20" s="36" t="n"/>
      <c r="D20" s="36" t="n"/>
      <c r="E20" s="36" t="n"/>
      <c r="F20" s="36" t="n"/>
      <c r="G20" s="36" t="n"/>
      <c r="H20" s="36" t="n"/>
      <c r="I20" s="36" t="n"/>
      <c r="J20" s="36" t="n"/>
    </row>
    <row r="22">
      <c r="B22" s="44" t="inlineStr">
        <is>
          <t>💡  Type guest names into the seats — the SEATED counter up top updates itself.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mergeCells count="2">
    <mergeCell ref="B1:J1"/>
    <mergeCell ref="B2:J2"/>
  </mergeCell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D98BA3"/>
    <outlinePr summaryBelow="1" summaryRight="1"/>
    <pageSetUpPr fitToPage="1"/>
  </sheetPr>
  <dimension ref="B1:N4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0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4" customWidth="1" min="12" max="12"/>
    <col width="14" customWidth="1" min="13" max="13"/>
    <col width="16" customWidth="1" min="14" max="14"/>
  </cols>
  <sheetData>
    <row r="1" ht="30" customHeight="1">
      <c r="B1" s="1" t="inlineStr">
        <is>
          <t>🏨  HOTEL BLOCK &amp; WELCOME BAGS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15" customHeight="1">
      <c r="B2" s="4" t="inlineStr">
        <is>
          <t>Out-of-town guests, room blocks &amp; welcome-bag delivery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Guest</t>
        </is>
      </c>
      <c r="C8" s="35" t="inlineStr">
        <is>
          <t>Out of town?</t>
        </is>
      </c>
      <c r="D8" s="35" t="inlineStr">
        <is>
          <t>Hotel / block</t>
        </is>
      </c>
      <c r="E8" s="35" t="inlineStr">
        <is>
          <t>Confirmation #</t>
        </is>
      </c>
      <c r="F8" s="35" t="inlineStr">
        <is>
          <t>Check-in</t>
        </is>
      </c>
      <c r="G8" s="35" t="inlineStr">
        <is>
          <t>Check-out</t>
        </is>
      </c>
      <c r="H8" s="35" t="inlineStr">
        <is>
          <t>Rooms</t>
        </is>
      </c>
      <c r="I8" s="35" t="inlineStr">
        <is>
          <t>Rate / night</t>
        </is>
      </c>
      <c r="J8" s="35" t="inlineStr">
        <is>
          <t>Est. total 🔒</t>
        </is>
      </c>
      <c r="K8" s="35" t="inlineStr">
        <is>
          <t>Welcome bag?</t>
        </is>
      </c>
      <c r="L8" s="35" t="inlineStr">
        <is>
          <t>Bag contents</t>
        </is>
      </c>
      <c r="M8" s="35" t="inlineStr">
        <is>
          <t>Delivered?</t>
        </is>
      </c>
      <c r="N8" s="35" t="inlineStr">
        <is>
          <t>Notes</t>
        </is>
      </c>
    </row>
    <row r="9">
      <c r="B9" s="36" t="inlineStr">
        <is>
          <t>Ava Thompson</t>
        </is>
      </c>
      <c r="C9" s="27" t="inlineStr">
        <is>
          <t>Yes</t>
        </is>
      </c>
      <c r="D9" s="36" t="inlineStr">
        <is>
          <t>Rosewood Inn</t>
        </is>
      </c>
      <c r="E9" s="36" t="inlineStr">
        <is>
          <t>RB-2214</t>
        </is>
      </c>
      <c r="F9" s="47" t="n">
        <v>46528</v>
      </c>
      <c r="G9" s="47" t="n">
        <v>46530</v>
      </c>
      <c r="H9" s="27" t="n">
        <v>1</v>
      </c>
      <c r="I9" s="48" t="n">
        <v>149</v>
      </c>
      <c r="J9" s="49">
        <f>IF(OR($H9="",$I9=""),"",$H9*$I9)</f>
        <v/>
      </c>
      <c r="K9" s="27" t="inlineStr">
        <is>
          <t>Local treats &amp; itinerary</t>
        </is>
      </c>
      <c r="L9" s="36" t="inlineStr">
        <is>
          <t>Yes</t>
        </is>
      </c>
      <c r="M9" s="27" t="n"/>
      <c r="N9" s="36" t="n"/>
    </row>
    <row r="10">
      <c r="B10" s="36" t="inlineStr">
        <is>
          <t>Ethan Brooks</t>
        </is>
      </c>
      <c r="C10" s="27" t="inlineStr">
        <is>
          <t>Yes</t>
        </is>
      </c>
      <c r="D10" s="36" t="inlineStr">
        <is>
          <t>Rosewood Inn</t>
        </is>
      </c>
      <c r="E10" s="36" t="inlineStr">
        <is>
          <t>RB-2215</t>
        </is>
      </c>
      <c r="F10" s="47" t="n">
        <v>46528</v>
      </c>
      <c r="G10" s="47" t="n">
        <v>46530</v>
      </c>
      <c r="H10" s="27" t="n">
        <v>1</v>
      </c>
      <c r="I10" s="48" t="n">
        <v>149</v>
      </c>
      <c r="J10" s="49">
        <f>IF(OR($H10="",$I10=""),"",$H10*$I10)</f>
        <v/>
      </c>
      <c r="K10" s="27" t="n"/>
      <c r="L10" s="36" t="inlineStr">
        <is>
          <t>No</t>
        </is>
      </c>
      <c r="M10" s="27" t="n"/>
      <c r="N10" s="36" t="n"/>
    </row>
    <row r="11">
      <c r="B11" s="36" t="inlineStr">
        <is>
          <t>Sophia Reyes</t>
        </is>
      </c>
      <c r="C11" s="27" t="inlineStr">
        <is>
          <t>Yes</t>
        </is>
      </c>
      <c r="D11" s="36" t="inlineStr">
        <is>
          <t>Rosewood Inn</t>
        </is>
      </c>
      <c r="E11" s="36" t="inlineStr">
        <is>
          <t>RB-2216</t>
        </is>
      </c>
      <c r="F11" s="47" t="n">
        <v>46529</v>
      </c>
      <c r="G11" s="47" t="n">
        <v>46530</v>
      </c>
      <c r="H11" s="27" t="n">
        <v>1</v>
      </c>
      <c r="I11" s="48" t="n">
        <v>149</v>
      </c>
      <c r="J11" s="49">
        <f>IF(OR($H11="",$I11=""),"",$H11*$I11)</f>
        <v/>
      </c>
      <c r="K11" s="27" t="inlineStr">
        <is>
          <t>Local treats &amp; itinerary</t>
        </is>
      </c>
      <c r="L11" s="36" t="inlineStr">
        <is>
          <t>Yes</t>
        </is>
      </c>
      <c r="M11" s="27" t="n"/>
      <c r="N11" s="36" t="n"/>
    </row>
    <row r="12">
      <c r="B12" s="36" t="inlineStr">
        <is>
          <t>Mia Delgado</t>
        </is>
      </c>
      <c r="C12" s="27" t="inlineStr">
        <is>
          <t>No</t>
        </is>
      </c>
      <c r="D12" s="36" t="n"/>
      <c r="E12" s="36" t="n"/>
      <c r="F12" s="47" t="n"/>
      <c r="G12" s="47" t="n"/>
      <c r="H12" s="27" t="n"/>
      <c r="I12" s="48" t="n"/>
      <c r="J12" s="49">
        <f>IF(OR($H12="",$I12=""),"",$H12*$I12)</f>
        <v/>
      </c>
      <c r="K12" s="27" t="n"/>
      <c r="L12" s="36" t="inlineStr">
        <is>
          <t>N/A</t>
        </is>
      </c>
      <c r="M12" s="27" t="n"/>
      <c r="N12" s="36" t="n"/>
    </row>
    <row r="13">
      <c r="B13" s="36" t="n"/>
      <c r="C13" s="27" t="n"/>
      <c r="D13" s="36" t="n"/>
      <c r="E13" s="36" t="n"/>
      <c r="F13" s="47" t="n"/>
      <c r="G13" s="47" t="n"/>
      <c r="H13" s="27" t="n"/>
      <c r="I13" s="48" t="n"/>
      <c r="J13" s="49">
        <f>IF(OR($H13="",$I13=""),"",$H13*$I13)</f>
        <v/>
      </c>
      <c r="K13" s="27" t="n"/>
      <c r="L13" s="36" t="n"/>
      <c r="M13" s="27" t="n"/>
      <c r="N13" s="36" t="n"/>
    </row>
    <row r="14">
      <c r="B14" s="36" t="n"/>
      <c r="C14" s="27" t="n"/>
      <c r="D14" s="36" t="n"/>
      <c r="E14" s="36" t="n"/>
      <c r="F14" s="47" t="n"/>
      <c r="G14" s="47" t="n"/>
      <c r="H14" s="27" t="n"/>
      <c r="I14" s="48" t="n"/>
      <c r="J14" s="49">
        <f>IF(OR($H14="",$I14=""),"",$H14*$I14)</f>
        <v/>
      </c>
      <c r="K14" s="27" t="n"/>
      <c r="L14" s="36" t="n"/>
      <c r="M14" s="27" t="n"/>
      <c r="N14" s="36" t="n"/>
    </row>
    <row r="15">
      <c r="B15" s="36" t="n"/>
      <c r="C15" s="27" t="n"/>
      <c r="D15" s="36" t="n"/>
      <c r="E15" s="36" t="n"/>
      <c r="F15" s="47" t="n"/>
      <c r="G15" s="47" t="n"/>
      <c r="H15" s="27" t="n"/>
      <c r="I15" s="48" t="n"/>
      <c r="J15" s="49">
        <f>IF(OR($H15="",$I15=""),"",$H15*$I15)</f>
        <v/>
      </c>
      <c r="K15" s="27" t="n"/>
      <c r="L15" s="36" t="n"/>
      <c r="M15" s="27" t="n"/>
      <c r="N15" s="36" t="n"/>
    </row>
    <row r="16">
      <c r="B16" s="36" t="n"/>
      <c r="C16" s="27" t="n"/>
      <c r="D16" s="36" t="n"/>
      <c r="E16" s="36" t="n"/>
      <c r="F16" s="47" t="n"/>
      <c r="G16" s="47" t="n"/>
      <c r="H16" s="27" t="n"/>
      <c r="I16" s="48" t="n"/>
      <c r="J16" s="49">
        <f>IF(OR($H16="",$I16=""),"",$H16*$I16)</f>
        <v/>
      </c>
      <c r="K16" s="27" t="n"/>
      <c r="L16" s="36" t="n"/>
      <c r="M16" s="27" t="n"/>
      <c r="N16" s="36" t="n"/>
    </row>
    <row r="17">
      <c r="B17" s="36" t="n"/>
      <c r="C17" s="27" t="n"/>
      <c r="D17" s="36" t="n"/>
      <c r="E17" s="36" t="n"/>
      <c r="F17" s="47" t="n"/>
      <c r="G17" s="47" t="n"/>
      <c r="H17" s="27" t="n"/>
      <c r="I17" s="48" t="n"/>
      <c r="J17" s="49">
        <f>IF(OR($H17="",$I17=""),"",$H17*$I17)</f>
        <v/>
      </c>
      <c r="K17" s="27" t="n"/>
      <c r="L17" s="36" t="n"/>
      <c r="M17" s="27" t="n"/>
      <c r="N17" s="36" t="n"/>
    </row>
    <row r="18">
      <c r="B18" s="36" t="n"/>
      <c r="C18" s="27" t="n"/>
      <c r="D18" s="36" t="n"/>
      <c r="E18" s="36" t="n"/>
      <c r="F18" s="47" t="n"/>
      <c r="G18" s="47" t="n"/>
      <c r="H18" s="27" t="n"/>
      <c r="I18" s="48" t="n"/>
      <c r="J18" s="49">
        <f>IF(OR($H18="",$I18=""),"",$H18*$I18)</f>
        <v/>
      </c>
      <c r="K18" s="27" t="n"/>
      <c r="L18" s="36" t="n"/>
      <c r="M18" s="27" t="n"/>
      <c r="N18" s="36" t="n"/>
    </row>
    <row r="19">
      <c r="B19" s="36" t="n"/>
      <c r="C19" s="27" t="n"/>
      <c r="D19" s="36" t="n"/>
      <c r="E19" s="36" t="n"/>
      <c r="F19" s="47" t="n"/>
      <c r="G19" s="47" t="n"/>
      <c r="H19" s="27" t="n"/>
      <c r="I19" s="48" t="n"/>
      <c r="J19" s="49">
        <f>IF(OR($H19="",$I19=""),"",$H19*$I19)</f>
        <v/>
      </c>
      <c r="K19" s="27" t="n"/>
      <c r="L19" s="36" t="n"/>
      <c r="M19" s="27" t="n"/>
      <c r="N19" s="36" t="n"/>
    </row>
    <row r="20">
      <c r="B20" s="36" t="n"/>
      <c r="C20" s="27" t="n"/>
      <c r="D20" s="36" t="n"/>
      <c r="E20" s="36" t="n"/>
      <c r="F20" s="47" t="n"/>
      <c r="G20" s="47" t="n"/>
      <c r="H20" s="27" t="n"/>
      <c r="I20" s="48" t="n"/>
      <c r="J20" s="49">
        <f>IF(OR($H20="",$I20=""),"",$H20*$I20)</f>
        <v/>
      </c>
      <c r="K20" s="27" t="n"/>
      <c r="L20" s="36" t="n"/>
      <c r="M20" s="27" t="n"/>
      <c r="N20" s="36" t="n"/>
    </row>
    <row r="21">
      <c r="B21" s="36" t="n"/>
      <c r="C21" s="27" t="n"/>
      <c r="D21" s="36" t="n"/>
      <c r="E21" s="36" t="n"/>
      <c r="F21" s="47" t="n"/>
      <c r="G21" s="47" t="n"/>
      <c r="H21" s="27" t="n"/>
      <c r="I21" s="48" t="n"/>
      <c r="J21" s="49">
        <f>IF(OR($H21="",$I21=""),"",$H21*$I21)</f>
        <v/>
      </c>
      <c r="K21" s="27" t="n"/>
      <c r="L21" s="36" t="n"/>
      <c r="M21" s="27" t="n"/>
      <c r="N21" s="36" t="n"/>
    </row>
    <row r="22">
      <c r="B22" s="36" t="n"/>
      <c r="C22" s="27" t="n"/>
      <c r="D22" s="36" t="n"/>
      <c r="E22" s="36" t="n"/>
      <c r="F22" s="47" t="n"/>
      <c r="G22" s="47" t="n"/>
      <c r="H22" s="27" t="n"/>
      <c r="I22" s="48" t="n"/>
      <c r="J22" s="49">
        <f>IF(OR($H22="",$I22=""),"",$H22*$I22)</f>
        <v/>
      </c>
      <c r="K22" s="27" t="n"/>
      <c r="L22" s="36" t="n"/>
      <c r="M22" s="27" t="n"/>
      <c r="N22" s="36" t="n"/>
    </row>
    <row r="23">
      <c r="B23" s="36" t="n"/>
      <c r="C23" s="27" t="n"/>
      <c r="D23" s="36" t="n"/>
      <c r="E23" s="36" t="n"/>
      <c r="F23" s="47" t="n"/>
      <c r="G23" s="47" t="n"/>
      <c r="H23" s="27" t="n"/>
      <c r="I23" s="48" t="n"/>
      <c r="J23" s="49">
        <f>IF(OR($H23="",$I23=""),"",$H23*$I23)</f>
        <v/>
      </c>
      <c r="K23" s="27" t="n"/>
      <c r="L23" s="36" t="n"/>
      <c r="M23" s="27" t="n"/>
      <c r="N23" s="36" t="n"/>
    </row>
    <row r="24">
      <c r="B24" s="36" t="n"/>
      <c r="C24" s="27" t="n"/>
      <c r="D24" s="36" t="n"/>
      <c r="E24" s="36" t="n"/>
      <c r="F24" s="47" t="n"/>
      <c r="G24" s="47" t="n"/>
      <c r="H24" s="27" t="n"/>
      <c r="I24" s="48" t="n"/>
      <c r="J24" s="49">
        <f>IF(OR($H24="",$I24=""),"",$H24*$I24)</f>
        <v/>
      </c>
      <c r="K24" s="27" t="n"/>
      <c r="L24" s="36" t="n"/>
      <c r="M24" s="27" t="n"/>
      <c r="N24" s="36" t="n"/>
    </row>
    <row r="25">
      <c r="B25" s="36" t="n"/>
      <c r="C25" s="27" t="n"/>
      <c r="D25" s="36" t="n"/>
      <c r="E25" s="36" t="n"/>
      <c r="F25" s="47" t="n"/>
      <c r="G25" s="47" t="n"/>
      <c r="H25" s="27" t="n"/>
      <c r="I25" s="48" t="n"/>
      <c r="J25" s="49">
        <f>IF(OR($H25="",$I25=""),"",$H25*$I25)</f>
        <v/>
      </c>
      <c r="K25" s="27" t="n"/>
      <c r="L25" s="36" t="n"/>
      <c r="M25" s="27" t="n"/>
      <c r="N25" s="36" t="n"/>
    </row>
    <row r="26">
      <c r="B26" s="36" t="n"/>
      <c r="C26" s="27" t="n"/>
      <c r="D26" s="36" t="n"/>
      <c r="E26" s="36" t="n"/>
      <c r="F26" s="47" t="n"/>
      <c r="G26" s="47" t="n"/>
      <c r="H26" s="27" t="n"/>
      <c r="I26" s="48" t="n"/>
      <c r="J26" s="49">
        <f>IF(OR($H26="",$I26=""),"",$H26*$I26)</f>
        <v/>
      </c>
      <c r="K26" s="27" t="n"/>
      <c r="L26" s="36" t="n"/>
      <c r="M26" s="27" t="n"/>
      <c r="N26" s="36" t="n"/>
    </row>
    <row r="27">
      <c r="B27" s="36" t="n"/>
      <c r="C27" s="27" t="n"/>
      <c r="D27" s="36" t="n"/>
      <c r="E27" s="36" t="n"/>
      <c r="F27" s="47" t="n"/>
      <c r="G27" s="47" t="n"/>
      <c r="H27" s="27" t="n"/>
      <c r="I27" s="48" t="n"/>
      <c r="J27" s="49">
        <f>IF(OR($H27="",$I27=""),"",$H27*$I27)</f>
        <v/>
      </c>
      <c r="K27" s="27" t="n"/>
      <c r="L27" s="36" t="n"/>
      <c r="M27" s="27" t="n"/>
      <c r="N27" s="36" t="n"/>
    </row>
    <row r="28">
      <c r="B28" s="36" t="n"/>
      <c r="C28" s="27" t="n"/>
      <c r="D28" s="36" t="n"/>
      <c r="E28" s="36" t="n"/>
      <c r="F28" s="47" t="n"/>
      <c r="G28" s="47" t="n"/>
      <c r="H28" s="27" t="n"/>
      <c r="I28" s="48" t="n"/>
      <c r="J28" s="49">
        <f>IF(OR($H28="",$I28=""),"",$H28*$I28)</f>
        <v/>
      </c>
      <c r="K28" s="27" t="n"/>
      <c r="L28" s="36" t="n"/>
      <c r="M28" s="27" t="n"/>
      <c r="N28" s="36" t="n"/>
    </row>
    <row r="29">
      <c r="B29" s="36" t="n"/>
      <c r="C29" s="27" t="n"/>
      <c r="D29" s="36" t="n"/>
      <c r="E29" s="36" t="n"/>
      <c r="F29" s="47" t="n"/>
      <c r="G29" s="47" t="n"/>
      <c r="H29" s="27" t="n"/>
      <c r="I29" s="48" t="n"/>
      <c r="J29" s="49">
        <f>IF(OR($H29="",$I29=""),"",$H29*$I29)</f>
        <v/>
      </c>
      <c r="K29" s="27" t="n"/>
      <c r="L29" s="36" t="n"/>
      <c r="M29" s="27" t="n"/>
      <c r="N29" s="36" t="n"/>
    </row>
    <row r="30">
      <c r="B30" s="36" t="n"/>
      <c r="C30" s="27" t="n"/>
      <c r="D30" s="36" t="n"/>
      <c r="E30" s="36" t="n"/>
      <c r="F30" s="47" t="n"/>
      <c r="G30" s="47" t="n"/>
      <c r="H30" s="27" t="n"/>
      <c r="I30" s="48" t="n"/>
      <c r="J30" s="49">
        <f>IF(OR($H30="",$I30=""),"",$H30*$I30)</f>
        <v/>
      </c>
      <c r="K30" s="27" t="n"/>
      <c r="L30" s="36" t="n"/>
      <c r="M30" s="27" t="n"/>
      <c r="N30" s="36" t="n"/>
    </row>
    <row r="31">
      <c r="B31" s="36" t="n"/>
      <c r="C31" s="27" t="n"/>
      <c r="D31" s="36" t="n"/>
      <c r="E31" s="36" t="n"/>
      <c r="F31" s="47" t="n"/>
      <c r="G31" s="47" t="n"/>
      <c r="H31" s="27" t="n"/>
      <c r="I31" s="48" t="n"/>
      <c r="J31" s="49">
        <f>IF(OR($H31="",$I31=""),"",$H31*$I31)</f>
        <v/>
      </c>
      <c r="K31" s="27" t="n"/>
      <c r="L31" s="36" t="n"/>
      <c r="M31" s="27" t="n"/>
      <c r="N31" s="36" t="n"/>
    </row>
    <row r="32">
      <c r="B32" s="36" t="n"/>
      <c r="C32" s="27" t="n"/>
      <c r="D32" s="36" t="n"/>
      <c r="E32" s="36" t="n"/>
      <c r="F32" s="47" t="n"/>
      <c r="G32" s="47" t="n"/>
      <c r="H32" s="27" t="n"/>
      <c r="I32" s="48" t="n"/>
      <c r="J32" s="49">
        <f>IF(OR($H32="",$I32=""),"",$H32*$I32)</f>
        <v/>
      </c>
      <c r="K32" s="27" t="n"/>
      <c r="L32" s="36" t="n"/>
      <c r="M32" s="27" t="n"/>
      <c r="N32" s="36" t="n"/>
    </row>
    <row r="33">
      <c r="B33" s="36" t="n"/>
      <c r="C33" s="27" t="n"/>
      <c r="D33" s="36" t="n"/>
      <c r="E33" s="36" t="n"/>
      <c r="F33" s="47" t="n"/>
      <c r="G33" s="47" t="n"/>
      <c r="H33" s="27" t="n"/>
      <c r="I33" s="48" t="n"/>
      <c r="J33" s="49">
        <f>IF(OR($H33="",$I33=""),"",$H33*$I33)</f>
        <v/>
      </c>
      <c r="K33" s="27" t="n"/>
      <c r="L33" s="36" t="n"/>
      <c r="M33" s="27" t="n"/>
      <c r="N33" s="36" t="n"/>
    </row>
    <row r="34">
      <c r="B34" s="36" t="n"/>
      <c r="C34" s="27" t="n"/>
      <c r="D34" s="36" t="n"/>
      <c r="E34" s="36" t="n"/>
      <c r="F34" s="47" t="n"/>
      <c r="G34" s="47" t="n"/>
      <c r="H34" s="27" t="n"/>
      <c r="I34" s="48" t="n"/>
      <c r="J34" s="49">
        <f>IF(OR($H34="",$I34=""),"",$H34*$I34)</f>
        <v/>
      </c>
      <c r="K34" s="27" t="n"/>
      <c r="L34" s="36" t="n"/>
      <c r="M34" s="27" t="n"/>
      <c r="N34" s="36" t="n"/>
    </row>
    <row r="35">
      <c r="B35" s="36" t="n"/>
      <c r="C35" s="27" t="n"/>
      <c r="D35" s="36" t="n"/>
      <c r="E35" s="36" t="n"/>
      <c r="F35" s="47" t="n"/>
      <c r="G35" s="47" t="n"/>
      <c r="H35" s="27" t="n"/>
      <c r="I35" s="48" t="n"/>
      <c r="J35" s="49">
        <f>IF(OR($H35="",$I35=""),"",$H35*$I35)</f>
        <v/>
      </c>
      <c r="K35" s="27" t="n"/>
      <c r="L35" s="36" t="n"/>
      <c r="M35" s="27" t="n"/>
      <c r="N35" s="36" t="n"/>
    </row>
    <row r="36">
      <c r="B36" s="36" t="n"/>
      <c r="C36" s="27" t="n"/>
      <c r="D36" s="36" t="n"/>
      <c r="E36" s="36" t="n"/>
      <c r="F36" s="47" t="n"/>
      <c r="G36" s="47" t="n"/>
      <c r="H36" s="27" t="n"/>
      <c r="I36" s="48" t="n"/>
      <c r="J36" s="49">
        <f>IF(OR($H36="",$I36=""),"",$H36*$I36)</f>
        <v/>
      </c>
      <c r="K36" s="27" t="n"/>
      <c r="L36" s="36" t="n"/>
      <c r="M36" s="27" t="n"/>
      <c r="N36" s="36" t="n"/>
    </row>
    <row r="37">
      <c r="B37" s="36" t="n"/>
      <c r="C37" s="27" t="n"/>
      <c r="D37" s="36" t="n"/>
      <c r="E37" s="36" t="n"/>
      <c r="F37" s="47" t="n"/>
      <c r="G37" s="47" t="n"/>
      <c r="H37" s="27" t="n"/>
      <c r="I37" s="48" t="n"/>
      <c r="J37" s="49">
        <f>IF(OR($H37="",$I37=""),"",$H37*$I37)</f>
        <v/>
      </c>
      <c r="K37" s="27" t="n"/>
      <c r="L37" s="36" t="n"/>
      <c r="M37" s="27" t="n"/>
      <c r="N37" s="36" t="n"/>
    </row>
    <row r="38">
      <c r="B38" s="36" t="n"/>
      <c r="C38" s="27" t="n"/>
      <c r="D38" s="36" t="n"/>
      <c r="E38" s="36" t="n"/>
      <c r="F38" s="47" t="n"/>
      <c r="G38" s="47" t="n"/>
      <c r="H38" s="27" t="n"/>
      <c r="I38" s="48" t="n"/>
      <c r="J38" s="49">
        <f>IF(OR($H38="",$I38=""),"",$H38*$I38)</f>
        <v/>
      </c>
      <c r="K38" s="27" t="n"/>
      <c r="L38" s="36" t="n"/>
      <c r="M38" s="27" t="n"/>
      <c r="N38" s="36" t="n"/>
    </row>
    <row r="39">
      <c r="B39" s="36" t="n"/>
      <c r="C39" s="27" t="n"/>
      <c r="D39" s="36" t="n"/>
      <c r="E39" s="36" t="n"/>
      <c r="F39" s="47" t="n"/>
      <c r="G39" s="47" t="n"/>
      <c r="H39" s="27" t="n"/>
      <c r="I39" s="48" t="n"/>
      <c r="J39" s="49">
        <f>IF(OR($H39="",$I39=""),"",$H39*$I39)</f>
        <v/>
      </c>
      <c r="K39" s="27" t="n"/>
      <c r="L39" s="36" t="n"/>
      <c r="M39" s="27" t="n"/>
      <c r="N39" s="36" t="n"/>
    </row>
    <row r="40">
      <c r="B40" s="36" t="n"/>
      <c r="C40" s="27" t="n"/>
      <c r="D40" s="36" t="n"/>
      <c r="E40" s="36" t="n"/>
      <c r="F40" s="47" t="n"/>
      <c r="G40" s="47" t="n"/>
      <c r="H40" s="27" t="n"/>
      <c r="I40" s="48" t="n"/>
      <c r="J40" s="49">
        <f>IF(OR($H40="",$I40=""),"",$H40*$I40)</f>
        <v/>
      </c>
      <c r="K40" s="27" t="n"/>
      <c r="L40" s="36" t="n"/>
      <c r="M40" s="27" t="n"/>
      <c r="N40" s="36" t="n"/>
    </row>
    <row r="41">
      <c r="B41" s="36" t="n"/>
      <c r="C41" s="27" t="n"/>
      <c r="D41" s="36" t="n"/>
      <c r="E41" s="36" t="n"/>
      <c r="F41" s="47" t="n"/>
      <c r="G41" s="47" t="n"/>
      <c r="H41" s="27" t="n"/>
      <c r="I41" s="48" t="n"/>
      <c r="J41" s="49">
        <f>IF(OR($H41="",$I41=""),"",$H41*$I41)</f>
        <v/>
      </c>
      <c r="K41" s="27" t="n"/>
      <c r="L41" s="36" t="n"/>
      <c r="M41" s="27" t="n"/>
      <c r="N41" s="36" t="n"/>
    </row>
    <row r="42">
      <c r="B42" s="36" t="n"/>
      <c r="C42" s="27" t="n"/>
      <c r="D42" s="36" t="n"/>
      <c r="E42" s="36" t="n"/>
      <c r="F42" s="47" t="n"/>
      <c r="G42" s="47" t="n"/>
      <c r="H42" s="27" t="n"/>
      <c r="I42" s="48" t="n"/>
      <c r="J42" s="49">
        <f>IF(OR($H42="",$I42=""),"",$H42*$I42)</f>
        <v/>
      </c>
      <c r="K42" s="27" t="n"/>
      <c r="L42" s="36" t="n"/>
      <c r="M42" s="27" t="n"/>
      <c r="N42" s="36" t="n"/>
    </row>
    <row r="43">
      <c r="B43" s="36" t="n"/>
      <c r="C43" s="27" t="n"/>
      <c r="D43" s="36" t="n"/>
      <c r="E43" s="36" t="n"/>
      <c r="F43" s="47" t="n"/>
      <c r="G43" s="47" t="n"/>
      <c r="H43" s="27" t="n"/>
      <c r="I43" s="48" t="n"/>
      <c r="J43" s="49">
        <f>IF(OR($H43="",$I43=""),"",$H43*$I43)</f>
        <v/>
      </c>
      <c r="K43" s="27" t="n"/>
      <c r="L43" s="36" t="n"/>
      <c r="M43" s="27" t="n"/>
      <c r="N43" s="36" t="n"/>
    </row>
    <row r="44">
      <c r="B44" s="36" t="n"/>
      <c r="C44" s="27" t="n"/>
      <c r="D44" s="36" t="n"/>
      <c r="E44" s="36" t="n"/>
      <c r="F44" s="47" t="n"/>
      <c r="G44" s="47" t="n"/>
      <c r="H44" s="27" t="n"/>
      <c r="I44" s="48" t="n"/>
      <c r="J44" s="49">
        <f>IF(OR($H44="",$I44=""),"",$H44*$I44)</f>
        <v/>
      </c>
      <c r="K44" s="27" t="n"/>
      <c r="L44" s="36" t="n"/>
      <c r="M44" s="27" t="n"/>
      <c r="N44" s="36" t="n"/>
    </row>
    <row r="45">
      <c r="B45" s="36" t="n"/>
      <c r="C45" s="27" t="n"/>
      <c r="D45" s="36" t="n"/>
      <c r="E45" s="36" t="n"/>
      <c r="F45" s="47" t="n"/>
      <c r="G45" s="47" t="n"/>
      <c r="H45" s="27" t="n"/>
      <c r="I45" s="48" t="n"/>
      <c r="J45" s="49">
        <f>IF(OR($H45="",$I45=""),"",$H45*$I45)</f>
        <v/>
      </c>
      <c r="K45" s="27" t="n"/>
      <c r="L45" s="36" t="n"/>
      <c r="M45" s="27" t="n"/>
      <c r="N45" s="36" t="n"/>
    </row>
    <row r="46">
      <c r="B46" s="36" t="n"/>
      <c r="C46" s="27" t="n"/>
      <c r="D46" s="36" t="n"/>
      <c r="E46" s="36" t="n"/>
      <c r="F46" s="47" t="n"/>
      <c r="G46" s="47" t="n"/>
      <c r="H46" s="27" t="n"/>
      <c r="I46" s="48" t="n"/>
      <c r="J46" s="49">
        <f>IF(OR($H46="",$I46=""),"",$H46*$I46)</f>
        <v/>
      </c>
      <c r="K46" s="27" t="n"/>
      <c r="L46" s="36" t="n"/>
      <c r="M46" s="27" t="n"/>
      <c r="N46" s="36" t="n"/>
    </row>
    <row r="47">
      <c r="B47" s="36" t="n"/>
      <c r="C47" s="27" t="n"/>
      <c r="D47" s="36" t="n"/>
      <c r="E47" s="36" t="n"/>
      <c r="F47" s="47" t="n"/>
      <c r="G47" s="47" t="n"/>
      <c r="H47" s="27" t="n"/>
      <c r="I47" s="48" t="n"/>
      <c r="J47" s="49">
        <f>IF(OR($H47="",$I47=""),"",$H47*$I47)</f>
        <v/>
      </c>
      <c r="K47" s="27" t="n"/>
      <c r="L47" s="36" t="n"/>
      <c r="M47" s="27" t="n"/>
      <c r="N47" s="36" t="n"/>
    </row>
    <row r="48">
      <c r="B48" s="36" t="n"/>
      <c r="C48" s="27" t="n"/>
      <c r="D48" s="36" t="n"/>
      <c r="E48" s="36" t="n"/>
      <c r="F48" s="47" t="n"/>
      <c r="G48" s="47" t="n"/>
      <c r="H48" s="27" t="n"/>
      <c r="I48" s="48" t="n"/>
      <c r="J48" s="49">
        <f>IF(OR($H48="",$I48=""),"",$H48*$I48)</f>
        <v/>
      </c>
      <c r="K48" s="27" t="n"/>
      <c r="L48" s="36" t="n"/>
      <c r="M48" s="27" t="n"/>
      <c r="N48" s="36" t="n"/>
    </row>
    <row r="49">
      <c r="B49" s="42" t="inlineStr">
        <is>
          <t>TOTAL</t>
        </is>
      </c>
      <c r="C49" s="42" t="n"/>
      <c r="D49" s="42" t="n"/>
      <c r="E49" s="42" t="n"/>
      <c r="F49" s="42" t="n"/>
      <c r="G49" s="42" t="n"/>
      <c r="H49" s="42">
        <f>SUM(H9:H48)</f>
        <v/>
      </c>
      <c r="I49" s="42" t="n"/>
      <c r="J49" s="50">
        <f>SUM(J9:J48)</f>
        <v/>
      </c>
      <c r="K49" s="42" t="n"/>
      <c r="L49" s="42" t="n"/>
      <c r="M49" s="42" t="n"/>
      <c r="N49" s="4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N48"/>
  <mergeCells count="2">
    <mergeCell ref="B1:N1"/>
    <mergeCell ref="B2:N2"/>
  </mergeCells>
  <dataValidations count="3">
    <dataValidation sqref="C9:C48" showDropDown="0" showInputMessage="0" showErrorMessage="0" allowBlank="1" type="list">
      <formula1>"Yes,No"</formula1>
    </dataValidation>
    <dataValidation sqref="K9:K48" showDropDown="0" showInputMessage="0" showErrorMessage="0" allowBlank="1" type="list">
      <formula1>"Yes,No"</formula1>
    </dataValidation>
    <dataValidation sqref="M9:M48" showDropDown="0" showInputMessage="0" showErrorMessage="0" allowBlank="1" type="list">
      <formula1>"Yes,No,N/A"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D98BA3"/>
    <outlinePr summaryBelow="1" summaryRight="1"/>
    <pageSetUpPr fitToPage="1"/>
  </sheetPr>
  <dimension ref="B1:F1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18" customWidth="1" min="2" max="2"/>
    <col width="14" customWidth="1" min="3" max="3"/>
    <col width="14" customWidth="1" min="4" max="4"/>
    <col width="14" customWidth="1" min="5" max="5"/>
    <col width="26" customWidth="1" min="6" max="6"/>
  </cols>
  <sheetData>
    <row r="1" ht="30" customHeight="1">
      <c r="B1" s="1" t="inlineStr">
        <is>
          <t>🍽️  MEAL COUNT SUMMARY</t>
        </is>
      </c>
      <c r="C1" s="2" t="n"/>
      <c r="D1" s="2" t="n"/>
      <c r="E1" s="2" t="n"/>
      <c r="F1" s="3" t="n"/>
    </row>
    <row r="2" ht="15" customHeight="1">
      <c r="B2" s="4" t="inlineStr">
        <is>
          <t>Caterer-ready counts — updates from the Guest List meal column</t>
        </is>
      </c>
      <c r="C2" s="2" t="n"/>
      <c r="D2" s="2" t="n"/>
      <c r="E2" s="2" t="n"/>
      <c r="F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Meal choice</t>
        </is>
      </c>
      <c r="C8" s="35" t="inlineStr">
        <is>
          <t>From guest list 🔒</t>
        </is>
      </c>
      <c r="D8" s="35" t="inlineStr">
        <is>
          <t>Extras / +1s</t>
        </is>
      </c>
      <c r="E8" s="35" t="inlineStr">
        <is>
          <t>Total 🔒</t>
        </is>
      </c>
      <c r="F8" s="35" t="inlineStr">
        <is>
          <t>Notes</t>
        </is>
      </c>
    </row>
    <row r="9">
      <c r="B9" s="36" t="inlineStr">
        <is>
          <t>Chicken</t>
        </is>
      </c>
      <c r="C9" s="31">
        <f>COUNTIF('Guest List'!$H$9:$H$208,$B9)</f>
        <v/>
      </c>
      <c r="D9" s="51" t="n"/>
      <c r="E9" s="31">
        <f>N($C9)+N($D9)</f>
        <v/>
      </c>
      <c r="F9" s="36" t="n"/>
    </row>
    <row r="10">
      <c r="B10" s="36" t="inlineStr">
        <is>
          <t>Beef</t>
        </is>
      </c>
      <c r="C10" s="31">
        <f>COUNTIF('Guest List'!$H$9:$H$208,$B10)</f>
        <v/>
      </c>
      <c r="D10" s="51" t="n"/>
      <c r="E10" s="31">
        <f>N($C10)+N($D10)</f>
        <v/>
      </c>
      <c r="F10" s="36" t="n"/>
    </row>
    <row r="11">
      <c r="B11" s="36" t="inlineStr">
        <is>
          <t>Fish</t>
        </is>
      </c>
      <c r="C11" s="31">
        <f>COUNTIF('Guest List'!$H$9:$H$208,$B11)</f>
        <v/>
      </c>
      <c r="D11" s="51" t="n"/>
      <c r="E11" s="31">
        <f>N($C11)+N($D11)</f>
        <v/>
      </c>
      <c r="F11" s="36" t="n"/>
    </row>
    <row r="12">
      <c r="B12" s="36" t="inlineStr">
        <is>
          <t>Vegetarian</t>
        </is>
      </c>
      <c r="C12" s="31">
        <f>COUNTIF('Guest List'!$H$9:$H$208,$B12)</f>
        <v/>
      </c>
      <c r="D12" s="51" t="n"/>
      <c r="E12" s="31">
        <f>N($C12)+N($D12)</f>
        <v/>
      </c>
      <c r="F12" s="36" t="n"/>
    </row>
    <row r="13">
      <c r="B13" s="36" t="inlineStr">
        <is>
          <t>Vegan</t>
        </is>
      </c>
      <c r="C13" s="31">
        <f>COUNTIF('Guest List'!$H$9:$H$208,$B13)</f>
        <v/>
      </c>
      <c r="D13" s="51" t="n"/>
      <c r="E13" s="31">
        <f>N($C13)+N($D13)</f>
        <v/>
      </c>
      <c r="F13" s="36" t="n"/>
    </row>
    <row r="14">
      <c r="B14" s="36" t="inlineStr">
        <is>
          <t>Gluten-Free</t>
        </is>
      </c>
      <c r="C14" s="31">
        <f>COUNTIF('Guest List'!$H$9:$H$208,$B14)</f>
        <v/>
      </c>
      <c r="D14" s="51" t="n"/>
      <c r="E14" s="31">
        <f>N($C14)+N($D14)</f>
        <v/>
      </c>
      <c r="F14" s="36" t="n"/>
    </row>
    <row r="15">
      <c r="B15" s="36" t="inlineStr">
        <is>
          <t>Kids Meal</t>
        </is>
      </c>
      <c r="C15" s="31">
        <f>COUNTIF('Guest List'!$H$9:$H$208,$B15)</f>
        <v/>
      </c>
      <c r="D15" s="51" t="n"/>
      <c r="E15" s="31">
        <f>N($C15)+N($D15)</f>
        <v/>
      </c>
      <c r="F15" s="36" t="n"/>
    </row>
    <row r="16">
      <c r="B16" s="36" t="inlineStr">
        <is>
          <t>Vendor meals</t>
        </is>
      </c>
      <c r="C16" s="31">
        <f>COUNTIF('Guest List'!$H$9:$H$208,$B16)</f>
        <v/>
      </c>
      <c r="D16" s="51" t="n"/>
      <c r="E16" s="31">
        <f>N($C16)+N($D16)</f>
        <v/>
      </c>
      <c r="F16" s="36" t="n"/>
    </row>
    <row r="17">
      <c r="B17" s="42" t="inlineStr">
        <is>
          <t>GRAND TOTAL</t>
        </is>
      </c>
      <c r="C17" s="52">
        <f>SUM(C9:C16)</f>
        <v/>
      </c>
      <c r="D17" s="52">
        <f>SUM(D9:D16)</f>
        <v/>
      </c>
      <c r="E17" s="52">
        <f>SUM(E9:E16)</f>
        <v/>
      </c>
      <c r="F17" s="42" t="n"/>
    </row>
    <row r="19">
      <c r="B19" s="44" t="inlineStr">
        <is>
          <t>💡  Extras/+1s: kids' portions, vendor meals or last-minute additions.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F16"/>
  <mergeCells count="2">
    <mergeCell ref="B2:F2"/>
    <mergeCell ref="B1:F1"/>
  </mergeCell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9D8189"/>
    <outlinePr summaryBelow="1" summaryRight="1"/>
    <pageSetUpPr fitToPage="1"/>
  </sheetPr>
  <dimension ref="B1:L5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16" customWidth="1" min="2" max="2"/>
    <col width="22" customWidth="1" min="3" max="3"/>
    <col width="16" customWidth="1" min="4" max="4"/>
    <col width="1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30" customHeight="1">
      <c r="B1" s="1" t="inlineStr">
        <is>
          <t>📋  VENDOR CONTACT SHEET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15" customHeight="1">
      <c r="B2" s="4" t="inlineStr">
        <is>
          <t>All 11 vendor categories — contacts, contracts &amp; balances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5">
      <c r="B5" s="8" t="inlineStr">
        <is>
          <t>TOTAL VENDORS</t>
        </is>
      </c>
      <c r="C5" s="31">
        <f>SUMPRODUCT(($C$9:$C$58&lt;&gt;"")*1)</f>
        <v/>
      </c>
      <c r="D5" s="8" t="inlineStr">
        <is>
          <t>BOOKED</t>
        </is>
      </c>
      <c r="E5" s="31">
        <f>COUNTIF($G$9:$G$58,"Booked")+COUNTIF($G$9:$G$58,"Contract Signed")</f>
        <v/>
      </c>
      <c r="F5" s="8" t="inlineStr">
        <is>
          <t>TOTAL COST</t>
        </is>
      </c>
      <c r="G5" s="29">
        <f>SUM($I$9:$I$58)</f>
        <v/>
      </c>
    </row>
    <row r="8" ht="26" customHeight="1">
      <c r="B8" s="35" t="inlineStr">
        <is>
          <t>Category</t>
        </is>
      </c>
      <c r="C8" s="35" t="inlineStr">
        <is>
          <t>Company</t>
        </is>
      </c>
      <c r="D8" s="35" t="inlineStr">
        <is>
          <t>Contact person</t>
        </is>
      </c>
      <c r="E8" s="35" t="inlineStr">
        <is>
          <t>Phone</t>
        </is>
      </c>
      <c r="F8" s="35" t="inlineStr">
        <is>
          <t>Email</t>
        </is>
      </c>
      <c r="G8" s="35" t="inlineStr">
        <is>
          <t>Contract status</t>
        </is>
      </c>
      <c r="H8" s="35" t="inlineStr">
        <is>
          <t>Deposit paid</t>
        </is>
      </c>
      <c r="I8" s="35" t="inlineStr">
        <is>
          <t>Total cost</t>
        </is>
      </c>
      <c r="J8" s="35" t="inlineStr">
        <is>
          <t>Balance 🔒</t>
        </is>
      </c>
      <c r="K8" s="35" t="inlineStr">
        <is>
          <t>Next payment due</t>
        </is>
      </c>
      <c r="L8" s="35" t="inlineStr">
        <is>
          <t>Notes</t>
        </is>
      </c>
    </row>
    <row r="9">
      <c r="B9" s="36" t="inlineStr">
        <is>
          <t>Venue</t>
        </is>
      </c>
      <c r="C9" s="36" t="inlineStr">
        <is>
          <t>The Rosewood Estate</t>
        </is>
      </c>
      <c r="D9" s="36" t="inlineStr">
        <is>
          <t>Ms. Casey Reed</t>
        </is>
      </c>
      <c r="E9" s="36" t="inlineStr">
        <is>
          <t>(828) 555-0114</t>
        </is>
      </c>
      <c r="F9" s="36" t="inlineStr">
        <is>
          <t>events@rosewood.com</t>
        </is>
      </c>
      <c r="G9" s="27" t="inlineStr">
        <is>
          <t>Contract Signed</t>
        </is>
      </c>
      <c r="H9" s="45" t="n">
        <v>2000</v>
      </c>
      <c r="I9" s="45" t="n">
        <v>8500</v>
      </c>
      <c r="J9" s="29">
        <f>IF($I9="","",MAX(0,N($I9)-N($H9)))</f>
        <v/>
      </c>
      <c r="K9" s="47" t="n"/>
      <c r="L9" s="36" t="n"/>
    </row>
    <row r="10">
      <c r="B10" s="36" t="inlineStr">
        <is>
          <t>Caterer</t>
        </is>
      </c>
      <c r="C10" s="36" t="inlineStr">
        <is>
          <t>Harvest &amp; Vine Co.</t>
        </is>
      </c>
      <c r="D10" s="36" t="inlineStr">
        <is>
          <t>Mr. Daniel Cho</t>
        </is>
      </c>
      <c r="E10" s="36" t="inlineStr">
        <is>
          <t>(828) 555-0187</t>
        </is>
      </c>
      <c r="F10" s="36" t="inlineStr">
        <is>
          <t>hello@harvestvine.co</t>
        </is>
      </c>
      <c r="G10" s="27" t="inlineStr">
        <is>
          <t>Booked</t>
        </is>
      </c>
      <c r="H10" s="45" t="n">
        <v>3000</v>
      </c>
      <c r="I10" s="45" t="n">
        <v>12000</v>
      </c>
      <c r="J10" s="29">
        <f>IF($I10="","",MAX(0,N($I10)-N($H10)))</f>
        <v/>
      </c>
      <c r="K10" s="47" t="n"/>
      <c r="L10" s="36" t="n"/>
    </row>
    <row r="11">
      <c r="B11" s="36" t="inlineStr">
        <is>
          <t>Photographer</t>
        </is>
      </c>
      <c r="C11" s="36" t="inlineStr">
        <is>
          <t>Golden Hour Photo</t>
        </is>
      </c>
      <c r="D11" s="36" t="inlineStr">
        <is>
          <t>Nora Blake</t>
        </is>
      </c>
      <c r="E11" s="36" t="inlineStr">
        <is>
          <t>(828) 555-0132</t>
        </is>
      </c>
      <c r="F11" s="36" t="inlineStr">
        <is>
          <t>nora@goldenhour.photo</t>
        </is>
      </c>
      <c r="G11" s="27" t="inlineStr">
        <is>
          <t>Booked</t>
        </is>
      </c>
      <c r="H11" s="45" t="n">
        <v>800</v>
      </c>
      <c r="I11" s="45" t="n">
        <v>3200</v>
      </c>
      <c r="J11" s="29">
        <f>IF($I11="","",MAX(0,N($I11)-N($H11)))</f>
        <v/>
      </c>
      <c r="K11" s="47" t="n"/>
      <c r="L11" s="36" t="n"/>
    </row>
    <row r="12">
      <c r="B12" s="36" t="inlineStr">
        <is>
          <t>Videographer</t>
        </is>
      </c>
      <c r="C12" s="36" t="inlineStr">
        <is>
          <t>Reel Love Films</t>
        </is>
      </c>
      <c r="D12" s="36" t="inlineStr">
        <is>
          <t>Sam Ortiz</t>
        </is>
      </c>
      <c r="E12" s="36" t="inlineStr">
        <is>
          <t>(828) 555-0155</t>
        </is>
      </c>
      <c r="F12" s="36" t="inlineStr">
        <is>
          <t>sam@reellove.film</t>
        </is>
      </c>
      <c r="G12" s="27" t="inlineStr">
        <is>
          <t>Quote Received</t>
        </is>
      </c>
      <c r="H12" s="45" t="n">
        <v>500</v>
      </c>
      <c r="I12" s="45" t="n">
        <v>2200</v>
      </c>
      <c r="J12" s="29">
        <f>IF($I12="","",MAX(0,N($I12)-N($H12)))</f>
        <v/>
      </c>
      <c r="K12" s="47" t="n"/>
      <c r="L12" s="36" t="n"/>
    </row>
    <row r="13">
      <c r="B13" s="36" t="inlineStr">
        <is>
          <t>Florist</t>
        </is>
      </c>
      <c r="C13" s="36" t="inlineStr">
        <is>
          <t>Bloom &amp; Twine</t>
        </is>
      </c>
      <c r="D13" s="36" t="inlineStr">
        <is>
          <t>Ivy Laurent</t>
        </is>
      </c>
      <c r="E13" s="36" t="inlineStr">
        <is>
          <t>(828) 555-0166</t>
        </is>
      </c>
      <c r="F13" s="36" t="inlineStr">
        <is>
          <t>ivy@bloomtwine.com</t>
        </is>
      </c>
      <c r="G13" s="27" t="inlineStr">
        <is>
          <t>Booked</t>
        </is>
      </c>
      <c r="H13" s="45" t="n">
        <v>700</v>
      </c>
      <c r="I13" s="45" t="n">
        <v>2800</v>
      </c>
      <c r="J13" s="29">
        <f>IF($I13="","",MAX(0,N($I13)-N($H13)))</f>
        <v/>
      </c>
      <c r="K13" s="47" t="n"/>
      <c r="L13" s="36" t="n"/>
    </row>
    <row r="14">
      <c r="B14" s="36" t="inlineStr">
        <is>
          <t>DJ / Band</t>
        </is>
      </c>
      <c r="C14" s="36" t="inlineStr">
        <is>
          <t>Silver Sparrow DJ</t>
        </is>
      </c>
      <c r="D14" s="36" t="inlineStr">
        <is>
          <t>Marcus Cole</t>
        </is>
      </c>
      <c r="E14" s="36" t="inlineStr">
        <is>
          <t>(828) 555-0178</t>
        </is>
      </c>
      <c r="F14" s="36" t="inlineStr">
        <is>
          <t>book@silversparrow.dj</t>
        </is>
      </c>
      <c r="G14" s="27" t="inlineStr">
        <is>
          <t>Booked</t>
        </is>
      </c>
      <c r="H14" s="45" t="n">
        <v>500</v>
      </c>
      <c r="I14" s="45" t="n">
        <v>2500</v>
      </c>
      <c r="J14" s="29">
        <f>IF($I14="","",MAX(0,N($I14)-N($H14)))</f>
        <v/>
      </c>
      <c r="K14" s="47" t="n"/>
      <c r="L14" s="36" t="n"/>
    </row>
    <row r="15">
      <c r="B15" s="36" t="inlineStr">
        <is>
          <t>Officiant</t>
        </is>
      </c>
      <c r="C15" s="36" t="inlineStr">
        <is>
          <t>Rev. Harper</t>
        </is>
      </c>
      <c r="D15" s="36" t="inlineStr">
        <is>
          <t>Rev. A. Harper</t>
        </is>
      </c>
      <c r="E15" s="36" t="inlineStr">
        <is>
          <t>(828) 555-0121</t>
        </is>
      </c>
      <c r="F15" s="36" t="inlineStr">
        <is>
          <t>revharper@officiate.org</t>
        </is>
      </c>
      <c r="G15" s="27" t="inlineStr">
        <is>
          <t>Contract Signed</t>
        </is>
      </c>
      <c r="H15" s="45" t="n"/>
      <c r="I15" s="45" t="n">
        <v>400</v>
      </c>
      <c r="J15" s="29">
        <f>IF($I15="","",MAX(0,N($I15)-N($H15)))</f>
        <v/>
      </c>
      <c r="K15" s="47" t="n"/>
      <c r="L15" s="36" t="n"/>
    </row>
    <row r="16">
      <c r="B16" s="36" t="inlineStr">
        <is>
          <t>Hair &amp; Makeup</t>
        </is>
      </c>
      <c r="C16" s="36" t="inlineStr">
        <is>
          <t>Glow Studio</t>
        </is>
      </c>
      <c r="D16" s="36" t="inlineStr">
        <is>
          <t>Priya Nair</t>
        </is>
      </c>
      <c r="E16" s="36" t="inlineStr">
        <is>
          <t>(828) 555-0143</t>
        </is>
      </c>
      <c r="F16" s="36" t="inlineStr">
        <is>
          <t>priya@glowstudio.co</t>
        </is>
      </c>
      <c r="G16" s="27" t="inlineStr">
        <is>
          <t>Booked</t>
        </is>
      </c>
      <c r="H16" s="45" t="n">
        <v>150</v>
      </c>
      <c r="I16" s="45" t="n">
        <v>600</v>
      </c>
      <c r="J16" s="29">
        <f>IF($I16="","",MAX(0,N($I16)-N($H16)))</f>
        <v/>
      </c>
      <c r="K16" s="47" t="n"/>
      <c r="L16" s="36" t="n"/>
    </row>
    <row r="17">
      <c r="B17" s="36" t="inlineStr">
        <is>
          <t>Bakery (Cake)</t>
        </is>
      </c>
      <c r="C17" s="36" t="inlineStr">
        <is>
          <t>Sugarplum Cakery</t>
        </is>
      </c>
      <c r="D17" s="36" t="inlineStr">
        <is>
          <t>Lila Park</t>
        </is>
      </c>
      <c r="E17" s="36" t="inlineStr">
        <is>
          <t>(828) 555-0198</t>
        </is>
      </c>
      <c r="F17" s="36" t="inlineStr">
        <is>
          <t>orders@sugarplum.co</t>
        </is>
      </c>
      <c r="G17" s="27" t="inlineStr">
        <is>
          <t>Booked</t>
        </is>
      </c>
      <c r="H17" s="45" t="n">
        <v>200</v>
      </c>
      <c r="I17" s="45" t="n">
        <v>650</v>
      </c>
      <c r="J17" s="29">
        <f>IF($I17="","",MAX(0,N($I17)-N($H17)))</f>
        <v/>
      </c>
      <c r="K17" s="47" t="n"/>
      <c r="L17" s="36" t="n"/>
    </row>
    <row r="18">
      <c r="B18" s="36" t="inlineStr">
        <is>
          <t>Transportation</t>
        </is>
      </c>
      <c r="C18" s="36" t="inlineStr">
        <is>
          <t>Blue Ridge Limo</t>
        </is>
      </c>
      <c r="D18" s="36" t="inlineStr">
        <is>
          <t>Tom Vance</t>
        </is>
      </c>
      <c r="E18" s="36" t="inlineStr">
        <is>
          <t>(828) 555-0109</t>
        </is>
      </c>
      <c r="F18" s="36" t="inlineStr">
        <is>
          <t>fleet@blueridgelimo.com</t>
        </is>
      </c>
      <c r="G18" s="27" t="inlineStr">
        <is>
          <t>Inquiry</t>
        </is>
      </c>
      <c r="H18" s="45" t="n"/>
      <c r="I18" s="45" t="n">
        <v>900</v>
      </c>
      <c r="J18" s="29">
        <f>IF($I18="","",MAX(0,N($I18)-N($H18)))</f>
        <v/>
      </c>
      <c r="K18" s="47" t="n"/>
      <c r="L18" s="36" t="n"/>
    </row>
    <row r="19">
      <c r="B19" s="36" t="inlineStr">
        <is>
          <t>Rentals</t>
        </is>
      </c>
      <c r="C19" s="36" t="inlineStr">
        <is>
          <t>Party Perfect Rentals</t>
        </is>
      </c>
      <c r="D19" s="36" t="inlineStr">
        <is>
          <t>Dana Fox</t>
        </is>
      </c>
      <c r="E19" s="36" t="inlineStr">
        <is>
          <t>(828) 555-0176</t>
        </is>
      </c>
      <c r="F19" s="36" t="inlineStr">
        <is>
          <t>rent@partyperfect.com</t>
        </is>
      </c>
      <c r="G19" s="27" t="inlineStr">
        <is>
          <t>Negotiating</t>
        </is>
      </c>
      <c r="H19" s="45" t="n"/>
      <c r="I19" s="45" t="n">
        <v>1200</v>
      </c>
      <c r="J19" s="29">
        <f>IF($I19="","",MAX(0,N($I19)-N($H19)))</f>
        <v/>
      </c>
      <c r="K19" s="47" t="n"/>
      <c r="L19" s="36" t="n"/>
    </row>
    <row r="20">
      <c r="B20" s="36" t="n"/>
      <c r="C20" s="36" t="n"/>
      <c r="D20" s="36" t="n"/>
      <c r="E20" s="36" t="n"/>
      <c r="F20" s="36" t="n"/>
      <c r="G20" s="27" t="n"/>
      <c r="H20" s="45" t="n"/>
      <c r="I20" s="45" t="n"/>
      <c r="J20" s="29">
        <f>IF($I20="","",MAX(0,N($I20)-N($H20)))</f>
        <v/>
      </c>
      <c r="K20" s="47" t="n"/>
      <c r="L20" s="36" t="n"/>
    </row>
    <row r="21">
      <c r="B21" s="36" t="n"/>
      <c r="C21" s="36" t="n"/>
      <c r="D21" s="36" t="n"/>
      <c r="E21" s="36" t="n"/>
      <c r="F21" s="36" t="n"/>
      <c r="G21" s="27" t="n"/>
      <c r="H21" s="45" t="n"/>
      <c r="I21" s="45" t="n"/>
      <c r="J21" s="29">
        <f>IF($I21="","",MAX(0,N($I21)-N($H21)))</f>
        <v/>
      </c>
      <c r="K21" s="47" t="n"/>
      <c r="L21" s="36" t="n"/>
    </row>
    <row r="22">
      <c r="B22" s="36" t="n"/>
      <c r="C22" s="36" t="n"/>
      <c r="D22" s="36" t="n"/>
      <c r="E22" s="36" t="n"/>
      <c r="F22" s="36" t="n"/>
      <c r="G22" s="27" t="n"/>
      <c r="H22" s="45" t="n"/>
      <c r="I22" s="45" t="n"/>
      <c r="J22" s="29">
        <f>IF($I22="","",MAX(0,N($I22)-N($H22)))</f>
        <v/>
      </c>
      <c r="K22" s="47" t="n"/>
      <c r="L22" s="36" t="n"/>
    </row>
    <row r="23">
      <c r="B23" s="36" t="n"/>
      <c r="C23" s="36" t="n"/>
      <c r="D23" s="36" t="n"/>
      <c r="E23" s="36" t="n"/>
      <c r="F23" s="36" t="n"/>
      <c r="G23" s="27" t="n"/>
      <c r="H23" s="45" t="n"/>
      <c r="I23" s="45" t="n"/>
      <c r="J23" s="29">
        <f>IF($I23="","",MAX(0,N($I23)-N($H23)))</f>
        <v/>
      </c>
      <c r="K23" s="47" t="n"/>
      <c r="L23" s="36" t="n"/>
    </row>
    <row r="24">
      <c r="B24" s="36" t="n"/>
      <c r="C24" s="36" t="n"/>
      <c r="D24" s="36" t="n"/>
      <c r="E24" s="36" t="n"/>
      <c r="F24" s="36" t="n"/>
      <c r="G24" s="27" t="n"/>
      <c r="H24" s="45" t="n"/>
      <c r="I24" s="45" t="n"/>
      <c r="J24" s="29">
        <f>IF($I24="","",MAX(0,N($I24)-N($H24)))</f>
        <v/>
      </c>
      <c r="K24" s="47" t="n"/>
      <c r="L24" s="36" t="n"/>
    </row>
    <row r="25">
      <c r="B25" s="36" t="n"/>
      <c r="C25" s="36" t="n"/>
      <c r="D25" s="36" t="n"/>
      <c r="E25" s="36" t="n"/>
      <c r="F25" s="36" t="n"/>
      <c r="G25" s="27" t="n"/>
      <c r="H25" s="45" t="n"/>
      <c r="I25" s="45" t="n"/>
      <c r="J25" s="29">
        <f>IF($I25="","",MAX(0,N($I25)-N($H25)))</f>
        <v/>
      </c>
      <c r="K25" s="47" t="n"/>
      <c r="L25" s="36" t="n"/>
    </row>
    <row r="26">
      <c r="B26" s="36" t="n"/>
      <c r="C26" s="36" t="n"/>
      <c r="D26" s="36" t="n"/>
      <c r="E26" s="36" t="n"/>
      <c r="F26" s="36" t="n"/>
      <c r="G26" s="27" t="n"/>
      <c r="H26" s="45" t="n"/>
      <c r="I26" s="45" t="n"/>
      <c r="J26" s="29">
        <f>IF($I26="","",MAX(0,N($I26)-N($H26)))</f>
        <v/>
      </c>
      <c r="K26" s="47" t="n"/>
      <c r="L26" s="36" t="n"/>
    </row>
    <row r="27">
      <c r="B27" s="36" t="n"/>
      <c r="C27" s="36" t="n"/>
      <c r="D27" s="36" t="n"/>
      <c r="E27" s="36" t="n"/>
      <c r="F27" s="36" t="n"/>
      <c r="G27" s="27" t="n"/>
      <c r="H27" s="45" t="n"/>
      <c r="I27" s="45" t="n"/>
      <c r="J27" s="29">
        <f>IF($I27="","",MAX(0,N($I27)-N($H27)))</f>
        <v/>
      </c>
      <c r="K27" s="47" t="n"/>
      <c r="L27" s="36" t="n"/>
    </row>
    <row r="28">
      <c r="B28" s="36" t="n"/>
      <c r="C28" s="36" t="n"/>
      <c r="D28" s="36" t="n"/>
      <c r="E28" s="36" t="n"/>
      <c r="F28" s="36" t="n"/>
      <c r="G28" s="27" t="n"/>
      <c r="H28" s="45" t="n"/>
      <c r="I28" s="45" t="n"/>
      <c r="J28" s="29">
        <f>IF($I28="","",MAX(0,N($I28)-N($H28)))</f>
        <v/>
      </c>
      <c r="K28" s="47" t="n"/>
      <c r="L28" s="36" t="n"/>
    </row>
    <row r="29">
      <c r="B29" s="36" t="n"/>
      <c r="C29" s="36" t="n"/>
      <c r="D29" s="36" t="n"/>
      <c r="E29" s="36" t="n"/>
      <c r="F29" s="36" t="n"/>
      <c r="G29" s="27" t="n"/>
      <c r="H29" s="45" t="n"/>
      <c r="I29" s="45" t="n"/>
      <c r="J29" s="29">
        <f>IF($I29="","",MAX(0,N($I29)-N($H29)))</f>
        <v/>
      </c>
      <c r="K29" s="47" t="n"/>
      <c r="L29" s="36" t="n"/>
    </row>
    <row r="30">
      <c r="B30" s="36" t="n"/>
      <c r="C30" s="36" t="n"/>
      <c r="D30" s="36" t="n"/>
      <c r="E30" s="36" t="n"/>
      <c r="F30" s="36" t="n"/>
      <c r="G30" s="27" t="n"/>
      <c r="H30" s="45" t="n"/>
      <c r="I30" s="45" t="n"/>
      <c r="J30" s="29">
        <f>IF($I30="","",MAX(0,N($I30)-N($H30)))</f>
        <v/>
      </c>
      <c r="K30" s="47" t="n"/>
      <c r="L30" s="36" t="n"/>
    </row>
    <row r="31">
      <c r="B31" s="36" t="n"/>
      <c r="C31" s="36" t="n"/>
      <c r="D31" s="36" t="n"/>
      <c r="E31" s="36" t="n"/>
      <c r="F31" s="36" t="n"/>
      <c r="G31" s="27" t="n"/>
      <c r="H31" s="45" t="n"/>
      <c r="I31" s="45" t="n"/>
      <c r="J31" s="29">
        <f>IF($I31="","",MAX(0,N($I31)-N($H31)))</f>
        <v/>
      </c>
      <c r="K31" s="47" t="n"/>
      <c r="L31" s="36" t="n"/>
    </row>
    <row r="32">
      <c r="B32" s="36" t="n"/>
      <c r="C32" s="36" t="n"/>
      <c r="D32" s="36" t="n"/>
      <c r="E32" s="36" t="n"/>
      <c r="F32" s="36" t="n"/>
      <c r="G32" s="27" t="n"/>
      <c r="H32" s="45" t="n"/>
      <c r="I32" s="45" t="n"/>
      <c r="J32" s="29">
        <f>IF($I32="","",MAX(0,N($I32)-N($H32)))</f>
        <v/>
      </c>
      <c r="K32" s="47" t="n"/>
      <c r="L32" s="36" t="n"/>
    </row>
    <row r="33">
      <c r="B33" s="36" t="n"/>
      <c r="C33" s="36" t="n"/>
      <c r="D33" s="36" t="n"/>
      <c r="E33" s="36" t="n"/>
      <c r="F33" s="36" t="n"/>
      <c r="G33" s="27" t="n"/>
      <c r="H33" s="45" t="n"/>
      <c r="I33" s="45" t="n"/>
      <c r="J33" s="29">
        <f>IF($I33="","",MAX(0,N($I33)-N($H33)))</f>
        <v/>
      </c>
      <c r="K33" s="47" t="n"/>
      <c r="L33" s="36" t="n"/>
    </row>
    <row r="34">
      <c r="B34" s="36" t="n"/>
      <c r="C34" s="36" t="n"/>
      <c r="D34" s="36" t="n"/>
      <c r="E34" s="36" t="n"/>
      <c r="F34" s="36" t="n"/>
      <c r="G34" s="27" t="n"/>
      <c r="H34" s="45" t="n"/>
      <c r="I34" s="45" t="n"/>
      <c r="J34" s="29">
        <f>IF($I34="","",MAX(0,N($I34)-N($H34)))</f>
        <v/>
      </c>
      <c r="K34" s="47" t="n"/>
      <c r="L34" s="36" t="n"/>
    </row>
    <row r="35">
      <c r="B35" s="36" t="n"/>
      <c r="C35" s="36" t="n"/>
      <c r="D35" s="36" t="n"/>
      <c r="E35" s="36" t="n"/>
      <c r="F35" s="36" t="n"/>
      <c r="G35" s="27" t="n"/>
      <c r="H35" s="45" t="n"/>
      <c r="I35" s="45" t="n"/>
      <c r="J35" s="29">
        <f>IF($I35="","",MAX(0,N($I35)-N($H35)))</f>
        <v/>
      </c>
      <c r="K35" s="47" t="n"/>
      <c r="L35" s="36" t="n"/>
    </row>
    <row r="36">
      <c r="B36" s="36" t="n"/>
      <c r="C36" s="36" t="n"/>
      <c r="D36" s="36" t="n"/>
      <c r="E36" s="36" t="n"/>
      <c r="F36" s="36" t="n"/>
      <c r="G36" s="27" t="n"/>
      <c r="H36" s="45" t="n"/>
      <c r="I36" s="45" t="n"/>
      <c r="J36" s="29">
        <f>IF($I36="","",MAX(0,N($I36)-N($H36)))</f>
        <v/>
      </c>
      <c r="K36" s="47" t="n"/>
      <c r="L36" s="36" t="n"/>
    </row>
    <row r="37">
      <c r="B37" s="36" t="n"/>
      <c r="C37" s="36" t="n"/>
      <c r="D37" s="36" t="n"/>
      <c r="E37" s="36" t="n"/>
      <c r="F37" s="36" t="n"/>
      <c r="G37" s="27" t="n"/>
      <c r="H37" s="45" t="n"/>
      <c r="I37" s="45" t="n"/>
      <c r="J37" s="29">
        <f>IF($I37="","",MAX(0,N($I37)-N($H37)))</f>
        <v/>
      </c>
      <c r="K37" s="47" t="n"/>
      <c r="L37" s="36" t="n"/>
    </row>
    <row r="38">
      <c r="B38" s="36" t="n"/>
      <c r="C38" s="36" t="n"/>
      <c r="D38" s="36" t="n"/>
      <c r="E38" s="36" t="n"/>
      <c r="F38" s="36" t="n"/>
      <c r="G38" s="27" t="n"/>
      <c r="H38" s="45" t="n"/>
      <c r="I38" s="45" t="n"/>
      <c r="J38" s="29">
        <f>IF($I38="","",MAX(0,N($I38)-N($H38)))</f>
        <v/>
      </c>
      <c r="K38" s="47" t="n"/>
      <c r="L38" s="36" t="n"/>
    </row>
    <row r="39">
      <c r="B39" s="36" t="n"/>
      <c r="C39" s="36" t="n"/>
      <c r="D39" s="36" t="n"/>
      <c r="E39" s="36" t="n"/>
      <c r="F39" s="36" t="n"/>
      <c r="G39" s="27" t="n"/>
      <c r="H39" s="45" t="n"/>
      <c r="I39" s="45" t="n"/>
      <c r="J39" s="29">
        <f>IF($I39="","",MAX(0,N($I39)-N($H39)))</f>
        <v/>
      </c>
      <c r="K39" s="47" t="n"/>
      <c r="L39" s="36" t="n"/>
    </row>
    <row r="40">
      <c r="B40" s="36" t="n"/>
      <c r="C40" s="36" t="n"/>
      <c r="D40" s="36" t="n"/>
      <c r="E40" s="36" t="n"/>
      <c r="F40" s="36" t="n"/>
      <c r="G40" s="27" t="n"/>
      <c r="H40" s="45" t="n"/>
      <c r="I40" s="45" t="n"/>
      <c r="J40" s="29">
        <f>IF($I40="","",MAX(0,N($I40)-N($H40)))</f>
        <v/>
      </c>
      <c r="K40" s="47" t="n"/>
      <c r="L40" s="36" t="n"/>
    </row>
    <row r="41">
      <c r="B41" s="36" t="n"/>
      <c r="C41" s="36" t="n"/>
      <c r="D41" s="36" t="n"/>
      <c r="E41" s="36" t="n"/>
      <c r="F41" s="36" t="n"/>
      <c r="G41" s="27" t="n"/>
      <c r="H41" s="45" t="n"/>
      <c r="I41" s="45" t="n"/>
      <c r="J41" s="29">
        <f>IF($I41="","",MAX(0,N($I41)-N($H41)))</f>
        <v/>
      </c>
      <c r="K41" s="47" t="n"/>
      <c r="L41" s="36" t="n"/>
    </row>
    <row r="42">
      <c r="B42" s="36" t="n"/>
      <c r="C42" s="36" t="n"/>
      <c r="D42" s="36" t="n"/>
      <c r="E42" s="36" t="n"/>
      <c r="F42" s="36" t="n"/>
      <c r="G42" s="27" t="n"/>
      <c r="H42" s="45" t="n"/>
      <c r="I42" s="45" t="n"/>
      <c r="J42" s="29">
        <f>IF($I42="","",MAX(0,N($I42)-N($H42)))</f>
        <v/>
      </c>
      <c r="K42" s="47" t="n"/>
      <c r="L42" s="36" t="n"/>
    </row>
    <row r="43">
      <c r="B43" s="36" t="n"/>
      <c r="C43" s="36" t="n"/>
      <c r="D43" s="36" t="n"/>
      <c r="E43" s="36" t="n"/>
      <c r="F43" s="36" t="n"/>
      <c r="G43" s="27" t="n"/>
      <c r="H43" s="45" t="n"/>
      <c r="I43" s="45" t="n"/>
      <c r="J43" s="29">
        <f>IF($I43="","",MAX(0,N($I43)-N($H43)))</f>
        <v/>
      </c>
      <c r="K43" s="47" t="n"/>
      <c r="L43" s="36" t="n"/>
    </row>
    <row r="44">
      <c r="B44" s="36" t="n"/>
      <c r="C44" s="36" t="n"/>
      <c r="D44" s="36" t="n"/>
      <c r="E44" s="36" t="n"/>
      <c r="F44" s="36" t="n"/>
      <c r="G44" s="27" t="n"/>
      <c r="H44" s="45" t="n"/>
      <c r="I44" s="45" t="n"/>
      <c r="J44" s="29">
        <f>IF($I44="","",MAX(0,N($I44)-N($H44)))</f>
        <v/>
      </c>
      <c r="K44" s="47" t="n"/>
      <c r="L44" s="36" t="n"/>
    </row>
    <row r="45">
      <c r="B45" s="36" t="n"/>
      <c r="C45" s="36" t="n"/>
      <c r="D45" s="36" t="n"/>
      <c r="E45" s="36" t="n"/>
      <c r="F45" s="36" t="n"/>
      <c r="G45" s="27" t="n"/>
      <c r="H45" s="45" t="n"/>
      <c r="I45" s="45" t="n"/>
      <c r="J45" s="29">
        <f>IF($I45="","",MAX(0,N($I45)-N($H45)))</f>
        <v/>
      </c>
      <c r="K45" s="47" t="n"/>
      <c r="L45" s="36" t="n"/>
    </row>
    <row r="46">
      <c r="B46" s="36" t="n"/>
      <c r="C46" s="36" t="n"/>
      <c r="D46" s="36" t="n"/>
      <c r="E46" s="36" t="n"/>
      <c r="F46" s="36" t="n"/>
      <c r="G46" s="27" t="n"/>
      <c r="H46" s="45" t="n"/>
      <c r="I46" s="45" t="n"/>
      <c r="J46" s="29">
        <f>IF($I46="","",MAX(0,N($I46)-N($H46)))</f>
        <v/>
      </c>
      <c r="K46" s="47" t="n"/>
      <c r="L46" s="36" t="n"/>
    </row>
    <row r="47">
      <c r="B47" s="36" t="n"/>
      <c r="C47" s="36" t="n"/>
      <c r="D47" s="36" t="n"/>
      <c r="E47" s="36" t="n"/>
      <c r="F47" s="36" t="n"/>
      <c r="G47" s="27" t="n"/>
      <c r="H47" s="45" t="n"/>
      <c r="I47" s="45" t="n"/>
      <c r="J47" s="29">
        <f>IF($I47="","",MAX(0,N($I47)-N($H47)))</f>
        <v/>
      </c>
      <c r="K47" s="47" t="n"/>
      <c r="L47" s="36" t="n"/>
    </row>
    <row r="48">
      <c r="B48" s="36" t="n"/>
      <c r="C48" s="36" t="n"/>
      <c r="D48" s="36" t="n"/>
      <c r="E48" s="36" t="n"/>
      <c r="F48" s="36" t="n"/>
      <c r="G48" s="27" t="n"/>
      <c r="H48" s="45" t="n"/>
      <c r="I48" s="45" t="n"/>
      <c r="J48" s="29">
        <f>IF($I48="","",MAX(0,N($I48)-N($H48)))</f>
        <v/>
      </c>
      <c r="K48" s="47" t="n"/>
      <c r="L48" s="36" t="n"/>
    </row>
    <row r="49">
      <c r="B49" s="36" t="n"/>
      <c r="C49" s="36" t="n"/>
      <c r="D49" s="36" t="n"/>
      <c r="E49" s="36" t="n"/>
      <c r="F49" s="36" t="n"/>
      <c r="G49" s="27" t="n"/>
      <c r="H49" s="45" t="n"/>
      <c r="I49" s="45" t="n"/>
      <c r="J49" s="29">
        <f>IF($I49="","",MAX(0,N($I49)-N($H49)))</f>
        <v/>
      </c>
      <c r="K49" s="47" t="n"/>
      <c r="L49" s="36" t="n"/>
    </row>
    <row r="50">
      <c r="B50" s="36" t="n"/>
      <c r="C50" s="36" t="n"/>
      <c r="D50" s="36" t="n"/>
      <c r="E50" s="36" t="n"/>
      <c r="F50" s="36" t="n"/>
      <c r="G50" s="27" t="n"/>
      <c r="H50" s="45" t="n"/>
      <c r="I50" s="45" t="n"/>
      <c r="J50" s="29">
        <f>IF($I50="","",MAX(0,N($I50)-N($H50)))</f>
        <v/>
      </c>
      <c r="K50" s="47" t="n"/>
      <c r="L50" s="36" t="n"/>
    </row>
    <row r="51">
      <c r="B51" s="36" t="n"/>
      <c r="C51" s="36" t="n"/>
      <c r="D51" s="36" t="n"/>
      <c r="E51" s="36" t="n"/>
      <c r="F51" s="36" t="n"/>
      <c r="G51" s="27" t="n"/>
      <c r="H51" s="45" t="n"/>
      <c r="I51" s="45" t="n"/>
      <c r="J51" s="29">
        <f>IF($I51="","",MAX(0,N($I51)-N($H51)))</f>
        <v/>
      </c>
      <c r="K51" s="47" t="n"/>
      <c r="L51" s="36" t="n"/>
    </row>
    <row r="52">
      <c r="B52" s="36" t="n"/>
      <c r="C52" s="36" t="n"/>
      <c r="D52" s="36" t="n"/>
      <c r="E52" s="36" t="n"/>
      <c r="F52" s="36" t="n"/>
      <c r="G52" s="27" t="n"/>
      <c r="H52" s="45" t="n"/>
      <c r="I52" s="45" t="n"/>
      <c r="J52" s="29">
        <f>IF($I52="","",MAX(0,N($I52)-N($H52)))</f>
        <v/>
      </c>
      <c r="K52" s="47" t="n"/>
      <c r="L52" s="36" t="n"/>
    </row>
    <row r="53">
      <c r="B53" s="36" t="n"/>
      <c r="C53" s="36" t="n"/>
      <c r="D53" s="36" t="n"/>
      <c r="E53" s="36" t="n"/>
      <c r="F53" s="36" t="n"/>
      <c r="G53" s="27" t="n"/>
      <c r="H53" s="45" t="n"/>
      <c r="I53" s="45" t="n"/>
      <c r="J53" s="29">
        <f>IF($I53="","",MAX(0,N($I53)-N($H53)))</f>
        <v/>
      </c>
      <c r="K53" s="47" t="n"/>
      <c r="L53" s="36" t="n"/>
    </row>
    <row r="54">
      <c r="B54" s="36" t="n"/>
      <c r="C54" s="36" t="n"/>
      <c r="D54" s="36" t="n"/>
      <c r="E54" s="36" t="n"/>
      <c r="F54" s="36" t="n"/>
      <c r="G54" s="27" t="n"/>
      <c r="H54" s="45" t="n"/>
      <c r="I54" s="45" t="n"/>
      <c r="J54" s="29">
        <f>IF($I54="","",MAX(0,N($I54)-N($H54)))</f>
        <v/>
      </c>
      <c r="K54" s="47" t="n"/>
      <c r="L54" s="36" t="n"/>
    </row>
    <row r="55">
      <c r="B55" s="36" t="n"/>
      <c r="C55" s="36" t="n"/>
      <c r="D55" s="36" t="n"/>
      <c r="E55" s="36" t="n"/>
      <c r="F55" s="36" t="n"/>
      <c r="G55" s="27" t="n"/>
      <c r="H55" s="45" t="n"/>
      <c r="I55" s="45" t="n"/>
      <c r="J55" s="29">
        <f>IF($I55="","",MAX(0,N($I55)-N($H55)))</f>
        <v/>
      </c>
      <c r="K55" s="47" t="n"/>
      <c r="L55" s="36" t="n"/>
    </row>
    <row r="56">
      <c r="B56" s="36" t="n"/>
      <c r="C56" s="36" t="n"/>
      <c r="D56" s="36" t="n"/>
      <c r="E56" s="36" t="n"/>
      <c r="F56" s="36" t="n"/>
      <c r="G56" s="27" t="n"/>
      <c r="H56" s="45" t="n"/>
      <c r="I56" s="45" t="n"/>
      <c r="J56" s="29">
        <f>IF($I56="","",MAX(0,N($I56)-N($H56)))</f>
        <v/>
      </c>
      <c r="K56" s="47" t="n"/>
      <c r="L56" s="36" t="n"/>
    </row>
    <row r="57">
      <c r="B57" s="36" t="n"/>
      <c r="C57" s="36" t="n"/>
      <c r="D57" s="36" t="n"/>
      <c r="E57" s="36" t="n"/>
      <c r="F57" s="36" t="n"/>
      <c r="G57" s="27" t="n"/>
      <c r="H57" s="45" t="n"/>
      <c r="I57" s="45" t="n"/>
      <c r="J57" s="29">
        <f>IF($I57="","",MAX(0,N($I57)-N($H57)))</f>
        <v/>
      </c>
      <c r="K57" s="47" t="n"/>
      <c r="L57" s="36" t="n"/>
    </row>
    <row r="58">
      <c r="B58" s="36" t="n"/>
      <c r="C58" s="36" t="n"/>
      <c r="D58" s="36" t="n"/>
      <c r="E58" s="36" t="n"/>
      <c r="F58" s="36" t="n"/>
      <c r="G58" s="27" t="n"/>
      <c r="H58" s="45" t="n"/>
      <c r="I58" s="45" t="n"/>
      <c r="J58" s="29">
        <f>IF($I58="","",MAX(0,N($I58)-N($H58)))</f>
        <v/>
      </c>
      <c r="K58" s="47" t="n"/>
      <c r="L58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L58"/>
  <mergeCells count="2">
    <mergeCell ref="B2:L2"/>
    <mergeCell ref="B1:L1"/>
  </mergeCells>
  <conditionalFormatting sqref="G9:G58">
    <cfRule type="cellIs" priority="1" operator="equal" dxfId="0">
      <formula>"Booked"</formula>
    </cfRule>
    <cfRule type="cellIs" priority="2" operator="equal" dxfId="0">
      <formula>"Contract Signed"</formula>
    </cfRule>
    <cfRule type="cellIs" priority="3" operator="equal" dxfId="1">
      <formula>"Negotiating"</formula>
    </cfRule>
    <cfRule type="cellIs" priority="4" operator="equal" dxfId="3">
      <formula>"Quote Received"</formula>
    </cfRule>
    <cfRule type="cellIs" priority="5" operator="equal" dxfId="2">
      <formula>"Declined"</formula>
    </cfRule>
  </conditionalFormatting>
  <dataValidations count="1">
    <dataValidation sqref="G9:G58" showDropDown="0" showInputMessage="0" showErrorMessage="0" allowBlank="1" type="list">
      <formula1>"Inquiry,Quote Received,Negotiating,Booked,Contract Signed,Declined"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9D8189"/>
    <outlinePr summaryBelow="1" summaryRight="1"/>
    <pageSetUpPr fitToPage="1"/>
  </sheetPr>
  <dimension ref="B1:K2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15" customWidth="1" min="2" max="2"/>
    <col width="18" customWidth="1" min="3" max="3"/>
    <col width="14" customWidth="1" min="4" max="4"/>
    <col width="18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24" customWidth="1" min="11" max="11"/>
  </cols>
  <sheetData>
    <row r="1" ht="30" customHeight="1">
      <c r="B1" s="1" t="inlineStr">
        <is>
          <t>⚖️  VENDOR COMPARISON CHART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15" customHeight="1">
      <c r="B2" s="4" t="inlineStr">
        <is>
          <t>Compare 2–3 options per category — savings calculate automatically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Category</t>
        </is>
      </c>
      <c r="C8" s="35" t="inlineStr">
        <is>
          <t>Option 1</t>
        </is>
      </c>
      <c r="D8" s="35" t="inlineStr">
        <is>
          <t>Price 1</t>
        </is>
      </c>
      <c r="E8" s="35" t="inlineStr">
        <is>
          <t>Option 2</t>
        </is>
      </c>
      <c r="F8" s="35" t="inlineStr">
        <is>
          <t>Price 2</t>
        </is>
      </c>
      <c r="G8" s="35" t="inlineStr">
        <is>
          <t>Option 3</t>
        </is>
      </c>
      <c r="H8" s="35" t="inlineStr">
        <is>
          <t>Price 3</t>
        </is>
      </c>
      <c r="I8" s="35" t="inlineStr">
        <is>
          <t>Chosen price</t>
        </is>
      </c>
      <c r="J8" s="35" t="inlineStr">
        <is>
          <t>You save 🔒</t>
        </is>
      </c>
      <c r="K8" s="35" t="inlineStr">
        <is>
          <t>Winner &amp; why</t>
        </is>
      </c>
    </row>
    <row r="9">
      <c r="B9" s="36" t="inlineStr">
        <is>
          <t>Venue</t>
        </is>
      </c>
      <c r="C9" s="36" t="inlineStr">
        <is>
          <t>The Rosewood Estate</t>
        </is>
      </c>
      <c r="D9" s="45" t="n">
        <v>8500</v>
      </c>
      <c r="E9" s="36" t="inlineStr">
        <is>
          <t>Cedar Hollow Barn</t>
        </is>
      </c>
      <c r="F9" s="45" t="n">
        <v>7200</v>
      </c>
      <c r="G9" s="36" t="inlineStr">
        <is>
          <t>Glasshouse Downtown</t>
        </is>
      </c>
      <c r="H9" s="45" t="n">
        <v>11000</v>
      </c>
      <c r="I9" s="45" t="n">
        <v>8500</v>
      </c>
      <c r="J9" s="29">
        <f>IF($I9="","",MAX(N($D9),N($F9),N($H9))-$I9)</f>
        <v/>
      </c>
      <c r="K9" s="36" t="n"/>
    </row>
    <row r="10">
      <c r="B10" s="36" t="inlineStr">
        <is>
          <t>Caterer</t>
        </is>
      </c>
      <c r="C10" s="36" t="inlineStr">
        <is>
          <t>Harvest &amp; Vine Co.</t>
        </is>
      </c>
      <c r="D10" s="45" t="n">
        <v>12000</v>
      </c>
      <c r="E10" s="36" t="inlineStr">
        <is>
          <t>Fork &amp; Flame</t>
        </is>
      </c>
      <c r="F10" s="45" t="n">
        <v>10500</v>
      </c>
      <c r="G10" s="36" t="inlineStr">
        <is>
          <t>Gather Table</t>
        </is>
      </c>
      <c r="H10" s="45" t="n">
        <v>13200</v>
      </c>
      <c r="I10" s="45" t="n">
        <v>12000</v>
      </c>
      <c r="J10" s="29">
        <f>IF($I10="","",MAX(N($D10),N($F10),N($H10))-$I10)</f>
        <v/>
      </c>
      <c r="K10" s="36" t="n"/>
    </row>
    <row r="11">
      <c r="B11" s="36" t="inlineStr">
        <is>
          <t>Photographer</t>
        </is>
      </c>
      <c r="C11" s="36" t="inlineStr">
        <is>
          <t>Golden Hour Photo</t>
        </is>
      </c>
      <c r="D11" s="45" t="n">
        <v>3200</v>
      </c>
      <c r="E11" s="36" t="inlineStr">
        <is>
          <t>North Light Studio</t>
        </is>
      </c>
      <c r="F11" s="45" t="n">
        <v>2800</v>
      </c>
      <c r="G11" s="36" t="inlineStr">
        <is>
          <t>Ever After Co.</t>
        </is>
      </c>
      <c r="H11" s="45" t="n">
        <v>3900</v>
      </c>
      <c r="I11" s="45" t="n">
        <v>3200</v>
      </c>
      <c r="J11" s="29">
        <f>IF($I11="","",MAX(N($D11),N($F11),N($H11))-$I11)</f>
        <v/>
      </c>
      <c r="K11" s="36" t="n"/>
    </row>
    <row r="12">
      <c r="B12" s="36" t="inlineStr">
        <is>
          <t>Videographer</t>
        </is>
      </c>
      <c r="C12" s="36" t="inlineStr">
        <is>
          <t>Reel Love Films</t>
        </is>
      </c>
      <c r="D12" s="45" t="n">
        <v>2200</v>
      </c>
      <c r="E12" s="36" t="inlineStr">
        <is>
          <t>Promise Films</t>
        </is>
      </c>
      <c r="F12" s="45" t="n">
        <v>1900</v>
      </c>
      <c r="G12" s="36" t="n"/>
      <c r="H12" s="45" t="n"/>
      <c r="I12" s="45" t="n">
        <v>1900</v>
      </c>
      <c r="J12" s="29">
        <f>IF($I12="","",MAX(N($D12),N($F12),N($H12))-$I12)</f>
        <v/>
      </c>
      <c r="K12" s="36" t="n"/>
    </row>
    <row r="13">
      <c r="B13" s="36" t="inlineStr">
        <is>
          <t>DJ / Band</t>
        </is>
      </c>
      <c r="C13" s="36" t="inlineStr">
        <is>
          <t>Silver Sparrow DJ</t>
        </is>
      </c>
      <c r="D13" s="45" t="n">
        <v>2500</v>
      </c>
      <c r="E13" s="36" t="inlineStr">
        <is>
          <t>The Velvet Keys Band</t>
        </is>
      </c>
      <c r="F13" s="45" t="n">
        <v>4800</v>
      </c>
      <c r="G13" s="36" t="n"/>
      <c r="H13" s="45" t="n"/>
      <c r="I13" s="45" t="n">
        <v>2500</v>
      </c>
      <c r="J13" s="29">
        <f>IF($I13="","",MAX(N($D13),N($F13),N($H13))-$I13)</f>
        <v/>
      </c>
      <c r="K13" s="36" t="n"/>
    </row>
    <row r="14">
      <c r="B14" s="36" t="inlineStr">
        <is>
          <t>Florist</t>
        </is>
      </c>
      <c r="C14" s="36" t="inlineStr">
        <is>
          <t>Bloom &amp; Twine</t>
        </is>
      </c>
      <c r="D14" s="45" t="n">
        <v>2800</v>
      </c>
      <c r="E14" s="36" t="inlineStr">
        <is>
          <t>Petal &amp; Stem</t>
        </is>
      </c>
      <c r="F14" s="45" t="n">
        <v>2400</v>
      </c>
      <c r="G14" s="36" t="inlineStr">
        <is>
          <t>Wildflora</t>
        </is>
      </c>
      <c r="H14" s="45" t="n">
        <v>3100</v>
      </c>
      <c r="I14" s="45" t="n">
        <v>2800</v>
      </c>
      <c r="J14" s="29">
        <f>IF($I14="","",MAX(N($D14),N($F14),N($H14))-$I14)</f>
        <v/>
      </c>
      <c r="K14" s="36" t="n"/>
    </row>
    <row r="15">
      <c r="B15" s="36" t="n"/>
      <c r="C15" s="36" t="n"/>
      <c r="D15" s="45" t="n"/>
      <c r="E15" s="36" t="n"/>
      <c r="F15" s="45" t="n"/>
      <c r="G15" s="36" t="n"/>
      <c r="H15" s="45" t="n"/>
      <c r="I15" s="45" t="n"/>
      <c r="J15" s="29">
        <f>IF($I15="","",MAX(N($D15),N($F15),N($H15))-$I15)</f>
        <v/>
      </c>
      <c r="K15" s="36" t="n"/>
    </row>
    <row r="16">
      <c r="B16" s="36" t="n"/>
      <c r="C16" s="36" t="n"/>
      <c r="D16" s="45" t="n"/>
      <c r="E16" s="36" t="n"/>
      <c r="F16" s="45" t="n"/>
      <c r="G16" s="36" t="n"/>
      <c r="H16" s="45" t="n"/>
      <c r="I16" s="45" t="n"/>
      <c r="J16" s="29">
        <f>IF($I16="","",MAX(N($D16),N($F16),N($H16))-$I16)</f>
        <v/>
      </c>
      <c r="K16" s="36" t="n"/>
    </row>
    <row r="17">
      <c r="B17" s="36" t="n"/>
      <c r="C17" s="36" t="n"/>
      <c r="D17" s="45" t="n"/>
      <c r="E17" s="36" t="n"/>
      <c r="F17" s="45" t="n"/>
      <c r="G17" s="36" t="n"/>
      <c r="H17" s="45" t="n"/>
      <c r="I17" s="45" t="n"/>
      <c r="J17" s="29">
        <f>IF($I17="","",MAX(N($D17),N($F17),N($H17))-$I17)</f>
        <v/>
      </c>
      <c r="K17" s="36" t="n"/>
    </row>
    <row r="18">
      <c r="B18" s="36" t="n"/>
      <c r="C18" s="36" t="n"/>
      <c r="D18" s="45" t="n"/>
      <c r="E18" s="36" t="n"/>
      <c r="F18" s="45" t="n"/>
      <c r="G18" s="36" t="n"/>
      <c r="H18" s="45" t="n"/>
      <c r="I18" s="45" t="n"/>
      <c r="J18" s="29">
        <f>IF($I18="","",MAX(N($D18),N($F18),N($H18))-$I18)</f>
        <v/>
      </c>
      <c r="K18" s="36" t="n"/>
    </row>
    <row r="19">
      <c r="B19" s="36" t="n"/>
      <c r="C19" s="36" t="n"/>
      <c r="D19" s="45" t="n"/>
      <c r="E19" s="36" t="n"/>
      <c r="F19" s="45" t="n"/>
      <c r="G19" s="36" t="n"/>
      <c r="H19" s="45" t="n"/>
      <c r="I19" s="45" t="n"/>
      <c r="J19" s="29">
        <f>IF($I19="","",MAX(N($D19),N($F19),N($H19))-$I19)</f>
        <v/>
      </c>
      <c r="K19" s="36" t="n"/>
    </row>
    <row r="20">
      <c r="B20" s="36" t="n"/>
      <c r="C20" s="36" t="n"/>
      <c r="D20" s="45" t="n"/>
      <c r="E20" s="36" t="n"/>
      <c r="F20" s="45" t="n"/>
      <c r="G20" s="36" t="n"/>
      <c r="H20" s="45" t="n"/>
      <c r="I20" s="45" t="n"/>
      <c r="J20" s="29">
        <f>IF($I20="","",MAX(N($D20),N($F20),N($H20))-$I20)</f>
        <v/>
      </c>
      <c r="K20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K20"/>
  <mergeCells count="2">
    <mergeCell ref="B1:K1"/>
    <mergeCell ref="B2:K2"/>
  </mergeCell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C3899B"/>
    <outlinePr summaryBelow="1" summaryRight="1"/>
    <pageSetUpPr fitToPage="1"/>
  </sheetPr>
  <dimension ref="B1:J23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0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</cols>
  <sheetData>
    <row r="1" ht="30" customHeight="1">
      <c r="B1" s="1" t="inlineStr">
        <is>
          <t>👰  BRIDE'S DRESS SHOPPING LOG</t>
        </is>
      </c>
      <c r="C1" s="2" t="n"/>
      <c r="D1" s="2" t="n"/>
      <c r="E1" s="2" t="n"/>
      <c r="F1" s="2" t="n"/>
      <c r="G1" s="2" t="n"/>
      <c r="H1" s="2" t="n"/>
      <c r="I1" s="2" t="n"/>
      <c r="J1" s="3" t="n"/>
    </row>
    <row r="2" ht="15" customHeight="1">
      <c r="B2" s="4" t="inlineStr">
        <is>
          <t>Stores, styles, prices &amp; the alterations timeline</t>
        </is>
      </c>
      <c r="C2" s="2" t="n"/>
      <c r="D2" s="2" t="n"/>
      <c r="E2" s="2" t="n"/>
      <c r="F2" s="2" t="n"/>
      <c r="G2" s="2" t="n"/>
      <c r="H2" s="2" t="n"/>
      <c r="I2" s="2" t="n"/>
      <c r="J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Store / boutique</t>
        </is>
      </c>
      <c r="C8" s="35" t="inlineStr">
        <is>
          <t>Designer &amp; style</t>
        </is>
      </c>
      <c r="D8" s="35" t="inlineStr">
        <is>
          <t>Price</t>
        </is>
      </c>
      <c r="E8" s="35" t="inlineStr">
        <is>
          <t>Appointment date</t>
        </is>
      </c>
      <c r="F8" s="35" t="inlineStr">
        <is>
          <t>Rating</t>
        </is>
      </c>
      <c r="G8" s="35" t="inlineStr">
        <is>
          <t>Say yes?</t>
        </is>
      </c>
      <c r="H8" s="35" t="inlineStr">
        <is>
          <t>Alterations?</t>
        </is>
      </c>
      <c r="I8" s="35" t="inlineStr">
        <is>
          <t>Alterations deadline</t>
        </is>
      </c>
      <c r="J8" s="35" t="inlineStr">
        <is>
          <t>Notes</t>
        </is>
      </c>
    </row>
    <row r="9">
      <c r="B9" s="36" t="inlineStr">
        <is>
          <t>Ivory &amp; Oak Bridal</t>
        </is>
      </c>
      <c r="C9" s="36" t="inlineStr">
        <is>
          <t>Maison Lilée — 'Amélie'</t>
        </is>
      </c>
      <c r="D9" s="45" t="n">
        <v>1800</v>
      </c>
      <c r="E9" s="47" t="n">
        <v>46279</v>
      </c>
      <c r="F9" s="27" t="inlineStr">
        <is>
          <t>5</t>
        </is>
      </c>
      <c r="G9" s="27" t="inlineStr">
        <is>
          <t>Yes!</t>
        </is>
      </c>
      <c r="H9" s="27" t="inlineStr">
        <is>
          <t>Yes</t>
        </is>
      </c>
      <c r="I9" s="47" t="n">
        <v>46487</v>
      </c>
      <c r="J9" s="36" t="inlineStr">
        <is>
          <t>THE one 💍</t>
        </is>
      </c>
    </row>
    <row r="10">
      <c r="B10" s="36" t="inlineStr">
        <is>
          <t>Something Blue Atelier</t>
        </is>
      </c>
      <c r="C10" s="36" t="inlineStr">
        <is>
          <t>Vera Vow — 'Iris'</t>
        </is>
      </c>
      <c r="D10" s="45" t="n">
        <v>2200</v>
      </c>
      <c r="E10" s="47" t="n">
        <v>46297</v>
      </c>
      <c r="F10" s="27" t="inlineStr">
        <is>
          <t>4</t>
        </is>
      </c>
      <c r="G10" s="27" t="inlineStr">
        <is>
          <t>Maybe</t>
        </is>
      </c>
      <c r="H10" s="27" t="inlineStr">
        <is>
          <t>Yes</t>
        </is>
      </c>
      <c r="I10" s="47" t="n"/>
      <c r="J10" s="36" t="inlineStr">
        <is>
          <t>Loved the neckline</t>
        </is>
      </c>
    </row>
    <row r="11">
      <c r="B11" s="36" t="inlineStr">
        <is>
          <t>Classic Corner Bridal</t>
        </is>
      </c>
      <c r="C11" s="36" t="inlineStr">
        <is>
          <t>Sofia Sage — 'Willow'</t>
        </is>
      </c>
      <c r="D11" s="45" t="n">
        <v>1500</v>
      </c>
      <c r="E11" s="47" t="n">
        <v>46313</v>
      </c>
      <c r="F11" s="27" t="inlineStr">
        <is>
          <t>3</t>
        </is>
      </c>
      <c r="G11" s="27" t="inlineStr">
        <is>
          <t>No</t>
        </is>
      </c>
      <c r="H11" s="27" t="inlineStr">
        <is>
          <t>No</t>
        </is>
      </c>
      <c r="I11" s="47" t="n"/>
      <c r="J11" s="36" t="inlineStr">
        <is>
          <t>Not me</t>
        </is>
      </c>
    </row>
    <row r="12">
      <c r="B12" s="36" t="n"/>
      <c r="C12" s="36" t="n"/>
      <c r="D12" s="45" t="n"/>
      <c r="E12" s="47" t="n"/>
      <c r="F12" s="27" t="n"/>
      <c r="G12" s="27" t="n"/>
      <c r="H12" s="27" t="n"/>
      <c r="I12" s="47" t="n"/>
      <c r="J12" s="36" t="n"/>
    </row>
    <row r="13">
      <c r="B13" s="36" t="n"/>
      <c r="C13" s="36" t="n"/>
      <c r="D13" s="45" t="n"/>
      <c r="E13" s="47" t="n"/>
      <c r="F13" s="27" t="n"/>
      <c r="G13" s="27" t="n"/>
      <c r="H13" s="27" t="n"/>
      <c r="I13" s="47" t="n"/>
      <c r="J13" s="36" t="n"/>
    </row>
    <row r="14">
      <c r="B14" s="36" t="n"/>
      <c r="C14" s="36" t="n"/>
      <c r="D14" s="45" t="n"/>
      <c r="E14" s="47" t="n"/>
      <c r="F14" s="27" t="n"/>
      <c r="G14" s="27" t="n"/>
      <c r="H14" s="27" t="n"/>
      <c r="I14" s="47" t="n"/>
      <c r="J14" s="36" t="n"/>
    </row>
    <row r="15">
      <c r="B15" s="36" t="n"/>
      <c r="C15" s="36" t="n"/>
      <c r="D15" s="45" t="n"/>
      <c r="E15" s="47" t="n"/>
      <c r="F15" s="27" t="n"/>
      <c r="G15" s="27" t="n"/>
      <c r="H15" s="27" t="n"/>
      <c r="I15" s="47" t="n"/>
      <c r="J15" s="36" t="n"/>
    </row>
    <row r="16">
      <c r="B16" s="36" t="n"/>
      <c r="C16" s="36" t="n"/>
      <c r="D16" s="45" t="n"/>
      <c r="E16" s="47" t="n"/>
      <c r="F16" s="27" t="n"/>
      <c r="G16" s="27" t="n"/>
      <c r="H16" s="27" t="n"/>
      <c r="I16" s="47" t="n"/>
      <c r="J16" s="36" t="n"/>
    </row>
    <row r="17">
      <c r="B17" s="36" t="n"/>
      <c r="C17" s="36" t="n"/>
      <c r="D17" s="45" t="n"/>
      <c r="E17" s="47" t="n"/>
      <c r="F17" s="27" t="n"/>
      <c r="G17" s="27" t="n"/>
      <c r="H17" s="27" t="n"/>
      <c r="I17" s="47" t="n"/>
      <c r="J17" s="36" t="n"/>
    </row>
    <row r="18">
      <c r="B18" s="36" t="n"/>
      <c r="C18" s="36" t="n"/>
      <c r="D18" s="45" t="n"/>
      <c r="E18" s="47" t="n"/>
      <c r="F18" s="27" t="n"/>
      <c r="G18" s="27" t="n"/>
      <c r="H18" s="27" t="n"/>
      <c r="I18" s="47" t="n"/>
      <c r="J18" s="36" t="n"/>
    </row>
    <row r="19">
      <c r="B19" s="36" t="n"/>
      <c r="C19" s="36" t="n"/>
      <c r="D19" s="45" t="n"/>
      <c r="E19" s="47" t="n"/>
      <c r="F19" s="27" t="n"/>
      <c r="G19" s="27" t="n"/>
      <c r="H19" s="27" t="n"/>
      <c r="I19" s="47" t="n"/>
      <c r="J19" s="36" t="n"/>
    </row>
    <row r="20">
      <c r="B20" s="36" t="n"/>
      <c r="C20" s="36" t="n"/>
      <c r="D20" s="45" t="n"/>
      <c r="E20" s="47" t="n"/>
      <c r="F20" s="27" t="n"/>
      <c r="G20" s="27" t="n"/>
      <c r="H20" s="27" t="n"/>
      <c r="I20" s="47" t="n"/>
      <c r="J20" s="36" t="n"/>
    </row>
    <row r="21">
      <c r="B21" s="36" t="n"/>
      <c r="C21" s="36" t="n"/>
      <c r="D21" s="45" t="n"/>
      <c r="E21" s="47" t="n"/>
      <c r="F21" s="27" t="n"/>
      <c r="G21" s="27" t="n"/>
      <c r="H21" s="27" t="n"/>
      <c r="I21" s="47" t="n"/>
      <c r="J21" s="36" t="n"/>
    </row>
    <row r="22">
      <c r="B22" s="36" t="n"/>
      <c r="C22" s="36" t="n"/>
      <c r="D22" s="45" t="n"/>
      <c r="E22" s="47" t="n"/>
      <c r="F22" s="27" t="n"/>
      <c r="G22" s="27" t="n"/>
      <c r="H22" s="27" t="n"/>
      <c r="I22" s="47" t="n"/>
      <c r="J22" s="36" t="n"/>
    </row>
    <row r="23">
      <c r="B23" s="36" t="n"/>
      <c r="C23" s="36" t="n"/>
      <c r="D23" s="45" t="n"/>
      <c r="E23" s="47" t="n"/>
      <c r="F23" s="27" t="n"/>
      <c r="G23" s="27" t="n"/>
      <c r="H23" s="27" t="n"/>
      <c r="I23" s="47" t="n"/>
      <c r="J23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J23"/>
  <mergeCells count="2">
    <mergeCell ref="B1:J1"/>
    <mergeCell ref="B2:J2"/>
  </mergeCells>
  <conditionalFormatting sqref="G9:G23">
    <cfRule type="cellIs" priority="1" operator="equal" dxfId="0">
      <formula>"Yes!"</formula>
    </cfRule>
    <cfRule type="cellIs" priority="2" operator="equal" dxfId="2">
      <formula>"No"</formula>
    </cfRule>
    <cfRule type="cellIs" priority="3" operator="equal" dxfId="1">
      <formula>"Maybe"</formula>
    </cfRule>
  </conditionalFormatting>
  <dataValidations count="3">
    <dataValidation sqref="F9:F23" showDropDown="0" showInputMessage="0" showErrorMessage="0" allowBlank="1" type="list">
      <formula1>"1,2,3,4,5"</formula1>
    </dataValidation>
    <dataValidation sqref="G9:G23" showDropDown="0" showInputMessage="0" showErrorMessage="0" allowBlank="1" type="list">
      <formula1>"Yes!,Maybe,No"</formula1>
    </dataValidation>
    <dataValidation sqref="H9:H23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C3899B"/>
    <outlinePr summaryBelow="1" summaryRight="1"/>
    <pageSetUpPr fitToPage="1"/>
  </sheetPr>
  <dimension ref="B1:I22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18" customWidth="1" min="2" max="2"/>
    <col width="24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</cols>
  <sheetData>
    <row r="1" ht="30" customHeight="1">
      <c r="B1" s="1" t="inlineStr">
        <is>
          <t>💃  BRIDESMAID DRESS TRACKER</t>
        </is>
      </c>
      <c r="C1" s="2" t="n"/>
      <c r="D1" s="2" t="n"/>
      <c r="E1" s="2" t="n"/>
      <c r="F1" s="2" t="n"/>
      <c r="G1" s="2" t="n"/>
      <c r="H1" s="2" t="n"/>
      <c r="I1" s="3" t="n"/>
    </row>
    <row r="2" ht="15" customHeight="1">
      <c r="B2" s="4" t="inlineStr">
        <is>
          <t>Sizes, colors, orders &amp; delivery status</t>
        </is>
      </c>
      <c r="C2" s="2" t="n"/>
      <c r="D2" s="2" t="n"/>
      <c r="E2" s="2" t="n"/>
      <c r="F2" s="2" t="n"/>
      <c r="G2" s="2" t="n"/>
      <c r="H2" s="2" t="n"/>
      <c r="I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Bridesmaid</t>
        </is>
      </c>
      <c r="C8" s="35" t="inlineStr">
        <is>
          <t>Dress style &amp; color</t>
        </is>
      </c>
      <c r="D8" s="35" t="inlineStr">
        <is>
          <t>Size</t>
        </is>
      </c>
      <c r="E8" s="35" t="inlineStr">
        <is>
          <t>Price</t>
        </is>
      </c>
      <c r="F8" s="35" t="inlineStr">
        <is>
          <t>Ordered date</t>
        </is>
      </c>
      <c r="G8" s="35" t="inlineStr">
        <is>
          <t>Expected delivery</t>
        </is>
      </c>
      <c r="H8" s="35" t="inlineStr">
        <is>
          <t>Status</t>
        </is>
      </c>
      <c r="I8" s="35" t="inlineStr">
        <is>
          <t>Notes</t>
        </is>
      </c>
    </row>
    <row r="9">
      <c r="B9" s="36" t="inlineStr">
        <is>
          <t>Olivia Carter</t>
        </is>
      </c>
      <c r="C9" s="36" t="inlineStr">
        <is>
          <t>Chiffon — Dusty rose</t>
        </is>
      </c>
      <c r="D9" s="27" t="inlineStr">
        <is>
          <t>8</t>
        </is>
      </c>
      <c r="E9" s="45" t="n">
        <v>165</v>
      </c>
      <c r="F9" s="47" t="n">
        <v>46397</v>
      </c>
      <c r="G9" s="47" t="n">
        <v>46461</v>
      </c>
      <c r="H9" s="27" t="inlineStr">
        <is>
          <t>Ordered</t>
        </is>
      </c>
      <c r="I9" s="36" t="n"/>
    </row>
    <row r="10">
      <c r="B10" s="36" t="inlineStr">
        <is>
          <t>Mia Delgado</t>
        </is>
      </c>
      <c r="C10" s="36" t="inlineStr">
        <is>
          <t>Chiffon — Dusty rose</t>
        </is>
      </c>
      <c r="D10" s="27" t="inlineStr">
        <is>
          <t>6</t>
        </is>
      </c>
      <c r="E10" s="45" t="n">
        <v>165</v>
      </c>
      <c r="F10" s="47" t="n">
        <v>46397</v>
      </c>
      <c r="G10" s="47" t="n">
        <v>46461</v>
      </c>
      <c r="H10" s="27" t="inlineStr">
        <is>
          <t>Shipped</t>
        </is>
      </c>
      <c r="I10" s="36" t="n"/>
    </row>
    <row r="11">
      <c r="B11" s="36" t="inlineStr">
        <is>
          <t>Grace Brooks</t>
        </is>
      </c>
      <c r="C11" s="36" t="inlineStr">
        <is>
          <t>Chiffon — Dusty rose</t>
        </is>
      </c>
      <c r="D11" s="27" t="inlineStr">
        <is>
          <t>12</t>
        </is>
      </c>
      <c r="E11" s="45" t="n">
        <v>165</v>
      </c>
      <c r="F11" s="47" t="n">
        <v>46399</v>
      </c>
      <c r="G11" s="47" t="n">
        <v>46466</v>
      </c>
      <c r="H11" s="27" t="inlineStr">
        <is>
          <t>To Order</t>
        </is>
      </c>
      <c r="I11" s="36" t="n"/>
    </row>
    <row r="12">
      <c r="B12" s="36" t="inlineStr">
        <is>
          <t>Chloe Fontaine</t>
        </is>
      </c>
      <c r="C12" s="36" t="inlineStr">
        <is>
          <t>Chiffon — Dusty rose</t>
        </is>
      </c>
      <c r="D12" s="27" t="inlineStr">
        <is>
          <t>10</t>
        </is>
      </c>
      <c r="E12" s="45" t="n">
        <v>165</v>
      </c>
      <c r="F12" s="47" t="n"/>
      <c r="G12" s="47" t="n"/>
      <c r="H12" s="27" t="inlineStr">
        <is>
          <t>To Order</t>
        </is>
      </c>
      <c r="I12" s="36" t="n"/>
    </row>
    <row r="13">
      <c r="B13" s="36" t="n"/>
      <c r="C13" s="36" t="n"/>
      <c r="D13" s="27" t="n"/>
      <c r="E13" s="45" t="n"/>
      <c r="F13" s="47" t="n"/>
      <c r="G13" s="47" t="n"/>
      <c r="H13" s="27" t="n"/>
      <c r="I13" s="36" t="n"/>
    </row>
    <row r="14">
      <c r="B14" s="36" t="n"/>
      <c r="C14" s="36" t="n"/>
      <c r="D14" s="27" t="n"/>
      <c r="E14" s="45" t="n"/>
      <c r="F14" s="47" t="n"/>
      <c r="G14" s="47" t="n"/>
      <c r="H14" s="27" t="n"/>
      <c r="I14" s="36" t="n"/>
    </row>
    <row r="15">
      <c r="B15" s="36" t="n"/>
      <c r="C15" s="36" t="n"/>
      <c r="D15" s="27" t="n"/>
      <c r="E15" s="45" t="n"/>
      <c r="F15" s="47" t="n"/>
      <c r="G15" s="47" t="n"/>
      <c r="H15" s="27" t="n"/>
      <c r="I15" s="36" t="n"/>
    </row>
    <row r="16">
      <c r="B16" s="36" t="n"/>
      <c r="C16" s="36" t="n"/>
      <c r="D16" s="27" t="n"/>
      <c r="E16" s="45" t="n"/>
      <c r="F16" s="47" t="n"/>
      <c r="G16" s="47" t="n"/>
      <c r="H16" s="27" t="n"/>
      <c r="I16" s="36" t="n"/>
    </row>
    <row r="17">
      <c r="B17" s="36" t="n"/>
      <c r="C17" s="36" t="n"/>
      <c r="D17" s="27" t="n"/>
      <c r="E17" s="45" t="n"/>
      <c r="F17" s="47" t="n"/>
      <c r="G17" s="47" t="n"/>
      <c r="H17" s="27" t="n"/>
      <c r="I17" s="36" t="n"/>
    </row>
    <row r="18">
      <c r="B18" s="36" t="n"/>
      <c r="C18" s="36" t="n"/>
      <c r="D18" s="27" t="n"/>
      <c r="E18" s="45" t="n"/>
      <c r="F18" s="47" t="n"/>
      <c r="G18" s="47" t="n"/>
      <c r="H18" s="27" t="n"/>
      <c r="I18" s="36" t="n"/>
    </row>
    <row r="19">
      <c r="B19" s="36" t="n"/>
      <c r="C19" s="36" t="n"/>
      <c r="D19" s="27" t="n"/>
      <c r="E19" s="45" t="n"/>
      <c r="F19" s="47" t="n"/>
      <c r="G19" s="47" t="n"/>
      <c r="H19" s="27" t="n"/>
      <c r="I19" s="36" t="n"/>
    </row>
    <row r="20">
      <c r="B20" s="36" t="n"/>
      <c r="C20" s="36" t="n"/>
      <c r="D20" s="27" t="n"/>
      <c r="E20" s="45" t="n"/>
      <c r="F20" s="47" t="n"/>
      <c r="G20" s="47" t="n"/>
      <c r="H20" s="27" t="n"/>
      <c r="I20" s="36" t="n"/>
    </row>
    <row r="21">
      <c r="B21" s="36" t="n"/>
      <c r="C21" s="36" t="n"/>
      <c r="D21" s="27" t="n"/>
      <c r="E21" s="45" t="n"/>
      <c r="F21" s="47" t="n"/>
      <c r="G21" s="47" t="n"/>
      <c r="H21" s="27" t="n"/>
      <c r="I21" s="36" t="n"/>
    </row>
    <row r="22">
      <c r="B22" s="36" t="n"/>
      <c r="C22" s="36" t="n"/>
      <c r="D22" s="27" t="n"/>
      <c r="E22" s="45" t="n"/>
      <c r="F22" s="47" t="n"/>
      <c r="G22" s="47" t="n"/>
      <c r="H22" s="27" t="n"/>
      <c r="I22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I22"/>
  <mergeCells count="2">
    <mergeCell ref="B1:I1"/>
    <mergeCell ref="B2:I2"/>
  </mergeCells>
  <conditionalFormatting sqref="H9:H22">
    <cfRule type="cellIs" priority="1" operator="equal" dxfId="0">
      <formula>"Received"</formula>
    </cfRule>
    <cfRule type="cellIs" priority="2" operator="equal" dxfId="0">
      <formula>"Delivered"</formula>
    </cfRule>
    <cfRule type="cellIs" priority="3" operator="equal" dxfId="1">
      <formula>"Shipped"</formula>
    </cfRule>
    <cfRule type="cellIs" priority="4" operator="equal" dxfId="2">
      <formula>"To Order"</formula>
    </cfRule>
  </conditionalFormatting>
  <dataValidations count="1">
    <dataValidation sqref="H9:H22" showDropDown="0" showInputMessage="0" showErrorMessage="0" allowBlank="1" type="list">
      <formula1>"To Order,Ordered,Shipped,Received,Altered,Delivered"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C3899B"/>
    <outlinePr summaryBelow="1" summaryRight="1"/>
    <pageSetUpPr fitToPage="1"/>
  </sheetPr>
  <dimension ref="B1:K22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18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 ht="30" customHeight="1">
      <c r="B1" s="1" t="inlineStr">
        <is>
          <t>🤵  GROOM &amp; GROOMSMEN ATTIRE</t>
        </is>
      </c>
      <c r="C1" s="2" t="n"/>
      <c r="D1" s="2" t="n"/>
      <c r="E1" s="2" t="n"/>
      <c r="F1" s="2" t="n"/>
      <c r="G1" s="2" t="n"/>
      <c r="H1" s="2" t="n"/>
      <c r="I1" s="2" t="n"/>
      <c r="J1" s="3" t="n"/>
    </row>
    <row r="2" ht="15" customHeight="1">
      <c r="B2" s="4" t="inlineStr">
        <is>
          <t>Suit / tux details, rental vs purchase &amp; fittings</t>
        </is>
      </c>
      <c r="C2" s="2" t="n"/>
      <c r="D2" s="2" t="n"/>
      <c r="E2" s="2" t="n"/>
      <c r="F2" s="2" t="n"/>
      <c r="G2" s="2" t="n"/>
      <c r="H2" s="2" t="n"/>
      <c r="I2" s="2" t="n"/>
      <c r="J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Name</t>
        </is>
      </c>
      <c r="C8" s="35" t="inlineStr">
        <is>
          <t>Role</t>
        </is>
      </c>
      <c r="D8" s="35" t="inlineStr">
        <is>
          <t>Suit / tux style</t>
        </is>
      </c>
      <c r="E8" s="35" t="inlineStr">
        <is>
          <t>Color</t>
        </is>
      </c>
      <c r="F8" s="35" t="inlineStr">
        <is>
          <t>Rental or purchase</t>
        </is>
      </c>
      <c r="G8" s="35" t="inlineStr">
        <is>
          <t>Price</t>
        </is>
      </c>
      <c r="H8" s="35" t="inlineStr">
        <is>
          <t>Fitting date</t>
        </is>
      </c>
      <c r="I8" s="35" t="inlineStr">
        <is>
          <t>Pickup date</t>
        </is>
      </c>
      <c r="J8" s="35" t="inlineStr">
        <is>
          <t>Status</t>
        </is>
      </c>
      <c r="K8" s="35" t="inlineStr">
        <is>
          <t>Notes</t>
        </is>
      </c>
    </row>
    <row r="9">
      <c r="B9" s="36" t="inlineStr">
        <is>
          <t>Jordan Lee</t>
        </is>
      </c>
      <c r="C9" s="27" t="inlineStr">
        <is>
          <t>Groom</t>
        </is>
      </c>
      <c r="D9" s="36" t="inlineStr">
        <is>
          <t>Midnight blue tuxedo</t>
        </is>
      </c>
      <c r="E9" s="36" t="inlineStr">
        <is>
          <t>Midnight</t>
        </is>
      </c>
      <c r="F9" s="27" t="inlineStr">
        <is>
          <t>Purchase</t>
        </is>
      </c>
      <c r="G9" s="45" t="n">
        <v>950</v>
      </c>
      <c r="H9" s="47" t="n">
        <v>46452</v>
      </c>
      <c r="I9" s="47" t="n">
        <v>46522</v>
      </c>
      <c r="J9" s="27" t="inlineStr">
        <is>
          <t>Ordered</t>
        </is>
      </c>
      <c r="K9" s="36" t="n"/>
    </row>
    <row r="10">
      <c r="B10" s="36" t="inlineStr">
        <is>
          <t>Chris Thompson</t>
        </is>
      </c>
      <c r="C10" s="27" t="inlineStr">
        <is>
          <t>Best Man</t>
        </is>
      </c>
      <c r="D10" s="36" t="inlineStr">
        <is>
          <t>Charcoal suit</t>
        </is>
      </c>
      <c r="E10" s="36" t="inlineStr">
        <is>
          <t>Charcoal</t>
        </is>
      </c>
      <c r="F10" s="27" t="inlineStr">
        <is>
          <t>Rental</t>
        </is>
      </c>
      <c r="G10" s="45" t="n">
        <v>180</v>
      </c>
      <c r="H10" s="47" t="n">
        <v>46452</v>
      </c>
      <c r="I10" s="47" t="n">
        <v>46525</v>
      </c>
      <c r="J10" s="27" t="inlineStr">
        <is>
          <t>Ordered</t>
        </is>
      </c>
      <c r="K10" s="36" t="n"/>
    </row>
    <row r="11">
      <c r="B11" s="36" t="inlineStr">
        <is>
          <t>Mateo Reyes</t>
        </is>
      </c>
      <c r="C11" s="27" t="inlineStr">
        <is>
          <t>Groomsman</t>
        </is>
      </c>
      <c r="D11" s="36" t="inlineStr">
        <is>
          <t>Charcoal suit</t>
        </is>
      </c>
      <c r="E11" s="36" t="inlineStr">
        <is>
          <t>Charcoal</t>
        </is>
      </c>
      <c r="F11" s="27" t="inlineStr">
        <is>
          <t>Rental</t>
        </is>
      </c>
      <c r="G11" s="45" t="n">
        <v>180</v>
      </c>
      <c r="H11" s="47" t="n">
        <v>46452</v>
      </c>
      <c r="I11" s="47" t="n">
        <v>46525</v>
      </c>
      <c r="J11" s="27" t="inlineStr">
        <is>
          <t>To Order</t>
        </is>
      </c>
      <c r="K11" s="36" t="n"/>
    </row>
    <row r="12">
      <c r="B12" s="36" t="inlineStr">
        <is>
          <t>Ethan Brooks</t>
        </is>
      </c>
      <c r="C12" s="27" t="inlineStr">
        <is>
          <t>Groomsman</t>
        </is>
      </c>
      <c r="D12" s="36" t="inlineStr">
        <is>
          <t>Charcoal suit</t>
        </is>
      </c>
      <c r="E12" s="36" t="inlineStr">
        <is>
          <t>Charcoal</t>
        </is>
      </c>
      <c r="F12" s="27" t="inlineStr">
        <is>
          <t>Rental</t>
        </is>
      </c>
      <c r="G12" s="45" t="n">
        <v>180</v>
      </c>
      <c r="H12" s="47" t="n">
        <v>46454</v>
      </c>
      <c r="I12" s="47" t="n">
        <v>46525</v>
      </c>
      <c r="J12" s="27" t="inlineStr">
        <is>
          <t>To Order</t>
        </is>
      </c>
      <c r="K12" s="36" t="n"/>
    </row>
    <row r="13">
      <c r="B13" s="36" t="n"/>
      <c r="C13" s="27" t="n"/>
      <c r="D13" s="36" t="n"/>
      <c r="E13" s="36" t="n"/>
      <c r="F13" s="27" t="n"/>
      <c r="G13" s="45" t="n"/>
      <c r="H13" s="47" t="n"/>
      <c r="I13" s="47" t="n"/>
      <c r="J13" s="27" t="n"/>
      <c r="K13" s="36" t="n"/>
    </row>
    <row r="14">
      <c r="B14" s="36" t="n"/>
      <c r="C14" s="27" t="n"/>
      <c r="D14" s="36" t="n"/>
      <c r="E14" s="36" t="n"/>
      <c r="F14" s="27" t="n"/>
      <c r="G14" s="45" t="n"/>
      <c r="H14" s="47" t="n"/>
      <c r="I14" s="47" t="n"/>
      <c r="J14" s="27" t="n"/>
      <c r="K14" s="36" t="n"/>
    </row>
    <row r="15">
      <c r="B15" s="36" t="n"/>
      <c r="C15" s="27" t="n"/>
      <c r="D15" s="36" t="n"/>
      <c r="E15" s="36" t="n"/>
      <c r="F15" s="27" t="n"/>
      <c r="G15" s="45" t="n"/>
      <c r="H15" s="47" t="n"/>
      <c r="I15" s="47" t="n"/>
      <c r="J15" s="27" t="n"/>
      <c r="K15" s="36" t="n"/>
    </row>
    <row r="16">
      <c r="B16" s="36" t="n"/>
      <c r="C16" s="27" t="n"/>
      <c r="D16" s="36" t="n"/>
      <c r="E16" s="36" t="n"/>
      <c r="F16" s="27" t="n"/>
      <c r="G16" s="45" t="n"/>
      <c r="H16" s="47" t="n"/>
      <c r="I16" s="47" t="n"/>
      <c r="J16" s="27" t="n"/>
      <c r="K16" s="36" t="n"/>
    </row>
    <row r="17">
      <c r="B17" s="36" t="n"/>
      <c r="C17" s="27" t="n"/>
      <c r="D17" s="36" t="n"/>
      <c r="E17" s="36" t="n"/>
      <c r="F17" s="27" t="n"/>
      <c r="G17" s="45" t="n"/>
      <c r="H17" s="47" t="n"/>
      <c r="I17" s="47" t="n"/>
      <c r="J17" s="27" t="n"/>
      <c r="K17" s="36" t="n"/>
    </row>
    <row r="18">
      <c r="B18" s="36" t="n"/>
      <c r="C18" s="27" t="n"/>
      <c r="D18" s="36" t="n"/>
      <c r="E18" s="36" t="n"/>
      <c r="F18" s="27" t="n"/>
      <c r="G18" s="45" t="n"/>
      <c r="H18" s="47" t="n"/>
      <c r="I18" s="47" t="n"/>
      <c r="J18" s="27" t="n"/>
      <c r="K18" s="36" t="n"/>
    </row>
    <row r="19">
      <c r="B19" s="36" t="n"/>
      <c r="C19" s="27" t="n"/>
      <c r="D19" s="36" t="n"/>
      <c r="E19" s="36" t="n"/>
      <c r="F19" s="27" t="n"/>
      <c r="G19" s="45" t="n"/>
      <c r="H19" s="47" t="n"/>
      <c r="I19" s="47" t="n"/>
      <c r="J19" s="27" t="n"/>
      <c r="K19" s="36" t="n"/>
    </row>
    <row r="20">
      <c r="B20" s="36" t="n"/>
      <c r="C20" s="27" t="n"/>
      <c r="D20" s="36" t="n"/>
      <c r="E20" s="36" t="n"/>
      <c r="F20" s="27" t="n"/>
      <c r="G20" s="45" t="n"/>
      <c r="H20" s="47" t="n"/>
      <c r="I20" s="47" t="n"/>
      <c r="J20" s="27" t="n"/>
      <c r="K20" s="36" t="n"/>
    </row>
    <row r="21">
      <c r="B21" s="36" t="n"/>
      <c r="C21" s="27" t="n"/>
      <c r="D21" s="36" t="n"/>
      <c r="E21" s="36" t="n"/>
      <c r="F21" s="27" t="n"/>
      <c r="G21" s="45" t="n"/>
      <c r="H21" s="47" t="n"/>
      <c r="I21" s="47" t="n"/>
      <c r="J21" s="27" t="n"/>
      <c r="K21" s="36" t="n"/>
    </row>
    <row r="22">
      <c r="B22" s="36" t="n"/>
      <c r="C22" s="27" t="n"/>
      <c r="D22" s="36" t="n"/>
      <c r="E22" s="36" t="n"/>
      <c r="F22" s="27" t="n"/>
      <c r="G22" s="45" t="n"/>
      <c r="H22" s="47" t="n"/>
      <c r="I22" s="47" t="n"/>
      <c r="J22" s="27" t="n"/>
      <c r="K22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K22"/>
  <mergeCells count="2">
    <mergeCell ref="B1:J1"/>
    <mergeCell ref="B2:J2"/>
  </mergeCells>
  <conditionalFormatting sqref="J9:J22">
    <cfRule type="cellIs" priority="1" operator="equal" dxfId="0">
      <formula>"Received"</formula>
    </cfRule>
    <cfRule type="cellIs" priority="2" operator="equal" dxfId="0">
      <formula>"Delivered"</formula>
    </cfRule>
    <cfRule type="cellIs" priority="3" operator="equal" dxfId="1">
      <formula>"Ordered"</formula>
    </cfRule>
    <cfRule type="cellIs" priority="4" operator="equal" dxfId="2">
      <formula>"To Order"</formula>
    </cfRule>
  </conditionalFormatting>
  <dataValidations count="3">
    <dataValidation sqref="C9:C22" showDropDown="0" showInputMessage="0" showErrorMessage="0" allowBlank="1" type="list">
      <formula1>"Groom,Best Man,Groomsman,Father of the Bride,Father of the Groom,Ring Bearer,Usher"</formula1>
    </dataValidation>
    <dataValidation sqref="F9:F22" showDropDown="0" showInputMessage="0" showErrorMessage="0" allowBlank="1" type="list">
      <formula1>"Rental,Purchase"</formula1>
    </dataValidation>
    <dataValidation sqref="J9:J22" showDropDown="0" showInputMessage="0" showErrorMessage="0" allowBlank="1" type="list">
      <formula1>"To Order,Ordered,Shipped,Received,Altered,Delivered"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C3899B"/>
    <outlinePr summaryBelow="1" summaryRight="1"/>
    <pageSetUpPr fitToPage="1"/>
  </sheetPr>
  <dimension ref="B1:I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0" customWidth="1" min="2" max="2"/>
    <col width="18" customWidth="1" min="3" max="3"/>
    <col width="18" customWidth="1" min="4" max="4"/>
    <col width="14" customWidth="1" min="5" max="5"/>
    <col width="30" customWidth="1" min="6" max="6"/>
    <col width="14" customWidth="1" min="7" max="7"/>
    <col width="14" customWidth="1" min="8" max="8"/>
    <col width="22" customWidth="1" min="9" max="9"/>
  </cols>
  <sheetData>
    <row r="1" ht="30" customHeight="1">
      <c r="B1" s="1" t="inlineStr">
        <is>
          <t>💅  HAIR &amp; MAKEUP TRIAL NOTES</t>
        </is>
      </c>
      <c r="C1" s="2" t="n"/>
      <c r="D1" s="2" t="n"/>
      <c r="E1" s="2" t="n"/>
      <c r="F1" s="2" t="n"/>
      <c r="G1" s="2" t="n"/>
      <c r="H1" s="2" t="n"/>
      <c r="I1" s="3" t="n"/>
    </row>
    <row r="2" ht="15" customHeight="1">
      <c r="B2" s="4" t="inlineStr">
        <is>
          <t>Artists, looks, products &amp; trial dates</t>
        </is>
      </c>
      <c r="C2" s="2" t="n"/>
      <c r="D2" s="2" t="n"/>
      <c r="E2" s="2" t="n"/>
      <c r="F2" s="2" t="n"/>
      <c r="G2" s="2" t="n"/>
      <c r="H2" s="2" t="n"/>
      <c r="I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Person</t>
        </is>
      </c>
      <c r="C8" s="35" t="inlineStr">
        <is>
          <t>Artist / studio</t>
        </is>
      </c>
      <c r="D8" s="35" t="inlineStr">
        <is>
          <t>Service / look</t>
        </is>
      </c>
      <c r="E8" s="35" t="inlineStr">
        <is>
          <t>Trial date</t>
        </is>
      </c>
      <c r="F8" s="35" t="inlineStr">
        <is>
          <t>Look &amp; products used</t>
        </is>
      </c>
      <c r="G8" s="35" t="inlineStr">
        <is>
          <t>Trial price</t>
        </is>
      </c>
      <c r="H8" s="35" t="inlineStr">
        <is>
          <t>Booked for the day?</t>
        </is>
      </c>
      <c r="I8" s="35" t="inlineStr">
        <is>
          <t>Notes</t>
        </is>
      </c>
    </row>
    <row r="9">
      <c r="B9" s="36" t="inlineStr">
        <is>
          <t>Bride</t>
        </is>
      </c>
      <c r="C9" s="36" t="inlineStr">
        <is>
          <t>Priya Nair — Glow Studio</t>
        </is>
      </c>
      <c r="D9" s="36" t="inlineStr">
        <is>
          <t>Soft glam + loose waves</t>
        </is>
      </c>
      <c r="E9" s="47" t="n">
        <v>46438</v>
      </c>
      <c r="F9" s="36" t="inlineStr">
        <is>
          <t>Dewy base · brown liner · rose lip</t>
        </is>
      </c>
      <c r="G9" s="45" t="n">
        <v>150</v>
      </c>
      <c r="H9" s="27" t="inlineStr">
        <is>
          <t>Yes</t>
        </is>
      </c>
      <c r="I9" s="36" t="n"/>
    </row>
    <row r="10">
      <c r="B10" s="36" t="inlineStr">
        <is>
          <t>Mother of the Bride</t>
        </is>
      </c>
      <c r="C10" s="36" t="inlineStr">
        <is>
          <t>Glow Studio</t>
        </is>
      </c>
      <c r="D10" s="36" t="inlineStr">
        <is>
          <t>Natural glam</t>
        </is>
      </c>
      <c r="E10" s="47" t="n">
        <v>46451</v>
      </c>
      <c r="F10" s="36" t="inlineStr">
        <is>
          <t>Soft bronze eye</t>
        </is>
      </c>
      <c r="G10" s="45" t="n">
        <v>85</v>
      </c>
      <c r="H10" s="27" t="inlineStr">
        <is>
          <t>Yes</t>
        </is>
      </c>
      <c r="I10" s="36" t="n"/>
    </row>
    <row r="11">
      <c r="B11" s="36" t="n"/>
      <c r="C11" s="36" t="n"/>
      <c r="D11" s="36" t="n"/>
      <c r="E11" s="47" t="n"/>
      <c r="F11" s="36" t="n"/>
      <c r="G11" s="45" t="n"/>
      <c r="H11" s="27" t="n"/>
      <c r="I11" s="36" t="n"/>
    </row>
    <row r="12">
      <c r="B12" s="36" t="n"/>
      <c r="C12" s="36" t="n"/>
      <c r="D12" s="36" t="n"/>
      <c r="E12" s="47" t="n"/>
      <c r="F12" s="36" t="n"/>
      <c r="G12" s="45" t="n"/>
      <c r="H12" s="27" t="n"/>
      <c r="I12" s="36" t="n"/>
    </row>
    <row r="13">
      <c r="B13" s="36" t="n"/>
      <c r="C13" s="36" t="n"/>
      <c r="D13" s="36" t="n"/>
      <c r="E13" s="47" t="n"/>
      <c r="F13" s="36" t="n"/>
      <c r="G13" s="45" t="n"/>
      <c r="H13" s="27" t="n"/>
      <c r="I13" s="36" t="n"/>
    </row>
    <row r="14">
      <c r="B14" s="36" t="n"/>
      <c r="C14" s="36" t="n"/>
      <c r="D14" s="36" t="n"/>
      <c r="E14" s="47" t="n"/>
      <c r="F14" s="36" t="n"/>
      <c r="G14" s="45" t="n"/>
      <c r="H14" s="27" t="n"/>
      <c r="I14" s="36" t="n"/>
    </row>
    <row r="15">
      <c r="B15" s="36" t="n"/>
      <c r="C15" s="36" t="n"/>
      <c r="D15" s="36" t="n"/>
      <c r="E15" s="47" t="n"/>
      <c r="F15" s="36" t="n"/>
      <c r="G15" s="45" t="n"/>
      <c r="H15" s="27" t="n"/>
      <c r="I15" s="36" t="n"/>
    </row>
    <row r="16">
      <c r="B16" s="36" t="n"/>
      <c r="C16" s="36" t="n"/>
      <c r="D16" s="36" t="n"/>
      <c r="E16" s="47" t="n"/>
      <c r="F16" s="36" t="n"/>
      <c r="G16" s="45" t="n"/>
      <c r="H16" s="27" t="n"/>
      <c r="I16" s="36" t="n"/>
    </row>
    <row r="17">
      <c r="B17" s="36" t="n"/>
      <c r="C17" s="36" t="n"/>
      <c r="D17" s="36" t="n"/>
      <c r="E17" s="47" t="n"/>
      <c r="F17" s="36" t="n"/>
      <c r="G17" s="45" t="n"/>
      <c r="H17" s="27" t="n"/>
      <c r="I17" s="36" t="n"/>
    </row>
    <row r="18">
      <c r="B18" s="36" t="n"/>
      <c r="C18" s="36" t="n"/>
      <c r="D18" s="36" t="n"/>
      <c r="E18" s="47" t="n"/>
      <c r="F18" s="36" t="n"/>
      <c r="G18" s="45" t="n"/>
      <c r="H18" s="27" t="n"/>
      <c r="I18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I18"/>
  <mergeCells count="2">
    <mergeCell ref="B1:I1"/>
    <mergeCell ref="B2:I2"/>
  </mergeCells>
  <dataValidations count="2">
    <dataValidation sqref="B9:B18" showDropDown="0" showInputMessage="0" showErrorMessage="0" allowBlank="1" type="list">
      <formula1>"Bride,Mother of the Bride,Mother of the Groom,Bridesmaid,Flower girl"</formula1>
    </dataValidation>
    <dataValidation sqref="H9:H18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C3899B"/>
    <outlinePr summaryBelow="1" summaryRight="1"/>
    <pageSetUpPr fitToPage="1"/>
  </sheetPr>
  <dimension ref="B1:E22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30" customWidth="1" min="2" max="2"/>
    <col width="14" customWidth="1" min="3" max="3"/>
    <col width="14" customWidth="1" min="4" max="4"/>
    <col width="30" customWidth="1" min="5" max="5"/>
  </cols>
  <sheetData>
    <row r="1" ht="30" customHeight="1">
      <c r="B1" s="1" t="inlineStr">
        <is>
          <t>✨  BEAUTY TIMELINE</t>
        </is>
      </c>
      <c r="C1" s="2" t="n"/>
      <c r="D1" s="2" t="n"/>
      <c r="E1" s="3" t="n"/>
    </row>
    <row r="2" ht="15" customHeight="1">
      <c r="B2" s="4" t="inlineStr">
        <is>
          <t>Skincare, whitening, tanning &amp; nails — dates auto-set from your wedding date</t>
        </is>
      </c>
      <c r="C2" s="2" t="n"/>
      <c r="D2" s="2" t="n"/>
      <c r="E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Beauty task</t>
        </is>
      </c>
      <c r="C8" s="35" t="inlineStr">
        <is>
          <t>Start by 🔒</t>
        </is>
      </c>
      <c r="D8" s="35" t="inlineStr">
        <is>
          <t>Done?</t>
        </is>
      </c>
      <c r="E8" s="35" t="inlineStr">
        <is>
          <t>Notes</t>
        </is>
      </c>
    </row>
    <row r="9">
      <c r="B9" s="36" t="inlineStr">
        <is>
          <t>Daily skincare routine starts</t>
        </is>
      </c>
      <c r="C9" s="32">
        <f>IF(Dashboard!$C$8="","",EDATE(Dashboard!$C$8,-6))</f>
        <v/>
      </c>
      <c r="D9" s="27" t="n"/>
      <c r="E9" s="36" t="n"/>
    </row>
    <row r="10">
      <c r="B10" s="36" t="inlineStr">
        <is>
          <t>Begin teeth whitening</t>
        </is>
      </c>
      <c r="C10" s="32">
        <f>IF(Dashboard!$C$8="","",EDATE(Dashboard!$C$8,-3))</f>
        <v/>
      </c>
      <c r="D10" s="27" t="n"/>
      <c r="E10" s="36" t="n"/>
    </row>
    <row r="11">
      <c r="B11" s="36" t="inlineStr">
        <is>
          <t>Final facial (no later!)</t>
        </is>
      </c>
      <c r="C11" s="32">
        <f>IF(Dashboard!$C$8="","",Dashboard!$C$8-14)</f>
        <v/>
      </c>
      <c r="D11" s="27" t="n"/>
      <c r="E11" s="36" t="n"/>
    </row>
    <row r="12">
      <c r="B12" s="36" t="inlineStr">
        <is>
          <t>Hair colour &amp; trim</t>
        </is>
      </c>
      <c r="C12" s="32">
        <f>IF(Dashboard!$C$8="","",Dashboard!$C$8-30)</f>
        <v/>
      </c>
      <c r="D12" s="27" t="n"/>
      <c r="E12" s="36" t="n"/>
    </row>
    <row r="13">
      <c r="B13" s="36" t="inlineStr">
        <is>
          <t>Brow shaping</t>
        </is>
      </c>
      <c r="C13" s="32">
        <f>IF(Dashboard!$C$8="","",Dashboard!$C$8-7)</f>
        <v/>
      </c>
      <c r="D13" s="27" t="n"/>
      <c r="E13" s="36" t="n"/>
    </row>
    <row r="14">
      <c r="B14" s="36" t="inlineStr">
        <is>
          <t>Waxing appointments</t>
        </is>
      </c>
      <c r="C14" s="32">
        <f>IF(Dashboard!$C$8="","",Dashboard!$C$8-5)</f>
        <v/>
      </c>
      <c r="D14" s="27" t="n"/>
      <c r="E14" s="36" t="n"/>
    </row>
    <row r="15">
      <c r="B15" s="36" t="inlineStr">
        <is>
          <t>Spray tan trial</t>
        </is>
      </c>
      <c r="C15" s="32">
        <f>IF(Dashboard!$C$8="","",Dashboard!$C$8-21)</f>
        <v/>
      </c>
      <c r="D15" s="27" t="n"/>
      <c r="E15" s="36" t="n"/>
    </row>
    <row r="16">
      <c r="B16" s="36" t="inlineStr">
        <is>
          <t>Final spray tan</t>
        </is>
      </c>
      <c r="C16" s="32">
        <f>IF(Dashboard!$C$8="","",Dashboard!$C$8-2)</f>
        <v/>
      </c>
      <c r="D16" s="27" t="n"/>
      <c r="E16" s="36" t="n"/>
    </row>
    <row r="17">
      <c r="B17" s="36" t="inlineStr">
        <is>
          <t>Mani &amp; pedi</t>
        </is>
      </c>
      <c r="C17" s="32">
        <f>IF(Dashboard!$C$8="","",Dashboard!$C$8-2)</f>
        <v/>
      </c>
      <c r="D17" s="27" t="n"/>
      <c r="E17" s="36" t="n"/>
    </row>
    <row r="18">
      <c r="B18" s="36" t="inlineStr">
        <is>
          <t>Eyelash extensions</t>
        </is>
      </c>
      <c r="C18" s="32">
        <f>IF(Dashboard!$C$8="","",Dashboard!$C$8-1)</f>
        <v/>
      </c>
      <c r="D18" s="27" t="n"/>
      <c r="E18" s="36" t="n"/>
    </row>
    <row r="19">
      <c r="B19" s="36" t="n"/>
      <c r="C19" s="32">
        <f>IF(Dashboard!$C$8="","","")</f>
        <v/>
      </c>
      <c r="D19" s="27" t="n"/>
      <c r="E19" s="36" t="n"/>
    </row>
    <row r="20">
      <c r="B20" s="36" t="n"/>
      <c r="C20" s="32">
        <f>IF(Dashboard!$C$8="","","")</f>
        <v/>
      </c>
      <c r="D20" s="27" t="n"/>
      <c r="E20" s="36" t="n"/>
    </row>
    <row r="21">
      <c r="B21" s="36" t="n"/>
      <c r="C21" s="32">
        <f>IF(Dashboard!$C$8="","","")</f>
        <v/>
      </c>
      <c r="D21" s="27" t="n"/>
      <c r="E21" s="36" t="n"/>
    </row>
    <row r="22">
      <c r="B22" s="36" t="n"/>
      <c r="C22" s="32">
        <f>IF(Dashboard!$C$8="","","")</f>
        <v/>
      </c>
      <c r="D22" s="27" t="n"/>
      <c r="E22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E22"/>
  <mergeCells count="2">
    <mergeCell ref="B1:E1"/>
    <mergeCell ref="B2:E2"/>
  </mergeCells>
  <conditionalFormatting sqref="D9:D22">
    <cfRule type="cellIs" priority="1" operator="equal" dxfId="0">
      <formula>"Done"</formula>
    </cfRule>
    <cfRule type="cellIs" priority="2" operator="equal" dxfId="1">
      <formula>"Not Yet"</formula>
    </cfRule>
  </conditionalFormatting>
  <dataValidations count="1">
    <dataValidation sqref="D9:D22" showDropDown="0" showInputMessage="0" showErrorMessage="0" allowBlank="1" type="list">
      <formula1>"Done,Not Yet"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D4B483"/>
    <outlinePr summaryBelow="1" summaryRight="1"/>
    <pageSetUpPr fitToPage="1"/>
  </sheetPr>
  <dimension ref="B1:I36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16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B1" s="1" t="inlineStr">
        <is>
          <t>🎨  COLOR PALETTE &amp; THEME</t>
        </is>
      </c>
      <c r="C1" s="2" t="n"/>
      <c r="D1" s="2" t="n"/>
      <c r="E1" s="2" t="n"/>
      <c r="F1" s="2" t="n"/>
      <c r="G1" s="2" t="n"/>
      <c r="H1" s="2" t="n"/>
      <c r="I1" s="3" t="n"/>
    </row>
    <row r="2" ht="15" customHeight="1">
      <c r="B2" s="4" t="inlineStr">
        <is>
          <t>Swatches, keywords and materials that define the look</t>
        </is>
      </c>
      <c r="C2" s="2" t="n"/>
      <c r="D2" s="2" t="n"/>
      <c r="E2" s="2" t="n"/>
      <c r="F2" s="2" t="n"/>
      <c r="G2" s="2" t="n"/>
      <c r="H2" s="2" t="n"/>
      <c r="I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5" ht="20" customHeight="1">
      <c r="B5" s="6" t="inlineStr">
        <is>
          <t>THE PALETTE — recolour any swatch to suit you</t>
        </is>
      </c>
      <c r="C5" s="7" t="n"/>
      <c r="D5" s="7" t="n"/>
      <c r="E5" s="7" t="n"/>
      <c r="F5" s="7" t="n"/>
      <c r="G5" s="7" t="n"/>
      <c r="H5" s="7" t="n"/>
      <c r="I5" s="7" t="n"/>
    </row>
    <row r="6" ht="30" customHeight="1">
      <c r="B6" s="21" t="n"/>
      <c r="C6" s="22" t="n"/>
      <c r="D6" s="23" t="n"/>
      <c r="E6" s="24" t="n"/>
      <c r="F6" s="25" t="n"/>
      <c r="G6" s="53" t="n"/>
      <c r="H6" s="26" t="n"/>
      <c r="I6" s="54" t="n"/>
    </row>
    <row r="7">
      <c r="B7" s="27" t="inlineStr">
        <is>
          <t>Blush</t>
        </is>
      </c>
      <c r="C7" s="27" t="inlineStr">
        <is>
          <t>Dusty rose</t>
        </is>
      </c>
      <c r="D7" s="27" t="inlineStr">
        <is>
          <t>Rose gold</t>
        </is>
      </c>
      <c r="E7" s="27" t="inlineStr">
        <is>
          <t>Sage</t>
        </is>
      </c>
      <c r="F7" s="27" t="inlineStr">
        <is>
          <t>Gold</t>
        </is>
      </c>
      <c r="G7" s="27" t="inlineStr">
        <is>
          <t>Champagne</t>
        </is>
      </c>
      <c r="H7" s="27" t="inlineStr">
        <is>
          <t>Ivory</t>
        </is>
      </c>
      <c r="I7" s="27" t="inlineStr">
        <is>
          <t>Plum</t>
        </is>
      </c>
    </row>
    <row r="8">
      <c r="B8" s="27" t="inlineStr">
        <is>
          <t>Bridesmaid dresses</t>
        </is>
      </c>
      <c r="C8" s="27" t="inlineStr">
        <is>
          <t>Linens</t>
        </is>
      </c>
      <c r="D8" s="27" t="inlineStr">
        <is>
          <t>Stationery foil</t>
        </is>
      </c>
      <c r="E8" s="27" t="inlineStr">
        <is>
          <t>Greenery</t>
        </is>
      </c>
      <c r="F8" s="27" t="inlineStr">
        <is>
          <t>Candle holders</t>
        </is>
      </c>
      <c r="G8" s="27" t="inlineStr">
        <is>
          <t>Cake details</t>
        </is>
      </c>
      <c r="H8" s="27" t="inlineStr">
        <is>
          <t>Tablecloths</t>
        </is>
      </c>
      <c r="I8" s="27" t="inlineStr">
        <is>
          <t>Accent signage</t>
        </is>
      </c>
    </row>
    <row r="9">
      <c r="B9" s="28" t="inlineStr">
        <is>
          <t>↑ colour name</t>
        </is>
      </c>
    </row>
    <row r="10">
      <c r="B10" s="28" t="inlineStr">
        <is>
          <t>↑ where it's used</t>
        </is>
      </c>
    </row>
    <row r="12" ht="20" customHeight="1">
      <c r="B12" s="6" t="inlineStr">
        <is>
          <t>THEME KEYWORDS</t>
        </is>
      </c>
      <c r="C12" s="7" t="n"/>
      <c r="D12" s="7" t="n"/>
      <c r="E12" s="7" t="n"/>
      <c r="F12" s="7" t="n"/>
      <c r="G12" s="7" t="n"/>
      <c r="H12" s="7" t="n"/>
      <c r="I12" s="7" t="n"/>
    </row>
    <row r="13" ht="26" customHeight="1">
      <c r="B13" s="35" t="inlineStr">
        <is>
          <t>Keyword</t>
        </is>
      </c>
      <c r="C13" s="35" t="inlineStr">
        <is>
          <t>Use it for</t>
        </is>
      </c>
    </row>
    <row r="14">
      <c r="B14" s="36" t="inlineStr">
        <is>
          <t>Garden party</t>
        </is>
      </c>
      <c r="C14" s="36" t="inlineStr">
        <is>
          <t>Florals, arch, stationery borders</t>
        </is>
      </c>
    </row>
    <row r="15">
      <c r="B15" s="36" t="inlineStr">
        <is>
          <t>Heirloom</t>
        </is>
      </c>
      <c r="C15" s="36" t="inlineStr">
        <is>
          <t>Rings, cake topper, tableware</t>
        </is>
      </c>
    </row>
    <row r="16">
      <c r="B16" s="36" t="inlineStr">
        <is>
          <t>Candlelit</t>
        </is>
      </c>
      <c r="C16" s="36" t="inlineStr">
        <is>
          <t>Reception lighting, aisle glow</t>
        </is>
      </c>
    </row>
    <row r="17">
      <c r="B17" s="36" t="inlineStr">
        <is>
          <t>Organic</t>
        </is>
      </c>
      <c r="C17" s="36" t="inlineStr">
        <is>
          <t>Loose arrangements, flowing ribbon</t>
        </is>
      </c>
    </row>
    <row r="18">
      <c r="B18" s="36" t="n"/>
      <c r="C18" s="36" t="n"/>
    </row>
    <row r="19">
      <c r="B19" s="36" t="n"/>
      <c r="C19" s="36" t="n"/>
    </row>
    <row r="20">
      <c r="B20" s="36" t="n"/>
      <c r="C20" s="36" t="n"/>
    </row>
    <row r="21" ht="20" customHeight="1">
      <c r="B21" s="55" t="inlineStr">
        <is>
          <t>TEXTURES &amp; MATERIALS</t>
        </is>
      </c>
      <c r="C21" s="56" t="n"/>
      <c r="D21" s="56" t="n"/>
      <c r="E21" s="56" t="n"/>
      <c r="F21" s="56" t="n"/>
      <c r="G21" s="56" t="n"/>
      <c r="H21" s="56" t="n"/>
      <c r="I21" s="56" t="n"/>
    </row>
    <row r="22" ht="26" customHeight="1">
      <c r="B22" s="35" t="inlineStr">
        <is>
          <t>Material</t>
        </is>
      </c>
      <c r="C22" s="35" t="inlineStr">
        <is>
          <t>Where it appears</t>
        </is>
      </c>
    </row>
    <row r="23">
      <c r="B23" s="36" t="inlineStr">
        <is>
          <t>Linen</t>
        </is>
      </c>
      <c r="C23" s="36" t="inlineStr">
        <is>
          <t>Tablecloths &amp; napkins</t>
        </is>
      </c>
    </row>
    <row r="24">
      <c r="B24" s="36" t="inlineStr">
        <is>
          <t>Velvet</t>
        </is>
      </c>
      <c r="C24" s="36" t="inlineStr">
        <is>
          <t>Ribbon on bouquets</t>
        </is>
      </c>
    </row>
    <row r="25">
      <c r="B25" s="36" t="inlineStr">
        <is>
          <t>Brass</t>
        </is>
      </c>
      <c r="C25" s="36" t="inlineStr">
        <is>
          <t>Candlesticks &amp; arch detail</t>
        </is>
      </c>
    </row>
    <row r="26">
      <c r="B26" s="36" t="inlineStr">
        <is>
          <t>Handmade paper</t>
        </is>
      </c>
      <c r="C26" s="36" t="inlineStr">
        <is>
          <t>Menus &amp; place cards</t>
        </is>
      </c>
    </row>
    <row r="27">
      <c r="B27" s="36" t="n"/>
      <c r="C27" s="36" t="n"/>
    </row>
    <row r="28">
      <c r="B28" s="36" t="n"/>
      <c r="C28" s="36" t="n"/>
    </row>
    <row r="29">
      <c r="B29" s="36" t="n"/>
      <c r="C29" s="36" t="n"/>
    </row>
    <row r="30" ht="20" customHeight="1">
      <c r="B30" s="55" t="inlineStr">
        <is>
          <t>DESIGN NOTES</t>
        </is>
      </c>
      <c r="C30" s="56" t="n"/>
      <c r="D30" s="56" t="n"/>
      <c r="E30" s="56" t="n"/>
      <c r="F30" s="56" t="n"/>
      <c r="G30" s="56" t="n"/>
      <c r="H30" s="56" t="n"/>
      <c r="I30" s="56" t="n"/>
    </row>
    <row r="31">
      <c r="B31" s="39" t="inlineStr">
        <is>
          <t>Keep ceremony décor low so it never blocks the mountain view…</t>
        </is>
      </c>
      <c r="C31" s="40" t="n"/>
      <c r="D31" s="40" t="n"/>
      <c r="E31" s="40" t="n"/>
      <c r="F31" s="40" t="n"/>
      <c r="G31" s="40" t="n"/>
      <c r="H31" s="40" t="n"/>
      <c r="I31" s="40" t="n"/>
    </row>
    <row r="32">
      <c r="B32" s="40" t="n"/>
      <c r="C32" s="40" t="n"/>
      <c r="D32" s="40" t="n"/>
      <c r="E32" s="40" t="n"/>
      <c r="F32" s="40" t="n"/>
      <c r="G32" s="40" t="n"/>
      <c r="H32" s="40" t="n"/>
      <c r="I32" s="40" t="n"/>
    </row>
    <row r="33">
      <c r="B33" s="40" t="n"/>
      <c r="C33" s="40" t="n"/>
      <c r="D33" s="40" t="n"/>
      <c r="E33" s="40" t="n"/>
      <c r="F33" s="40" t="n"/>
      <c r="G33" s="40" t="n"/>
      <c r="H33" s="40" t="n"/>
      <c r="I33" s="40" t="n"/>
    </row>
    <row r="34">
      <c r="B34" s="40" t="n"/>
      <c r="C34" s="40" t="n"/>
      <c r="D34" s="40" t="n"/>
      <c r="E34" s="40" t="n"/>
      <c r="F34" s="40" t="n"/>
      <c r="G34" s="40" t="n"/>
      <c r="H34" s="40" t="n"/>
      <c r="I34" s="40" t="n"/>
    </row>
    <row r="35">
      <c r="B35" s="40" t="n"/>
      <c r="C35" s="40" t="n"/>
      <c r="D35" s="40" t="n"/>
      <c r="E35" s="40" t="n"/>
      <c r="F35" s="40" t="n"/>
      <c r="G35" s="40" t="n"/>
      <c r="H35" s="40" t="n"/>
      <c r="I35" s="40" t="n"/>
    </row>
    <row r="36">
      <c r="B36" s="40" t="n"/>
      <c r="C36" s="40" t="n"/>
      <c r="D36" s="40" t="n"/>
      <c r="E36" s="40" t="n"/>
      <c r="F36" s="40" t="n"/>
      <c r="G36" s="40" t="n"/>
      <c r="H36" s="40" t="n"/>
      <c r="I36" s="4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mergeCells count="7">
    <mergeCell ref="B12:I12"/>
    <mergeCell ref="B21:I21"/>
    <mergeCell ref="B30:I30"/>
    <mergeCell ref="B31:I36"/>
    <mergeCell ref="B2:I2"/>
    <mergeCell ref="B5:I5"/>
    <mergeCell ref="B1:I1"/>
  </mergeCell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D4B483"/>
    <outlinePr summaryBelow="1" summaryRight="1"/>
    <pageSetUpPr fitToPage="1"/>
  </sheetPr>
  <dimension ref="B1:I25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2" customWidth="1" min="2" max="2"/>
    <col width="28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</cols>
  <sheetData>
    <row r="1" ht="30" customHeight="1">
      <c r="B1" s="1" t="inlineStr">
        <is>
          <t>🌸  FLORAL ARRANGEMENT PLANNER</t>
        </is>
      </c>
      <c r="C1" s="2" t="n"/>
      <c r="D1" s="2" t="n"/>
      <c r="E1" s="2" t="n"/>
      <c r="F1" s="2" t="n"/>
      <c r="G1" s="2" t="n"/>
      <c r="H1" s="2" t="n"/>
      <c r="I1" s="3" t="n"/>
    </row>
    <row r="2" ht="15" customHeight="1">
      <c r="B2" s="4" t="inlineStr">
        <is>
          <t>Bouquets, ceremony flowers, centerpieces &amp; costs</t>
        </is>
      </c>
      <c r="C2" s="2" t="n"/>
      <c r="D2" s="2" t="n"/>
      <c r="E2" s="2" t="n"/>
      <c r="F2" s="2" t="n"/>
      <c r="G2" s="2" t="n"/>
      <c r="H2" s="2" t="n"/>
      <c r="I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Arrangement</t>
        </is>
      </c>
      <c r="C8" s="35" t="inlineStr">
        <is>
          <t>Flowers / details</t>
        </is>
      </c>
      <c r="D8" s="35" t="inlineStr">
        <is>
          <t>Qty</t>
        </is>
      </c>
      <c r="E8" s="35" t="inlineStr">
        <is>
          <t>Est. each</t>
        </is>
      </c>
      <c r="F8" s="35" t="inlineStr">
        <is>
          <t>Est. total 🔒</t>
        </is>
      </c>
      <c r="G8" s="35" t="inlineStr">
        <is>
          <t>Actual</t>
        </is>
      </c>
      <c r="H8" s="35" t="inlineStr">
        <is>
          <t>Variance 🔒</t>
        </is>
      </c>
      <c r="I8" s="35" t="inlineStr">
        <is>
          <t>Notes</t>
        </is>
      </c>
    </row>
    <row r="9">
      <c r="B9" s="36" t="inlineStr">
        <is>
          <t>Bridal bouquet</t>
        </is>
      </c>
      <c r="C9" s="36" t="inlineStr">
        <is>
          <t>Garden roses, ranunculus, trailing ribbon</t>
        </is>
      </c>
      <c r="D9" s="27" t="n">
        <v>1</v>
      </c>
      <c r="E9" s="45" t="n">
        <v>180</v>
      </c>
      <c r="F9" s="29">
        <f>IF(OR($D9="",$E9=""),"",$D9*$E9)</f>
        <v/>
      </c>
      <c r="G9" s="45" t="n"/>
      <c r="H9" s="29">
        <f>IF($G9="","",$G9-N($F9))</f>
        <v/>
      </c>
      <c r="I9" s="36" t="n"/>
    </row>
    <row r="10">
      <c r="B10" s="36" t="inlineStr">
        <is>
          <t>Bridesmaid bouquets</t>
        </is>
      </c>
      <c r="C10" s="36" t="inlineStr">
        <is>
          <t>Smaller version of bridal</t>
        </is>
      </c>
      <c r="D10" s="27" t="n">
        <v>4</v>
      </c>
      <c r="E10" s="45" t="n">
        <v>65</v>
      </c>
      <c r="F10" s="29">
        <f>IF(OR($D10="",$E10=""),"",$D10*$E10)</f>
        <v/>
      </c>
      <c r="G10" s="45" t="n"/>
      <c r="H10" s="29">
        <f>IF($G10="","",$G10-N($F10))</f>
        <v/>
      </c>
      <c r="I10" s="36" t="n"/>
    </row>
    <row r="11">
      <c r="B11" s="36" t="inlineStr">
        <is>
          <t>Boutonnieres</t>
        </is>
      </c>
      <c r="C11" s="36" t="inlineStr">
        <is>
          <t>Spray rose &amp; greenery</t>
        </is>
      </c>
      <c r="D11" s="27" t="n">
        <v>8</v>
      </c>
      <c r="E11" s="45" t="n">
        <v>12</v>
      </c>
      <c r="F11" s="29">
        <f>IF(OR($D11="",$E11=""),"",$D11*$E11)</f>
        <v/>
      </c>
      <c r="G11" s="45" t="n"/>
      <c r="H11" s="29">
        <f>IF($G11="","",$G11-N($F11))</f>
        <v/>
      </c>
      <c r="I11" s="36" t="n"/>
    </row>
    <row r="12">
      <c r="B12" s="36" t="inlineStr">
        <is>
          <t>Corsages</t>
        </is>
      </c>
      <c r="C12" s="36" t="inlineStr">
        <is>
          <t>Grandmothers &amp; mothers</t>
        </is>
      </c>
      <c r="D12" s="27" t="n">
        <v>4</v>
      </c>
      <c r="E12" s="45" t="n">
        <v>18</v>
      </c>
      <c r="F12" s="29">
        <f>IF(OR($D12="",$E12=""),"",$D12*$E12)</f>
        <v/>
      </c>
      <c r="G12" s="45" t="n"/>
      <c r="H12" s="29">
        <f>IF($G12="","",$G12-N($F12))</f>
        <v/>
      </c>
      <c r="I12" s="36" t="n"/>
    </row>
    <row r="13">
      <c r="B13" s="36" t="inlineStr">
        <is>
          <t>Ceremony arch</t>
        </is>
      </c>
      <c r="C13" s="36" t="inlineStr">
        <is>
          <t>Organic asymmetric install</t>
        </is>
      </c>
      <c r="D13" s="27" t="n">
        <v>1</v>
      </c>
      <c r="E13" s="45" t="n">
        <v>850</v>
      </c>
      <c r="F13" s="29">
        <f>IF(OR($D13="",$E13=""),"",$D13*$E13)</f>
        <v/>
      </c>
      <c r="G13" s="45" t="n"/>
      <c r="H13" s="29">
        <f>IF($G13="","",$G13-N($F13))</f>
        <v/>
      </c>
      <c r="I13" s="36" t="n"/>
    </row>
    <row r="14">
      <c r="B14" s="36" t="inlineStr">
        <is>
          <t>Aisle arrangements</t>
        </is>
      </c>
      <c r="C14" s="36" t="inlineStr">
        <is>
          <t>Mason jar posies on shepherd hooks</t>
        </is>
      </c>
      <c r="D14" s="27" t="n">
        <v>10</v>
      </c>
      <c r="E14" s="45" t="n">
        <v>35</v>
      </c>
      <c r="F14" s="29">
        <f>IF(OR($D14="",$E14=""),"",$D14*$E14)</f>
        <v/>
      </c>
      <c r="G14" s="45" t="n"/>
      <c r="H14" s="29">
        <f>IF($G14="","",$G14-N($F14))</f>
        <v/>
      </c>
      <c r="I14" s="36" t="n"/>
    </row>
    <row r="15">
      <c r="B15" s="36" t="inlineStr">
        <is>
          <t>Centerpieces</t>
        </is>
      </c>
      <c r="C15" s="36" t="inlineStr">
        <is>
          <t>Low compote + candles</t>
        </is>
      </c>
      <c r="D15" s="27" t="n">
        <v>14</v>
      </c>
      <c r="E15" s="45" t="n">
        <v>55</v>
      </c>
      <c r="F15" s="29">
        <f>IF(OR($D15="",$E15=""),"",$D15*$E15)</f>
        <v/>
      </c>
      <c r="G15" s="45" t="n"/>
      <c r="H15" s="29">
        <f>IF($G15="","",$G15-N($F15))</f>
        <v/>
      </c>
      <c r="I15" s="36" t="n"/>
    </row>
    <row r="16">
      <c r="B16" s="36" t="inlineStr">
        <is>
          <t>Cake flowers</t>
        </is>
      </c>
      <c r="C16" s="36" t="inlineStr">
        <is>
          <t>Fresh blooms for tiers</t>
        </is>
      </c>
      <c r="D16" s="27" t="n">
        <v>1</v>
      </c>
      <c r="E16" s="45" t="n">
        <v>45</v>
      </c>
      <c r="F16" s="29">
        <f>IF(OR($D16="",$E16=""),"",$D16*$E16)</f>
        <v/>
      </c>
      <c r="G16" s="45" t="n"/>
      <c r="H16" s="29">
        <f>IF($G16="","",$G16-N($F16))</f>
        <v/>
      </c>
      <c r="I16" s="36" t="n"/>
    </row>
    <row r="17">
      <c r="B17" s="36" t="inlineStr">
        <is>
          <t>Flower girl petals</t>
        </is>
      </c>
      <c r="C17" s="36" t="inlineStr">
        <is>
          <t>Blush freeze-dried petals</t>
        </is>
      </c>
      <c r="D17" s="27" t="n">
        <v>2</v>
      </c>
      <c r="E17" s="45" t="n">
        <v>15</v>
      </c>
      <c r="F17" s="29">
        <f>IF(OR($D17="",$E17=""),"",$D17*$E17)</f>
        <v/>
      </c>
      <c r="G17" s="45" t="n"/>
      <c r="H17" s="29">
        <f>IF($G17="","",$G17-N($F17))</f>
        <v/>
      </c>
      <c r="I17" s="36" t="n"/>
    </row>
    <row r="18">
      <c r="B18" s="36" t="inlineStr">
        <is>
          <t>Extra greenery</t>
        </is>
      </c>
      <c r="C18" s="36" t="inlineStr">
        <is>
          <t>Eucalyptus bunches for signage</t>
        </is>
      </c>
      <c r="D18" s="27" t="n">
        <v>6</v>
      </c>
      <c r="E18" s="45" t="n">
        <v>12</v>
      </c>
      <c r="F18" s="29">
        <f>IF(OR($D18="",$E18=""),"",$D18*$E18)</f>
        <v/>
      </c>
      <c r="G18" s="45" t="n"/>
      <c r="H18" s="29">
        <f>IF($G18="","",$G18-N($F18))</f>
        <v/>
      </c>
      <c r="I18" s="36" t="n"/>
    </row>
    <row r="19">
      <c r="B19" s="36" t="n"/>
      <c r="C19" s="36" t="n"/>
      <c r="D19" s="27" t="n"/>
      <c r="E19" s="45" t="n"/>
      <c r="F19" s="29">
        <f>IF(OR($D19="",$E19=""),"",$D19*$E19)</f>
        <v/>
      </c>
      <c r="G19" s="45" t="n"/>
      <c r="H19" s="29">
        <f>IF($G19="","",$G19-N($F19))</f>
        <v/>
      </c>
      <c r="I19" s="36" t="n"/>
    </row>
    <row r="20">
      <c r="B20" s="36" t="n"/>
      <c r="C20" s="36" t="n"/>
      <c r="D20" s="27" t="n"/>
      <c r="E20" s="45" t="n"/>
      <c r="F20" s="29">
        <f>IF(OR($D20="",$E20=""),"",$D20*$E20)</f>
        <v/>
      </c>
      <c r="G20" s="45" t="n"/>
      <c r="H20" s="29">
        <f>IF($G20="","",$G20-N($F20))</f>
        <v/>
      </c>
      <c r="I20" s="36" t="n"/>
    </row>
    <row r="21">
      <c r="B21" s="36" t="n"/>
      <c r="C21" s="36" t="n"/>
      <c r="D21" s="27" t="n"/>
      <c r="E21" s="45" t="n"/>
      <c r="F21" s="29">
        <f>IF(OR($D21="",$E21=""),"",$D21*$E21)</f>
        <v/>
      </c>
      <c r="G21" s="45" t="n"/>
      <c r="H21" s="29">
        <f>IF($G21="","",$G21-N($F21))</f>
        <v/>
      </c>
      <c r="I21" s="36" t="n"/>
    </row>
    <row r="22">
      <c r="B22" s="36" t="n"/>
      <c r="C22" s="36" t="n"/>
      <c r="D22" s="27" t="n"/>
      <c r="E22" s="45" t="n"/>
      <c r="F22" s="29">
        <f>IF(OR($D22="",$E22=""),"",$D22*$E22)</f>
        <v/>
      </c>
      <c r="G22" s="45" t="n"/>
      <c r="H22" s="29">
        <f>IF($G22="","",$G22-N($F22))</f>
        <v/>
      </c>
      <c r="I22" s="36" t="n"/>
    </row>
    <row r="23">
      <c r="B23" s="36" t="n"/>
      <c r="C23" s="36" t="n"/>
      <c r="D23" s="27" t="n"/>
      <c r="E23" s="45" t="n"/>
      <c r="F23" s="29">
        <f>IF(OR($D23="",$E23=""),"",$D23*$E23)</f>
        <v/>
      </c>
      <c r="G23" s="45" t="n"/>
      <c r="H23" s="29">
        <f>IF($G23="","",$G23-N($F23))</f>
        <v/>
      </c>
      <c r="I23" s="36" t="n"/>
    </row>
    <row r="24">
      <c r="B24" s="36" t="n"/>
      <c r="C24" s="36" t="n"/>
      <c r="D24" s="27" t="n"/>
      <c r="E24" s="45" t="n"/>
      <c r="F24" s="29">
        <f>IF(OR($D24="",$E24=""),"",$D24*$E24)</f>
        <v/>
      </c>
      <c r="G24" s="45" t="n"/>
      <c r="H24" s="29">
        <f>IF($G24="","",$G24-N($F24))</f>
        <v/>
      </c>
      <c r="I24" s="36" t="n"/>
    </row>
    <row r="25">
      <c r="B25" s="42" t="inlineStr">
        <is>
          <t>TOTAL</t>
        </is>
      </c>
      <c r="C25" s="42" t="n"/>
      <c r="D25" s="42" t="n"/>
      <c r="E25" s="42" t="n"/>
      <c r="F25" s="46">
        <f>SUM(F9:F24)</f>
        <v/>
      </c>
      <c r="G25" s="46">
        <f>SUM(G9:G24)</f>
        <v/>
      </c>
      <c r="H25" s="46">
        <f>SUM(H9:H24)</f>
        <v/>
      </c>
      <c r="I25" s="4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I24"/>
  <mergeCells count="2">
    <mergeCell ref="B1:I1"/>
    <mergeCell ref="B2:I2"/>
  </mergeCell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D4B483"/>
    <outlinePr summaryBelow="1" summaryRight="1"/>
    <pageSetUpPr fitToPage="1"/>
  </sheetPr>
  <dimension ref="B1:G24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4" customWidth="1" min="2" max="2"/>
    <col width="22" customWidth="1" min="3" max="3"/>
    <col width="14" customWidth="1" min="4" max="4"/>
    <col width="14" customWidth="1" min="5" max="5"/>
    <col width="14" customWidth="1" min="6" max="6"/>
    <col width="24" customWidth="1" min="7" max="7"/>
  </cols>
  <sheetData>
    <row r="1" ht="30" customHeight="1">
      <c r="B1" s="1" t="inlineStr">
        <is>
          <t>⛪  CEREMONY DÉCOR CHECKLIST</t>
        </is>
      </c>
      <c r="C1" s="2" t="n"/>
      <c r="D1" s="2" t="n"/>
      <c r="E1" s="2" t="n"/>
      <c r="F1" s="2" t="n"/>
      <c r="G1" s="3" t="n"/>
    </row>
    <row r="2" ht="15" customHeight="1">
      <c r="B2" s="4" t="inlineStr">
        <is>
          <t>Arch, aisle, signage &amp; programs</t>
        </is>
      </c>
      <c r="C2" s="2" t="n"/>
      <c r="D2" s="2" t="n"/>
      <c r="E2" s="2" t="n"/>
      <c r="F2" s="2" t="n"/>
      <c r="G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Item</t>
        </is>
      </c>
      <c r="C8" s="35" t="inlineStr">
        <is>
          <t>Vendor / owner</t>
        </is>
      </c>
      <c r="D8" s="35" t="inlineStr">
        <is>
          <t>Est. cost</t>
        </is>
      </c>
      <c r="E8" s="35" t="inlineStr">
        <is>
          <t>Actual cost</t>
        </is>
      </c>
      <c r="F8" s="35" t="inlineStr">
        <is>
          <t>Done?</t>
        </is>
      </c>
      <c r="G8" s="35" t="inlineStr">
        <is>
          <t>Notes</t>
        </is>
      </c>
    </row>
    <row r="9">
      <c r="B9" s="36" t="inlineStr">
        <is>
          <t>Arbor / arch</t>
        </is>
      </c>
      <c r="C9" s="36" t="inlineStr">
        <is>
          <t>Bloom &amp; Twine</t>
        </is>
      </c>
      <c r="D9" s="45" t="n">
        <v>850</v>
      </c>
      <c r="E9" s="45" t="n"/>
      <c r="F9" s="27" t="n"/>
      <c r="G9" s="36" t="n"/>
    </row>
    <row r="10">
      <c r="B10" s="36" t="inlineStr">
        <is>
          <t>Aisle markers</t>
        </is>
      </c>
      <c r="C10" s="36" t="inlineStr">
        <is>
          <t>Bloom &amp; Twine</t>
        </is>
      </c>
      <c r="D10" s="45" t="n">
        <v>350</v>
      </c>
      <c r="E10" s="45" t="n"/>
      <c r="F10" s="27" t="n"/>
      <c r="G10" s="36" t="n"/>
    </row>
    <row r="11">
      <c r="B11" s="36" t="inlineStr">
        <is>
          <t>Aisle runner</t>
        </is>
      </c>
      <c r="C11" s="36" t="inlineStr">
        <is>
          <t>Rentals</t>
        </is>
      </c>
      <c r="D11" s="45" t="n">
        <v>60</v>
      </c>
      <c r="E11" s="45" t="n"/>
      <c r="F11" s="27" t="n"/>
      <c r="G11" s="36" t="n"/>
    </row>
    <row r="12">
      <c r="B12" s="36" t="inlineStr">
        <is>
          <t>Welcome sign</t>
        </is>
      </c>
      <c r="C12" s="36" t="inlineStr">
        <is>
          <t>Handmade paper co.</t>
        </is>
      </c>
      <c r="D12" s="45" t="n">
        <v>120</v>
      </c>
      <c r="E12" s="45" t="n"/>
      <c r="F12" s="27" t="n"/>
      <c r="G12" s="36" t="n"/>
    </row>
    <row r="13">
      <c r="B13" s="36" t="inlineStr">
        <is>
          <t>Program table</t>
        </is>
      </c>
      <c r="C13" s="36" t="n"/>
      <c r="D13" s="45" t="n">
        <v>40</v>
      </c>
      <c r="E13" s="45" t="n"/>
      <c r="F13" s="27" t="n"/>
      <c r="G13" s="36" t="n"/>
    </row>
    <row r="14">
      <c r="B14" s="36" t="inlineStr">
        <is>
          <t>Guest book &amp; pen</t>
        </is>
      </c>
      <c r="C14" s="36" t="n"/>
      <c r="D14" s="45" t="n">
        <v>55</v>
      </c>
      <c r="E14" s="45" t="n"/>
      <c r="F14" s="27" t="n"/>
      <c r="G14" s="36" t="n"/>
    </row>
    <row r="15">
      <c r="B15" s="36" t="inlineStr">
        <is>
          <t>Candles &amp; lanterns</t>
        </is>
      </c>
      <c r="C15" s="36" t="inlineStr">
        <is>
          <t>Party Perfect Rentals</t>
        </is>
      </c>
      <c r="D15" s="45" t="n">
        <v>90</v>
      </c>
      <c r="E15" s="45" t="n"/>
      <c r="F15" s="27" t="n"/>
      <c r="G15" s="36" t="n"/>
    </row>
    <row r="16">
      <c r="B16" s="36" t="inlineStr">
        <is>
          <t>Entrance florals</t>
        </is>
      </c>
      <c r="C16" s="36" t="inlineStr">
        <is>
          <t>Bloom &amp; Twine</t>
        </is>
      </c>
      <c r="D16" s="45" t="n">
        <v>150</v>
      </c>
      <c r="E16" s="45" t="n"/>
      <c r="F16" s="27" t="n"/>
      <c r="G16" s="36" t="n"/>
    </row>
    <row r="17">
      <c r="B17" s="36" t="inlineStr">
        <is>
          <t>Unity ceremony setup</t>
        </is>
      </c>
      <c r="C17" s="36" t="n"/>
      <c r="D17" s="45" t="n">
        <v>25</v>
      </c>
      <c r="E17" s="45" t="n"/>
      <c r="F17" s="27" t="n"/>
      <c r="G17" s="36" t="n"/>
    </row>
    <row r="18">
      <c r="B18" s="36" t="n"/>
      <c r="C18" s="36" t="n"/>
      <c r="D18" s="45" t="n"/>
      <c r="E18" s="45" t="n"/>
      <c r="F18" s="27" t="n"/>
      <c r="G18" s="36" t="n"/>
    </row>
    <row r="19">
      <c r="B19" s="36" t="n"/>
      <c r="C19" s="36" t="n"/>
      <c r="D19" s="45" t="n"/>
      <c r="E19" s="45" t="n"/>
      <c r="F19" s="27" t="n"/>
      <c r="G19" s="36" t="n"/>
    </row>
    <row r="20">
      <c r="B20" s="36" t="n"/>
      <c r="C20" s="36" t="n"/>
      <c r="D20" s="45" t="n"/>
      <c r="E20" s="45" t="n"/>
      <c r="F20" s="27" t="n"/>
      <c r="G20" s="36" t="n"/>
    </row>
    <row r="21">
      <c r="B21" s="36" t="n"/>
      <c r="C21" s="36" t="n"/>
      <c r="D21" s="45" t="n"/>
      <c r="E21" s="45" t="n"/>
      <c r="F21" s="27" t="n"/>
      <c r="G21" s="36" t="n"/>
    </row>
    <row r="22">
      <c r="B22" s="36" t="n"/>
      <c r="C22" s="36" t="n"/>
      <c r="D22" s="45" t="n"/>
      <c r="E22" s="45" t="n"/>
      <c r="F22" s="27" t="n"/>
      <c r="G22" s="36" t="n"/>
    </row>
    <row r="23">
      <c r="B23" s="36" t="n"/>
      <c r="C23" s="36" t="n"/>
      <c r="D23" s="45" t="n"/>
      <c r="E23" s="45" t="n"/>
      <c r="F23" s="27" t="n"/>
      <c r="G23" s="36" t="n"/>
    </row>
    <row r="24">
      <c r="B24" s="42" t="inlineStr">
        <is>
          <t>TOTAL</t>
        </is>
      </c>
      <c r="C24" s="42" t="n"/>
      <c r="D24" s="46">
        <f>SUM(D9:D23)</f>
        <v/>
      </c>
      <c r="E24" s="46">
        <f>SUM(E9:E23)</f>
        <v/>
      </c>
      <c r="F24" s="42" t="n"/>
      <c r="G24" s="4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G23"/>
  <mergeCells count="2">
    <mergeCell ref="B2:G2"/>
    <mergeCell ref="B1:G1"/>
  </mergeCells>
  <conditionalFormatting sqref="F9:F23">
    <cfRule type="cellIs" priority="1" operator="equal" dxfId="0">
      <formula>"Done"</formula>
    </cfRule>
    <cfRule type="cellIs" priority="2" operator="equal" dxfId="1">
      <formula>"Not Yet"</formula>
    </cfRule>
  </conditionalFormatting>
  <dataValidations count="1">
    <dataValidation sqref="F9:F23" showDropDown="0" showInputMessage="0" showErrorMessage="0" allowBlank="1" type="list">
      <formula1>"Done,Not Yet"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D4B483"/>
    <outlinePr summaryBelow="1" summaryRight="1"/>
    <pageSetUpPr fitToPage="1"/>
  </sheetPr>
  <dimension ref="B1:G27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4" customWidth="1" min="2" max="2"/>
    <col width="22" customWidth="1" min="3" max="3"/>
    <col width="14" customWidth="1" min="4" max="4"/>
    <col width="14" customWidth="1" min="5" max="5"/>
    <col width="14" customWidth="1" min="6" max="6"/>
    <col width="24" customWidth="1" min="7" max="7"/>
  </cols>
  <sheetData>
    <row r="1" ht="30" customHeight="1">
      <c r="B1" s="1" t="inlineStr">
        <is>
          <t>🥂  RECEPTION DÉCOR CHECKLIST</t>
        </is>
      </c>
      <c r="C1" s="2" t="n"/>
      <c r="D1" s="2" t="n"/>
      <c r="E1" s="2" t="n"/>
      <c r="F1" s="2" t="n"/>
      <c r="G1" s="3" t="n"/>
    </row>
    <row r="2" ht="15" customHeight="1">
      <c r="B2" s="4" t="inlineStr">
        <is>
          <t>Centerpieces, lighting, draping &amp; backdrop</t>
        </is>
      </c>
      <c r="C2" s="2" t="n"/>
      <c r="D2" s="2" t="n"/>
      <c r="E2" s="2" t="n"/>
      <c r="F2" s="2" t="n"/>
      <c r="G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Item</t>
        </is>
      </c>
      <c r="C8" s="35" t="inlineStr">
        <is>
          <t>Vendor / owner</t>
        </is>
      </c>
      <c r="D8" s="35" t="inlineStr">
        <is>
          <t>Est. cost</t>
        </is>
      </c>
      <c r="E8" s="35" t="inlineStr">
        <is>
          <t>Actual cost</t>
        </is>
      </c>
      <c r="F8" s="35" t="inlineStr">
        <is>
          <t>Done?</t>
        </is>
      </c>
      <c r="G8" s="35" t="inlineStr">
        <is>
          <t>Notes</t>
        </is>
      </c>
    </row>
    <row r="9">
      <c r="B9" s="36" t="inlineStr">
        <is>
          <t>Centerpieces</t>
        </is>
      </c>
      <c r="C9" s="36" t="inlineStr">
        <is>
          <t>Bloom &amp; Twine</t>
        </is>
      </c>
      <c r="D9" s="45" t="n">
        <v>770</v>
      </c>
      <c r="E9" s="45" t="n"/>
      <c r="F9" s="27" t="n"/>
      <c r="G9" s="36" t="n"/>
    </row>
    <row r="10">
      <c r="B10" s="36" t="inlineStr">
        <is>
          <t>Table numbers</t>
        </is>
      </c>
      <c r="C10" s="36" t="inlineStr">
        <is>
          <t>Handmade paper co.</t>
        </is>
      </c>
      <c r="D10" s="45" t="n">
        <v>45</v>
      </c>
      <c r="E10" s="45" t="n"/>
      <c r="F10" s="27" t="n"/>
      <c r="G10" s="36" t="n"/>
    </row>
    <row r="11">
      <c r="B11" s="36" t="inlineStr">
        <is>
          <t>Place cards</t>
        </is>
      </c>
      <c r="C11" s="36" t="inlineStr">
        <is>
          <t>Handmade paper co.</t>
        </is>
      </c>
      <c r="D11" s="45" t="n">
        <v>60</v>
      </c>
      <c r="E11" s="45" t="n"/>
      <c r="F11" s="27" t="n"/>
      <c r="G11" s="36" t="n"/>
    </row>
    <row r="12">
      <c r="B12" s="36" t="inlineStr">
        <is>
          <t>Sweetheart table</t>
        </is>
      </c>
      <c r="C12" s="36" t="inlineStr">
        <is>
          <t>DIY</t>
        </is>
      </c>
      <c r="D12" s="45" t="n">
        <v>80</v>
      </c>
      <c r="E12" s="45" t="n"/>
      <c r="F12" s="27" t="n"/>
      <c r="G12" s="36" t="n"/>
    </row>
    <row r="13">
      <c r="B13" s="36" t="inlineStr">
        <is>
          <t>Cake table styling</t>
        </is>
      </c>
      <c r="C13" s="36" t="inlineStr">
        <is>
          <t>DIY</t>
        </is>
      </c>
      <c r="D13" s="45" t="n">
        <v>40</v>
      </c>
      <c r="E13" s="45" t="n"/>
      <c r="F13" s="27" t="n"/>
      <c r="G13" s="36" t="n"/>
    </row>
    <row r="14">
      <c r="B14" s="36" t="inlineStr">
        <is>
          <t>Dessert bar</t>
        </is>
      </c>
      <c r="C14" s="36" t="n"/>
      <c r="D14" s="45" t="n">
        <v>120</v>
      </c>
      <c r="E14" s="45" t="n"/>
      <c r="F14" s="27" t="n"/>
      <c r="G14" s="36" t="n"/>
    </row>
    <row r="15">
      <c r="B15" s="36" t="inlineStr">
        <is>
          <t>String lights / festoons</t>
        </is>
      </c>
      <c r="C15" s="36" t="inlineStr">
        <is>
          <t>Party Perfect Rentals</t>
        </is>
      </c>
      <c r="D15" s="45" t="n">
        <v>220</v>
      </c>
      <c r="E15" s="45" t="n"/>
      <c r="F15" s="27" t="n"/>
      <c r="G15" s="36" t="n"/>
    </row>
    <row r="16">
      <c r="B16" s="36" t="inlineStr">
        <is>
          <t>Draping &amp; backdrop</t>
        </is>
      </c>
      <c r="C16" s="36" t="inlineStr">
        <is>
          <t>Party Perfect Rentals</t>
        </is>
      </c>
      <c r="D16" s="45" t="n">
        <v>350</v>
      </c>
      <c r="E16" s="45" t="n"/>
      <c r="F16" s="27" t="n"/>
      <c r="G16" s="36" t="n"/>
    </row>
    <row r="17">
      <c r="B17" s="36" t="inlineStr">
        <is>
          <t>Photo booth backdrop</t>
        </is>
      </c>
      <c r="C17" s="36" t="n"/>
      <c r="D17" s="45" t="n">
        <v>95</v>
      </c>
      <c r="E17" s="45" t="n"/>
      <c r="F17" s="27" t="n"/>
      <c r="G17" s="36" t="n"/>
    </row>
    <row r="18">
      <c r="B18" s="36" t="inlineStr">
        <is>
          <t>Lounge furniture</t>
        </is>
      </c>
      <c r="C18" s="36" t="inlineStr">
        <is>
          <t>Rentals</t>
        </is>
      </c>
      <c r="D18" s="45" t="n">
        <v>260</v>
      </c>
      <c r="E18" s="45" t="n"/>
      <c r="F18" s="27" t="n"/>
      <c r="G18" s="36" t="n"/>
    </row>
    <row r="19">
      <c r="B19" s="36" t="inlineStr">
        <is>
          <t>Dance floor wrap</t>
        </is>
      </c>
      <c r="C19" s="36" t="n"/>
      <c r="D19" s="45" t="n">
        <v>150</v>
      </c>
      <c r="E19" s="45" t="n"/>
      <c r="F19" s="27" t="n"/>
      <c r="G19" s="36" t="n"/>
    </row>
    <row r="20">
      <c r="B20" s="36" t="inlineStr">
        <is>
          <t>Bar signage</t>
        </is>
      </c>
      <c r="C20" s="36" t="n"/>
      <c r="D20" s="45" t="n">
        <v>35</v>
      </c>
      <c r="E20" s="45" t="n"/>
      <c r="F20" s="27" t="n"/>
      <c r="G20" s="36" t="n"/>
    </row>
    <row r="21">
      <c r="B21" s="36" t="n"/>
      <c r="C21" s="36" t="n"/>
      <c r="D21" s="45" t="n"/>
      <c r="E21" s="45" t="n"/>
      <c r="F21" s="27" t="n"/>
      <c r="G21" s="36" t="n"/>
    </row>
    <row r="22">
      <c r="B22" s="36" t="n"/>
      <c r="C22" s="36" t="n"/>
      <c r="D22" s="45" t="n"/>
      <c r="E22" s="45" t="n"/>
      <c r="F22" s="27" t="n"/>
      <c r="G22" s="36" t="n"/>
    </row>
    <row r="23">
      <c r="B23" s="36" t="n"/>
      <c r="C23" s="36" t="n"/>
      <c r="D23" s="45" t="n"/>
      <c r="E23" s="45" t="n"/>
      <c r="F23" s="27" t="n"/>
      <c r="G23" s="36" t="n"/>
    </row>
    <row r="24">
      <c r="B24" s="36" t="n"/>
      <c r="C24" s="36" t="n"/>
      <c r="D24" s="45" t="n"/>
      <c r="E24" s="45" t="n"/>
      <c r="F24" s="27" t="n"/>
      <c r="G24" s="36" t="n"/>
    </row>
    <row r="25">
      <c r="B25" s="36" t="n"/>
      <c r="C25" s="36" t="n"/>
      <c r="D25" s="45" t="n"/>
      <c r="E25" s="45" t="n"/>
      <c r="F25" s="27" t="n"/>
      <c r="G25" s="36" t="n"/>
    </row>
    <row r="26">
      <c r="B26" s="36" t="n"/>
      <c r="C26" s="36" t="n"/>
      <c r="D26" s="45" t="n"/>
      <c r="E26" s="45" t="n"/>
      <c r="F26" s="27" t="n"/>
      <c r="G26" s="36" t="n"/>
    </row>
    <row r="27">
      <c r="B27" s="42" t="inlineStr">
        <is>
          <t>TOTAL</t>
        </is>
      </c>
      <c r="C27" s="42" t="n"/>
      <c r="D27" s="46">
        <f>SUM(D9:D26)</f>
        <v/>
      </c>
      <c r="E27" s="46">
        <f>SUM(E9:E26)</f>
        <v/>
      </c>
      <c r="F27" s="42" t="n"/>
      <c r="G27" s="4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G26"/>
  <mergeCells count="2">
    <mergeCell ref="B2:G2"/>
    <mergeCell ref="B1:G1"/>
  </mergeCells>
  <conditionalFormatting sqref="F9:F26">
    <cfRule type="cellIs" priority="1" operator="equal" dxfId="0">
      <formula>"Done"</formula>
    </cfRule>
    <cfRule type="cellIs" priority="2" operator="equal" dxfId="1">
      <formula>"Not Yet"</formula>
    </cfRule>
  </conditionalFormatting>
  <dataValidations count="1">
    <dataValidation sqref="F9:F26" showDropDown="0" showInputMessage="0" showErrorMessage="0" allowBlank="1" type="list">
      <formula1>"Done,Not Yet"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D4B483"/>
    <outlinePr summaryBelow="1" summaryRight="1"/>
    <pageSetUpPr fitToPage="1"/>
  </sheetPr>
  <dimension ref="B1:H25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4" customWidth="1" min="2" max="2"/>
    <col width="22" customWidth="1" min="3" max="3"/>
    <col width="8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30" customHeight="1">
      <c r="B1" s="1" t="inlineStr">
        <is>
          <t>✉️  STATIONERY SUITE CHECKLIST</t>
        </is>
      </c>
      <c r="C1" s="2" t="n"/>
      <c r="D1" s="2" t="n"/>
      <c r="E1" s="2" t="n"/>
      <c r="F1" s="2" t="n"/>
      <c r="G1" s="2" t="n"/>
      <c r="H1" s="3" t="n"/>
    </row>
    <row r="2" ht="15" customHeight="1">
      <c r="B2" s="4" t="inlineStr">
        <is>
          <t>Invitations, RSVPs, menus, place cards, programs &amp; signage</t>
        </is>
      </c>
      <c r="C2" s="2" t="n"/>
      <c r="D2" s="2" t="n"/>
      <c r="E2" s="2" t="n"/>
      <c r="F2" s="2" t="n"/>
      <c r="G2" s="2" t="n"/>
      <c r="H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Item</t>
        </is>
      </c>
      <c r="C8" s="35" t="inlineStr">
        <is>
          <t>Vendor</t>
        </is>
      </c>
      <c r="D8" s="35" t="inlineStr">
        <is>
          <t>Qty</t>
        </is>
      </c>
      <c r="E8" s="35" t="inlineStr">
        <is>
          <t>Cost</t>
        </is>
      </c>
      <c r="F8" s="35" t="inlineStr">
        <is>
          <t>Ordered date</t>
        </is>
      </c>
      <c r="G8" s="35" t="inlineStr">
        <is>
          <t>Delivered?</t>
        </is>
      </c>
      <c r="H8" s="35" t="inlineStr">
        <is>
          <t>Notes</t>
        </is>
      </c>
    </row>
    <row r="9">
      <c r="B9" s="36" t="inlineStr">
        <is>
          <t>Save-the-dates</t>
        </is>
      </c>
      <c r="C9" s="36" t="inlineStr">
        <is>
          <t>Handmade paper co.</t>
        </is>
      </c>
      <c r="D9" s="27" t="n">
        <v>80</v>
      </c>
      <c r="E9" s="45" t="n">
        <v>180</v>
      </c>
      <c r="F9" s="47" t="n"/>
      <c r="G9" s="27" t="n"/>
      <c r="H9" s="36" t="n"/>
    </row>
    <row r="10">
      <c r="B10" s="36" t="inlineStr">
        <is>
          <t>Invitations &amp; RSVP cards</t>
        </is>
      </c>
      <c r="C10" s="36" t="inlineStr">
        <is>
          <t>Handmade paper co.</t>
        </is>
      </c>
      <c r="D10" s="27" t="n">
        <v>80</v>
      </c>
      <c r="E10" s="45" t="n">
        <v>340</v>
      </c>
      <c r="F10" s="47" t="n"/>
      <c r="G10" s="27" t="n"/>
      <c r="H10" s="36" t="n"/>
    </row>
    <row r="11">
      <c r="B11" s="36" t="inlineStr">
        <is>
          <t>Detail / info cards</t>
        </is>
      </c>
      <c r="C11" s="36" t="inlineStr">
        <is>
          <t>Handmade paper co.</t>
        </is>
      </c>
      <c r="D11" s="27" t="n">
        <v>80</v>
      </c>
      <c r="E11" s="45" t="n">
        <v>90</v>
      </c>
      <c r="F11" s="47" t="n"/>
      <c r="G11" s="27" t="n"/>
      <c r="H11" s="36" t="n"/>
    </row>
    <row r="12">
      <c r="B12" s="36" t="inlineStr">
        <is>
          <t>Menus</t>
        </is>
      </c>
      <c r="C12" s="36" t="inlineStr">
        <is>
          <t>Handmade paper co.</t>
        </is>
      </c>
      <c r="D12" s="27" t="n">
        <v>15</v>
      </c>
      <c r="E12" s="45" t="n">
        <v>60</v>
      </c>
      <c r="F12" s="47" t="n"/>
      <c r="G12" s="27" t="n"/>
      <c r="H12" s="36" t="n"/>
    </row>
    <row r="13">
      <c r="B13" s="36" t="inlineStr">
        <is>
          <t>Place cards</t>
        </is>
      </c>
      <c r="C13" s="36" t="inlineStr">
        <is>
          <t>Handmade paper co.</t>
        </is>
      </c>
      <c r="D13" s="27" t="n">
        <v>90</v>
      </c>
      <c r="E13" s="45" t="n">
        <v>75</v>
      </c>
      <c r="F13" s="47" t="n"/>
      <c r="G13" s="27" t="n"/>
      <c r="H13" s="36" t="n"/>
    </row>
    <row r="14">
      <c r="B14" s="36" t="inlineStr">
        <is>
          <t>Programs</t>
        </is>
      </c>
      <c r="C14" s="36" t="inlineStr">
        <is>
          <t>Handmade paper co.</t>
        </is>
      </c>
      <c r="D14" s="27" t="n">
        <v>80</v>
      </c>
      <c r="E14" s="45" t="n">
        <v>85</v>
      </c>
      <c r="F14" s="47" t="n"/>
      <c r="G14" s="27" t="n"/>
      <c r="H14" s="36" t="n"/>
    </row>
    <row r="15">
      <c r="B15" s="36" t="inlineStr">
        <is>
          <t>Welcome sign print</t>
        </is>
      </c>
      <c r="C15" s="36" t="inlineStr">
        <is>
          <t>Poster shop</t>
        </is>
      </c>
      <c r="D15" s="27" t="n">
        <v>1</v>
      </c>
      <c r="E15" s="45" t="n">
        <v>55</v>
      </c>
      <c r="F15" s="47" t="n"/>
      <c r="G15" s="27" t="n"/>
      <c r="H15" s="36" t="n"/>
    </row>
    <row r="16">
      <c r="B16" s="36" t="inlineStr">
        <is>
          <t>Bar &amp; dessert signs</t>
        </is>
      </c>
      <c r="C16" s="36" t="inlineStr">
        <is>
          <t>DIY</t>
        </is>
      </c>
      <c r="D16" s="27" t="n">
        <v>3</v>
      </c>
      <c r="E16" s="45" t="n">
        <v>25</v>
      </c>
      <c r="F16" s="47" t="n"/>
      <c r="G16" s="27" t="n"/>
      <c r="H16" s="36" t="n"/>
    </row>
    <row r="17">
      <c r="B17" s="36" t="inlineStr">
        <is>
          <t>Thank-you cards</t>
        </is>
      </c>
      <c r="C17" s="36" t="inlineStr">
        <is>
          <t>Handmade paper co.</t>
        </is>
      </c>
      <c r="D17" s="27" t="n">
        <v>80</v>
      </c>
      <c r="E17" s="45" t="n">
        <v>95</v>
      </c>
      <c r="F17" s="47" t="n"/>
      <c r="G17" s="27" t="n"/>
      <c r="H17" s="36" t="n"/>
    </row>
    <row r="18">
      <c r="B18" s="36" t="inlineStr">
        <is>
          <t>Stamps &amp; envelopes</t>
        </is>
      </c>
      <c r="C18" s="36" t="inlineStr">
        <is>
          <t>Post office</t>
        </is>
      </c>
      <c r="D18" s="27" t="n">
        <v>1</v>
      </c>
      <c r="E18" s="45" t="n">
        <v>120</v>
      </c>
      <c r="F18" s="47" t="n"/>
      <c r="G18" s="27" t="n"/>
      <c r="H18" s="36" t="n"/>
    </row>
    <row r="19">
      <c r="B19" s="36" t="n"/>
      <c r="C19" s="36" t="n"/>
      <c r="D19" s="27" t="n"/>
      <c r="E19" s="45" t="n"/>
      <c r="F19" s="47" t="n"/>
      <c r="G19" s="27" t="n"/>
      <c r="H19" s="36" t="n"/>
    </row>
    <row r="20">
      <c r="B20" s="36" t="n"/>
      <c r="C20" s="36" t="n"/>
      <c r="D20" s="27" t="n"/>
      <c r="E20" s="45" t="n"/>
      <c r="F20" s="47" t="n"/>
      <c r="G20" s="27" t="n"/>
      <c r="H20" s="36" t="n"/>
    </row>
    <row r="21">
      <c r="B21" s="36" t="n"/>
      <c r="C21" s="36" t="n"/>
      <c r="D21" s="27" t="n"/>
      <c r="E21" s="45" t="n"/>
      <c r="F21" s="47" t="n"/>
      <c r="G21" s="27" t="n"/>
      <c r="H21" s="36" t="n"/>
    </row>
    <row r="22">
      <c r="B22" s="36" t="n"/>
      <c r="C22" s="36" t="n"/>
      <c r="D22" s="27" t="n"/>
      <c r="E22" s="45" t="n"/>
      <c r="F22" s="47" t="n"/>
      <c r="G22" s="27" t="n"/>
      <c r="H22" s="36" t="n"/>
    </row>
    <row r="23">
      <c r="B23" s="36" t="n"/>
      <c r="C23" s="36" t="n"/>
      <c r="D23" s="27" t="n"/>
      <c r="E23" s="45" t="n"/>
      <c r="F23" s="47" t="n"/>
      <c r="G23" s="27" t="n"/>
      <c r="H23" s="36" t="n"/>
    </row>
    <row r="24">
      <c r="B24" s="36" t="n"/>
      <c r="C24" s="36" t="n"/>
      <c r="D24" s="27" t="n"/>
      <c r="E24" s="45" t="n"/>
      <c r="F24" s="47" t="n"/>
      <c r="G24" s="27" t="n"/>
      <c r="H24" s="36" t="n"/>
    </row>
    <row r="25">
      <c r="B25" s="42" t="inlineStr">
        <is>
          <t>TOTAL</t>
        </is>
      </c>
      <c r="C25" s="42" t="n"/>
      <c r="D25" s="42" t="n"/>
      <c r="E25" s="46">
        <f>SUM(E9:E24)</f>
        <v/>
      </c>
      <c r="F25" s="42" t="n"/>
      <c r="G25" s="42" t="n"/>
      <c r="H25" s="4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H24"/>
  <mergeCells count="2">
    <mergeCell ref="B1:H1"/>
    <mergeCell ref="B2:H2"/>
  </mergeCells>
  <dataValidations count="1">
    <dataValidation sqref="G9:G24" showDropDown="0" showInputMessage="0" showErrorMessage="0" allowBlank="1" type="list">
      <formula1>"Yes,No,N/A"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00C97B63"/>
    <outlinePr summaryBelow="1" summaryRight="1"/>
    <pageSetUpPr fitToPage="1"/>
  </sheetPr>
  <dimension ref="B1:G2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13" customWidth="1" min="2" max="2"/>
    <col width="30" customWidth="1" min="3" max="3"/>
    <col width="14" customWidth="1" min="4" max="4"/>
    <col width="14" customWidth="1" min="5" max="5"/>
    <col width="18" customWidth="1" min="6" max="6"/>
    <col width="22" customWidth="1" min="7" max="7"/>
  </cols>
  <sheetData>
    <row r="1" ht="30" customHeight="1">
      <c r="B1" s="1" t="inlineStr">
        <is>
          <t>🍽️  MENU PLANNING</t>
        </is>
      </c>
      <c r="C1" s="2" t="n"/>
      <c r="D1" s="2" t="n"/>
      <c r="E1" s="2" t="n"/>
      <c r="F1" s="2" t="n"/>
      <c r="G1" s="3" t="n"/>
    </row>
    <row r="2" ht="15" customHeight="1">
      <c r="B2" s="4" t="inlineStr">
        <is>
          <t>Appetizers, mains, sides &amp; desserts</t>
        </is>
      </c>
      <c r="C2" s="2" t="n"/>
      <c r="D2" s="2" t="n"/>
      <c r="E2" s="2" t="n"/>
      <c r="F2" s="2" t="n"/>
      <c r="G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Course</t>
        </is>
      </c>
      <c r="C8" s="35" t="inlineStr">
        <is>
          <t>Dish</t>
        </is>
      </c>
      <c r="D8" s="35" t="inlineStr">
        <is>
          <t>Dietary tags</t>
        </is>
      </c>
      <c r="E8" s="35" t="inlineStr">
        <is>
          <t>Servings</t>
        </is>
      </c>
      <c r="F8" s="35" t="inlineStr">
        <is>
          <t>Sourced from</t>
        </is>
      </c>
      <c r="G8" s="35" t="inlineStr">
        <is>
          <t>Notes</t>
        </is>
      </c>
    </row>
    <row r="9">
      <c r="B9" s="36" t="inlineStr">
        <is>
          <t>Appetizer</t>
        </is>
      </c>
      <c r="C9" s="36" t="n"/>
      <c r="D9" s="27" t="n"/>
      <c r="E9" s="51" t="n"/>
      <c r="F9" s="36" t="n"/>
      <c r="G9" s="36" t="n"/>
    </row>
    <row r="10">
      <c r="B10" s="36" t="inlineStr">
        <is>
          <t>Appetizer</t>
        </is>
      </c>
      <c r="C10" s="36" t="n"/>
      <c r="D10" s="27" t="n"/>
      <c r="E10" s="51" t="n"/>
      <c r="F10" s="36" t="n"/>
      <c r="G10" s="36" t="n"/>
    </row>
    <row r="11">
      <c r="B11" s="36" t="inlineStr">
        <is>
          <t>Appetizer</t>
        </is>
      </c>
      <c r="C11" s="36" t="n"/>
      <c r="D11" s="27" t="n"/>
      <c r="E11" s="51" t="n"/>
      <c r="F11" s="36" t="n"/>
      <c r="G11" s="36" t="n"/>
    </row>
    <row r="12">
      <c r="B12" s="36" t="inlineStr">
        <is>
          <t>Main</t>
        </is>
      </c>
      <c r="C12" s="36" t="n"/>
      <c r="D12" s="27" t="n"/>
      <c r="E12" s="51" t="n"/>
      <c r="F12" s="36" t="n"/>
      <c r="G12" s="36" t="n"/>
    </row>
    <row r="13">
      <c r="B13" s="36" t="inlineStr">
        <is>
          <t>Main</t>
        </is>
      </c>
      <c r="C13" s="36" t="n"/>
      <c r="D13" s="27" t="n"/>
      <c r="E13" s="51" t="n"/>
      <c r="F13" s="36" t="n"/>
      <c r="G13" s="36" t="n"/>
    </row>
    <row r="14">
      <c r="B14" s="36" t="inlineStr">
        <is>
          <t>Main</t>
        </is>
      </c>
      <c r="C14" s="36" t="n"/>
      <c r="D14" s="27" t="n"/>
      <c r="E14" s="51" t="n"/>
      <c r="F14" s="36" t="n"/>
      <c r="G14" s="36" t="n"/>
    </row>
    <row r="15">
      <c r="B15" s="36" t="inlineStr">
        <is>
          <t>Side</t>
        </is>
      </c>
      <c r="C15" s="36" t="n"/>
      <c r="D15" s="27" t="n"/>
      <c r="E15" s="51" t="n"/>
      <c r="F15" s="36" t="n"/>
      <c r="G15" s="36" t="n"/>
    </row>
    <row r="16">
      <c r="B16" s="36" t="inlineStr">
        <is>
          <t>Side</t>
        </is>
      </c>
      <c r="C16" s="36" t="n"/>
      <c r="D16" s="27" t="n"/>
      <c r="E16" s="51" t="n"/>
      <c r="F16" s="36" t="n"/>
      <c r="G16" s="36" t="n"/>
    </row>
    <row r="17">
      <c r="B17" s="36" t="inlineStr">
        <is>
          <t>Dessert</t>
        </is>
      </c>
      <c r="C17" s="36" t="n"/>
      <c r="D17" s="27" t="n"/>
      <c r="E17" s="51" t="n"/>
      <c r="F17" s="36" t="n"/>
      <c r="G17" s="36" t="n"/>
    </row>
    <row r="18">
      <c r="B18" s="36" t="inlineStr">
        <is>
          <t>Dessert</t>
        </is>
      </c>
      <c r="C18" s="36" t="n"/>
      <c r="D18" s="27" t="n"/>
      <c r="E18" s="51" t="n"/>
      <c r="F18" s="36" t="n"/>
      <c r="G18" s="36" t="n"/>
    </row>
    <row r="19">
      <c r="B19" s="36" t="inlineStr">
        <is>
          <t>Kids meal</t>
        </is>
      </c>
      <c r="C19" s="36" t="n"/>
      <c r="D19" s="27" t="n"/>
      <c r="E19" s="51" t="n"/>
      <c r="F19" s="36" t="n"/>
      <c r="G19" s="36" t="n"/>
    </row>
    <row r="20">
      <c r="B20" s="36" t="inlineStr">
        <is>
          <t>Late-night</t>
        </is>
      </c>
      <c r="C20" s="36" t="n"/>
      <c r="D20" s="27" t="n"/>
      <c r="E20" s="51" t="n"/>
      <c r="F20" s="36" t="n"/>
      <c r="G20" s="36" t="n"/>
    </row>
    <row r="21">
      <c r="B21" s="36" t="n"/>
      <c r="C21" s="36" t="n"/>
      <c r="D21" s="27" t="n"/>
      <c r="E21" s="51" t="n"/>
      <c r="F21" s="36" t="n"/>
      <c r="G21" s="36" t="n"/>
    </row>
    <row r="22">
      <c r="B22" s="36" t="n"/>
      <c r="C22" s="36" t="n"/>
      <c r="D22" s="27" t="n"/>
      <c r="E22" s="51" t="n"/>
      <c r="F22" s="36" t="n"/>
      <c r="G22" s="36" t="n"/>
    </row>
    <row r="23">
      <c r="B23" s="36" t="n"/>
      <c r="C23" s="36" t="n"/>
      <c r="D23" s="27" t="n"/>
      <c r="E23" s="51" t="n"/>
      <c r="F23" s="36" t="n"/>
      <c r="G23" s="36" t="n"/>
    </row>
    <row r="24">
      <c r="B24" s="36" t="n"/>
      <c r="C24" s="36" t="n"/>
      <c r="D24" s="27" t="n"/>
      <c r="E24" s="51" t="n"/>
      <c r="F24" s="36" t="n"/>
      <c r="G24" s="36" t="n"/>
    </row>
    <row r="25">
      <c r="B25" s="36" t="n"/>
      <c r="C25" s="36" t="n"/>
      <c r="D25" s="27" t="n"/>
      <c r="E25" s="51" t="n"/>
      <c r="F25" s="36" t="n"/>
      <c r="G25" s="36" t="n"/>
    </row>
    <row r="26">
      <c r="B26" s="36" t="n"/>
      <c r="C26" s="36" t="n"/>
      <c r="D26" s="27" t="n"/>
      <c r="E26" s="51" t="n"/>
      <c r="F26" s="36" t="n"/>
      <c r="G26" s="36" t="n"/>
    </row>
    <row r="27">
      <c r="B27" s="36" t="n"/>
      <c r="C27" s="36" t="n"/>
      <c r="D27" s="27" t="n"/>
      <c r="E27" s="51" t="n"/>
      <c r="F27" s="36" t="n"/>
      <c r="G27" s="36" t="n"/>
    </row>
    <row r="28">
      <c r="B28" s="36" t="n"/>
      <c r="C28" s="36" t="n"/>
      <c r="D28" s="27" t="n"/>
      <c r="E28" s="51" t="n"/>
      <c r="F28" s="36" t="n"/>
      <c r="G28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G28"/>
  <mergeCells count="2">
    <mergeCell ref="B2:G2"/>
    <mergeCell ref="B1:G1"/>
  </mergeCells>
  <dataValidations count="1">
    <dataValidation sqref="D9:D28" showDropDown="0" showInputMessage="0" showErrorMessage="0" allowBlank="1" type="list">
      <formula1>"None,Vegetarian,Vegan,Gluten-Free,Nut-free,Dairy-free"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00C97B63"/>
    <outlinePr summaryBelow="1" summaryRight="1"/>
    <pageSetUpPr fitToPage="1"/>
  </sheetPr>
  <dimension ref="B1:G26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16" customWidth="1" min="2" max="2"/>
    <col width="26" customWidth="1" min="3" max="3"/>
    <col width="22" customWidth="1" min="4" max="4"/>
    <col width="20" customWidth="1" min="5" max="5"/>
    <col width="14" customWidth="1" min="6" max="6"/>
    <col width="22" customWidth="1" min="7" max="7"/>
  </cols>
  <sheetData>
    <row r="1" ht="30" customHeight="1">
      <c r="B1" s="1" t="inlineStr">
        <is>
          <t>🎂  CAKE DESIGN &amp; FLAVOR NOTES</t>
        </is>
      </c>
      <c r="C1" s="2" t="n"/>
      <c r="D1" s="2" t="n"/>
      <c r="E1" s="2" t="n"/>
      <c r="F1" s="2" t="n"/>
      <c r="G1" s="3" t="n"/>
    </row>
    <row r="2" ht="15" customHeight="1">
      <c r="B2" s="4" t="inlineStr">
        <is>
          <t>Tiers, flavors &amp; payment</t>
        </is>
      </c>
      <c r="C2" s="2" t="n"/>
      <c r="D2" s="2" t="n"/>
      <c r="E2" s="2" t="n"/>
      <c r="F2" s="2" t="n"/>
      <c r="G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5" ht="20" customHeight="1">
      <c r="B5" s="6" t="inlineStr">
        <is>
          <t>THE BAKERY</t>
        </is>
      </c>
      <c r="C5" s="7" t="n"/>
      <c r="D5" s="7" t="n"/>
      <c r="E5" s="7" t="n"/>
      <c r="F5" s="7" t="n"/>
      <c r="G5" s="7" t="n"/>
    </row>
    <row r="6">
      <c r="B6" s="8" t="inlineStr">
        <is>
          <t>Bakery</t>
        </is>
      </c>
      <c r="C6" s="36" t="inlineStr">
        <is>
          <t>Sugarplum Cakery</t>
        </is>
      </c>
    </row>
    <row r="7">
      <c r="B7" s="8" t="inlineStr">
        <is>
          <t>Delivery time</t>
        </is>
      </c>
      <c r="C7" s="36" t="inlineStr">
        <is>
          <t>1:00 PM (before reception)</t>
        </is>
      </c>
    </row>
    <row r="8">
      <c r="B8" s="8" t="inlineStr">
        <is>
          <t>Delivery &amp; setup fee</t>
        </is>
      </c>
      <c r="C8" s="45" t="n">
        <v>45</v>
      </c>
    </row>
    <row r="10" ht="20" customHeight="1">
      <c r="B10" s="6" t="inlineStr">
        <is>
          <t>CAKE TIERS</t>
        </is>
      </c>
      <c r="C10" s="7" t="n"/>
      <c r="D10" s="7" t="n"/>
      <c r="E10" s="7" t="n"/>
      <c r="F10" s="7" t="n"/>
      <c r="G10" s="7" t="n"/>
    </row>
    <row r="11" ht="26" customHeight="1">
      <c r="B11" s="35" t="inlineStr">
        <is>
          <t>Tier</t>
        </is>
      </c>
      <c r="C11" s="35" t="inlineStr">
        <is>
          <t>Flavor</t>
        </is>
      </c>
      <c r="D11" s="35" t="inlineStr">
        <is>
          <t>Filling</t>
        </is>
      </c>
      <c r="E11" s="35" t="inlineStr">
        <is>
          <t>Frosting</t>
        </is>
      </c>
      <c r="F11" s="35" t="inlineStr">
        <is>
          <t>Serves</t>
        </is>
      </c>
      <c r="G11" s="35" t="inlineStr">
        <is>
          <t>Notes</t>
        </is>
      </c>
    </row>
    <row r="12">
      <c r="B12" s="36" t="inlineStr">
        <is>
          <t>Tier 1 (bottom)</t>
        </is>
      </c>
      <c r="C12" s="36" t="inlineStr">
        <is>
          <t>Lemon elderflower</t>
        </is>
      </c>
      <c r="D12" s="36" t="inlineStr">
        <is>
          <t>Vanilla bean cream</t>
        </is>
      </c>
      <c r="E12" s="36" t="inlineStr">
        <is>
          <t>Swiss meringue buttercream</t>
        </is>
      </c>
      <c r="F12" s="51" t="n">
        <v>60</v>
      </c>
      <c r="G12" s="36" t="n"/>
    </row>
    <row r="13">
      <c r="B13" s="36" t="inlineStr">
        <is>
          <t>Tier 2</t>
        </is>
      </c>
      <c r="C13" s="36" t="inlineStr">
        <is>
          <t>Almond champagne</t>
        </is>
      </c>
      <c r="D13" s="36" t="inlineStr">
        <is>
          <t>Raspberry preserve</t>
        </is>
      </c>
      <c r="E13" s="36" t="inlineStr">
        <is>
          <t>Swiss meringue buttercream</t>
        </is>
      </c>
      <c r="F13" s="51" t="n">
        <v>40</v>
      </c>
      <c r="G13" s="36" t="n"/>
    </row>
    <row r="14">
      <c r="B14" s="36" t="inlineStr">
        <is>
          <t>Tier 3 (top)</t>
        </is>
      </c>
      <c r="C14" s="36" t="inlineStr">
        <is>
          <t>Chocolate salted caramel</t>
        </is>
      </c>
      <c r="D14" s="36" t="inlineStr">
        <is>
          <t>Salted caramel</t>
        </is>
      </c>
      <c r="E14" s="36" t="inlineStr">
        <is>
          <t>Chocolate ganache</t>
        </is>
      </c>
      <c r="F14" s="51" t="n">
        <v>20</v>
      </c>
      <c r="G14" s="36" t="n"/>
    </row>
    <row r="15">
      <c r="B15" s="36" t="n"/>
      <c r="C15" s="36" t="n"/>
      <c r="D15" s="36" t="n"/>
      <c r="E15" s="36" t="n"/>
      <c r="F15" s="51" t="n"/>
      <c r="G15" s="36" t="n"/>
    </row>
    <row r="16" ht="20" customHeight="1">
      <c r="B16" s="6" t="inlineStr">
        <is>
          <t>PAYMENT</t>
        </is>
      </c>
      <c r="C16" s="7" t="n"/>
      <c r="D16" s="7" t="n"/>
      <c r="E16" s="7" t="n"/>
      <c r="F16" s="7" t="n"/>
      <c r="G16" s="7" t="n"/>
    </row>
    <row r="17">
      <c r="B17" s="8" t="inlineStr">
        <is>
          <t>Price quoted</t>
        </is>
      </c>
      <c r="C17" s="45" t="n">
        <v>650</v>
      </c>
    </row>
    <row r="18">
      <c r="B18" s="8" t="inlineStr">
        <is>
          <t>Deposit paid</t>
        </is>
      </c>
      <c r="C18" s="45" t="n">
        <v>200</v>
      </c>
    </row>
    <row r="19">
      <c r="B19" s="8" t="inlineStr">
        <is>
          <t>Balance due 🔒</t>
        </is>
      </c>
      <c r="C19" s="29">
        <f>IF(AND($C$17="",$C$18=""),"",MAX(0,N($C$17)-N($C$18)))</f>
        <v/>
      </c>
    </row>
    <row r="21" ht="20" customHeight="1">
      <c r="B21" s="6" t="inlineStr">
        <is>
          <t>DESIGN &amp; SETUP NOTES</t>
        </is>
      </c>
      <c r="C21" s="7" t="n"/>
      <c r="D21" s="7" t="n"/>
      <c r="E21" s="7" t="n"/>
      <c r="F21" s="7" t="n"/>
      <c r="G21" s="7" t="n"/>
    </row>
    <row r="22">
      <c r="B22" s="39" t="inlineStr">
        <is>
          <t>Semi-naked finish with fresh blush blooms matching the bouquets; gold leaf on tier 2; cake topper 'M &amp; L'.</t>
        </is>
      </c>
      <c r="C22" s="40" t="n"/>
      <c r="D22" s="40" t="n"/>
      <c r="E22" s="40" t="n"/>
      <c r="F22" s="40" t="n"/>
      <c r="G22" s="40" t="n"/>
    </row>
    <row r="23">
      <c r="B23" s="40" t="n"/>
      <c r="C23" s="40" t="n"/>
      <c r="D23" s="40" t="n"/>
      <c r="E23" s="40" t="n"/>
      <c r="F23" s="40" t="n"/>
      <c r="G23" s="40" t="n"/>
    </row>
    <row r="24">
      <c r="B24" s="40" t="n"/>
      <c r="C24" s="40" t="n"/>
      <c r="D24" s="40" t="n"/>
      <c r="E24" s="40" t="n"/>
      <c r="F24" s="40" t="n"/>
      <c r="G24" s="40" t="n"/>
    </row>
    <row r="25">
      <c r="B25" s="40" t="n"/>
      <c r="C25" s="40" t="n"/>
      <c r="D25" s="40" t="n"/>
      <c r="E25" s="40" t="n"/>
      <c r="F25" s="40" t="n"/>
      <c r="G25" s="40" t="n"/>
    </row>
    <row r="26">
      <c r="B26" s="40" t="n"/>
      <c r="C26" s="40" t="n"/>
      <c r="D26" s="40" t="n"/>
      <c r="E26" s="40" t="n"/>
      <c r="F26" s="40" t="n"/>
      <c r="G26" s="4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mergeCells count="7">
    <mergeCell ref="B2:G2"/>
    <mergeCell ref="B16:G16"/>
    <mergeCell ref="B10:G10"/>
    <mergeCell ref="B22:G26"/>
    <mergeCell ref="B5:G5"/>
    <mergeCell ref="B1:G1"/>
    <mergeCell ref="B21:G21"/>
  </mergeCell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tabColor rgb="00C97B63"/>
    <outlinePr summaryBelow="1" summaryRight="1"/>
    <pageSetUpPr fitToPage="1"/>
  </sheetPr>
  <dimension ref="B1:H23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0" customWidth="1" min="2" max="2"/>
    <col width="26" customWidth="1" min="3" max="3"/>
    <col width="12" customWidth="1" min="4" max="4"/>
    <col width="14" customWidth="1" min="5" max="5"/>
    <col width="20" customWidth="1" min="6" max="6"/>
    <col width="16" customWidth="1" min="7" max="7"/>
    <col width="20" customWidth="1" min="8" max="8"/>
  </cols>
  <sheetData>
    <row r="1" ht="30" customHeight="1">
      <c r="B1" s="1" t="inlineStr">
        <is>
          <t>🍹  BAR &amp; DRINK MENU PLANNER</t>
        </is>
      </c>
      <c r="C1" s="2" t="n"/>
      <c r="D1" s="2" t="n"/>
      <c r="E1" s="2" t="n"/>
      <c r="F1" s="2" t="n"/>
      <c r="G1" s="2" t="n"/>
      <c r="H1" s="3" t="n"/>
    </row>
    <row r="2" ht="15" customHeight="1">
      <c r="B2" s="4" t="inlineStr">
        <is>
          <t>Signature cocktails, wine, beer &amp; non-alcoholic</t>
        </is>
      </c>
      <c r="C2" s="2" t="n"/>
      <c r="D2" s="2" t="n"/>
      <c r="E2" s="2" t="n"/>
      <c r="F2" s="2" t="n"/>
      <c r="G2" s="2" t="n"/>
      <c r="H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Type</t>
        </is>
      </c>
      <c r="C8" s="35" t="inlineStr">
        <is>
          <t>Item / brand</t>
        </is>
      </c>
      <c r="D8" s="35" t="inlineStr">
        <is>
          <t>Qty needed</t>
        </is>
      </c>
      <c r="E8" s="35" t="inlineStr">
        <is>
          <t>Est. cost</t>
        </is>
      </c>
      <c r="F8" s="35" t="inlineStr">
        <is>
          <t>Supplier</t>
        </is>
      </c>
      <c r="G8" s="35" t="inlineStr">
        <is>
          <t>Served when</t>
        </is>
      </c>
      <c r="H8" s="35" t="inlineStr">
        <is>
          <t>Notes</t>
        </is>
      </c>
    </row>
    <row r="9">
      <c r="B9" s="36" t="inlineStr">
        <is>
          <t>Signature cocktail</t>
        </is>
      </c>
      <c r="C9" s="36" t="inlineStr">
        <is>
          <t>The Rosewood Fizz — gin, grapefruit, rosemary</t>
        </is>
      </c>
      <c r="D9" s="27" t="n">
        <v>120</v>
      </c>
      <c r="E9" s="45" t="n">
        <v>340</v>
      </c>
      <c r="F9" s="36" t="inlineStr">
        <is>
          <t>Harvest &amp; Vine Co.</t>
        </is>
      </c>
      <c r="G9" s="36" t="inlineStr">
        <is>
          <t>Cocktail hour</t>
        </is>
      </c>
      <c r="H9" s="36" t="n"/>
    </row>
    <row r="10">
      <c r="B10" s="36" t="inlineStr">
        <is>
          <t>Signature mocktail</t>
        </is>
      </c>
      <c r="C10" s="36" t="inlineStr">
        <is>
          <t>Blush Spritz — raspberry, elderflower, soda</t>
        </is>
      </c>
      <c r="D10" s="27" t="n">
        <v>60</v>
      </c>
      <c r="E10" s="45" t="n">
        <v>60</v>
      </c>
      <c r="F10" s="36" t="inlineStr">
        <is>
          <t>Harvest &amp; Vine Co.</t>
        </is>
      </c>
      <c r="G10" s="36" t="inlineStr">
        <is>
          <t>All night</t>
        </is>
      </c>
      <c r="H10" s="36" t="n"/>
    </row>
    <row r="11">
      <c r="B11" s="36" t="inlineStr">
        <is>
          <t>Beer</t>
        </is>
      </c>
      <c r="C11" s="36" t="inlineStr">
        <is>
          <t>Local IPA + lager kegs</t>
        </is>
      </c>
      <c r="D11" s="27" t="n">
        <v>3</v>
      </c>
      <c r="E11" s="45" t="n">
        <v>420</v>
      </c>
      <c r="F11" s="36" t="inlineStr">
        <is>
          <t>Blue Ridge Brewing</t>
        </is>
      </c>
      <c r="G11" s="36" t="inlineStr">
        <is>
          <t>Reception</t>
        </is>
      </c>
      <c r="H11" s="36" t="n"/>
    </row>
    <row r="12">
      <c r="B12" s="36" t="inlineStr">
        <is>
          <t>Wine — red</t>
        </is>
      </c>
      <c r="C12" s="36" t="inlineStr">
        <is>
          <t>Pinot noir (case of 12)</t>
        </is>
      </c>
      <c r="D12" s="27" t="n">
        <v>2</v>
      </c>
      <c r="E12" s="45" t="n">
        <v>240</v>
      </c>
      <c r="F12" s="36" t="inlineStr">
        <is>
          <t>Vine &amp; Barrel</t>
        </is>
      </c>
      <c r="G12" s="36" t="inlineStr">
        <is>
          <t>Dinner</t>
        </is>
      </c>
      <c r="H12" s="36" t="n"/>
    </row>
    <row r="13">
      <c r="B13" s="36" t="inlineStr">
        <is>
          <t>Wine — white</t>
        </is>
      </c>
      <c r="C13" s="36" t="inlineStr">
        <is>
          <t>Sauvignon blanc (case of 12)</t>
        </is>
      </c>
      <c r="D13" s="27" t="n">
        <v>2</v>
      </c>
      <c r="E13" s="45" t="n">
        <v>220</v>
      </c>
      <c r="F13" s="36" t="inlineStr">
        <is>
          <t>Vine &amp; Barrel</t>
        </is>
      </c>
      <c r="G13" s="36" t="inlineStr">
        <is>
          <t>Dinner</t>
        </is>
      </c>
      <c r="H13" s="36" t="n"/>
    </row>
    <row r="14">
      <c r="B14" s="36" t="inlineStr">
        <is>
          <t>Wine — sparkling</t>
        </is>
      </c>
      <c r="C14" s="36" t="inlineStr">
        <is>
          <t>Prosecco for toasts (case)</t>
        </is>
      </c>
      <c r="D14" s="27" t="n">
        <v>1</v>
      </c>
      <c r="E14" s="45" t="n">
        <v>150</v>
      </c>
      <c r="F14" s="36" t="inlineStr">
        <is>
          <t>Vine &amp; Barrel</t>
        </is>
      </c>
      <c r="G14" s="36" t="inlineStr">
        <is>
          <t>Toasts</t>
        </is>
      </c>
      <c r="H14" s="36" t="n"/>
    </row>
    <row r="15">
      <c r="B15" s="36" t="inlineStr">
        <is>
          <t>Spirits &amp; mixers</t>
        </is>
      </c>
      <c r="C15" s="36" t="inlineStr">
        <is>
          <t>Whiskey, vodka, tonic, citrus</t>
        </is>
      </c>
      <c r="D15" s="27" t="n">
        <v>1</v>
      </c>
      <c r="E15" s="45" t="n">
        <v>380</v>
      </c>
      <c r="F15" s="36" t="inlineStr">
        <is>
          <t>Harvest &amp; Vine Co.</t>
        </is>
      </c>
      <c r="G15" s="36" t="inlineStr">
        <is>
          <t>Reception</t>
        </is>
      </c>
      <c r="H15" s="36" t="n"/>
    </row>
    <row r="16">
      <c r="B16" s="36" t="inlineStr">
        <is>
          <t>Soft drinks</t>
        </is>
      </c>
      <c r="C16" s="36" t="inlineStr">
        <is>
          <t>Sodas, lemonade, iced tea</t>
        </is>
      </c>
      <c r="D16" s="27" t="n">
        <v>1</v>
      </c>
      <c r="E16" s="45" t="n">
        <v>90</v>
      </c>
      <c r="F16" s="36" t="inlineStr">
        <is>
          <t>Harvest &amp; Vine Co.</t>
        </is>
      </c>
      <c r="G16" s="36" t="inlineStr">
        <is>
          <t>All night</t>
        </is>
      </c>
      <c r="H16" s="36" t="n"/>
    </row>
    <row r="17">
      <c r="B17" s="36" t="inlineStr">
        <is>
          <t>Coffee &amp; tea</t>
        </is>
      </c>
      <c r="C17" s="36" t="inlineStr">
        <is>
          <t>Decaf bar with late-night dessert</t>
        </is>
      </c>
      <c r="D17" s="27" t="n">
        <v>1</v>
      </c>
      <c r="E17" s="45" t="n">
        <v>75</v>
      </c>
      <c r="F17" s="36" t="inlineStr">
        <is>
          <t>Harvest &amp; Vine Co.</t>
        </is>
      </c>
      <c r="G17" s="36" t="inlineStr">
        <is>
          <t>Dessert</t>
        </is>
      </c>
      <c r="H17" s="36" t="n"/>
    </row>
    <row r="18">
      <c r="B18" s="36" t="n"/>
      <c r="C18" s="36" t="n"/>
      <c r="D18" s="27" t="n"/>
      <c r="E18" s="45" t="n"/>
      <c r="F18" s="36" t="n"/>
      <c r="G18" s="36" t="n"/>
      <c r="H18" s="36" t="n"/>
    </row>
    <row r="19">
      <c r="B19" s="36" t="n"/>
      <c r="C19" s="36" t="n"/>
      <c r="D19" s="27" t="n"/>
      <c r="E19" s="45" t="n"/>
      <c r="F19" s="36" t="n"/>
      <c r="G19" s="36" t="n"/>
      <c r="H19" s="36" t="n"/>
    </row>
    <row r="20">
      <c r="B20" s="36" t="n"/>
      <c r="C20" s="36" t="n"/>
      <c r="D20" s="27" t="n"/>
      <c r="E20" s="45" t="n"/>
      <c r="F20" s="36" t="n"/>
      <c r="G20" s="36" t="n"/>
      <c r="H20" s="36" t="n"/>
    </row>
    <row r="21">
      <c r="B21" s="36" t="n"/>
      <c r="C21" s="36" t="n"/>
      <c r="D21" s="27" t="n"/>
      <c r="E21" s="45" t="n"/>
      <c r="F21" s="36" t="n"/>
      <c r="G21" s="36" t="n"/>
      <c r="H21" s="36" t="n"/>
    </row>
    <row r="22">
      <c r="B22" s="36" t="n"/>
      <c r="C22" s="36" t="n"/>
      <c r="D22" s="27" t="n"/>
      <c r="E22" s="45" t="n"/>
      <c r="F22" s="36" t="n"/>
      <c r="G22" s="36" t="n"/>
      <c r="H22" s="36" t="n"/>
    </row>
    <row r="23">
      <c r="B23" s="42" t="inlineStr">
        <is>
          <t>TOTAL</t>
        </is>
      </c>
      <c r="C23" s="42" t="n"/>
      <c r="D23" s="42" t="n"/>
      <c r="E23" s="46">
        <f>SUM(E9:E22)</f>
        <v/>
      </c>
      <c r="F23" s="42" t="n"/>
      <c r="G23" s="42" t="n"/>
      <c r="H23" s="4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H22"/>
  <mergeCells count="2">
    <mergeCell ref="B1:H1"/>
    <mergeCell ref="B2:H2"/>
  </mergeCell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tabColor rgb="00C97B63"/>
    <outlinePr summaryBelow="1" summaryRight="1"/>
    <pageSetUpPr fitToPage="1"/>
  </sheetPr>
  <dimension ref="B1:H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14" customWidth="1" min="2" max="2"/>
    <col width="22" customWidth="1" min="3" max="3"/>
    <col width="32" customWidth="1" min="4" max="4"/>
    <col width="14" customWidth="1" min="5" max="5"/>
    <col width="14" customWidth="1" min="6" max="6"/>
    <col width="14" customWidth="1" min="7" max="7"/>
    <col width="24" customWidth="1" min="8" max="8"/>
  </cols>
  <sheetData>
    <row r="1" ht="30" customHeight="1">
      <c r="B1" s="1" t="inlineStr">
        <is>
          <t>🥄  TASTING APPOINTMENT NOTES</t>
        </is>
      </c>
      <c r="C1" s="2" t="n"/>
      <c r="D1" s="2" t="n"/>
      <c r="E1" s="2" t="n"/>
      <c r="F1" s="2" t="n"/>
      <c r="G1" s="2" t="n"/>
      <c r="H1" s="3" t="n"/>
    </row>
    <row r="2" ht="15" customHeight="1">
      <c r="B2" s="4" t="inlineStr">
        <is>
          <t>Rate what you taste — then book the winner</t>
        </is>
      </c>
      <c r="C2" s="2" t="n"/>
      <c r="D2" s="2" t="n"/>
      <c r="E2" s="2" t="n"/>
      <c r="F2" s="2" t="n"/>
      <c r="G2" s="2" t="n"/>
      <c r="H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Date</t>
        </is>
      </c>
      <c r="C8" s="35" t="inlineStr">
        <is>
          <t>Vendor</t>
        </is>
      </c>
      <c r="D8" s="35" t="inlineStr">
        <is>
          <t>What we tasted</t>
        </is>
      </c>
      <c r="E8" s="35" t="inlineStr">
        <is>
          <t>Taste</t>
        </is>
      </c>
      <c r="F8" s="35" t="inlineStr">
        <is>
          <t>Presentation</t>
        </is>
      </c>
      <c r="G8" s="35" t="inlineStr">
        <is>
          <t>Winner?</t>
        </is>
      </c>
      <c r="H8" s="35" t="inlineStr">
        <is>
          <t>Notes</t>
        </is>
      </c>
    </row>
    <row r="9">
      <c r="B9" s="47" t="n">
        <v>46409</v>
      </c>
      <c r="C9" s="36" t="inlineStr">
        <is>
          <t>Harvest &amp; Vine Co.</t>
        </is>
      </c>
      <c r="D9" s="36" t="inlineStr">
        <is>
          <t>Tasting menu: short rib, salmon, pear salad</t>
        </is>
      </c>
      <c r="E9" s="27" t="inlineStr">
        <is>
          <t>5</t>
        </is>
      </c>
      <c r="F9" s="27" t="inlineStr">
        <is>
          <t>5</t>
        </is>
      </c>
      <c r="G9" s="27" t="inlineStr">
        <is>
          <t>Yes</t>
        </is>
      </c>
      <c r="H9" s="36" t="inlineStr">
        <is>
          <t>Booked — short rib is unreal</t>
        </is>
      </c>
    </row>
    <row r="10">
      <c r="B10" s="47" t="n">
        <v>46426</v>
      </c>
      <c r="C10" s="36" t="inlineStr">
        <is>
          <t>Sugarplum Cakery</t>
        </is>
      </c>
      <c r="D10" s="36" t="inlineStr">
        <is>
          <t>Cake: lemon elderflower + chocolate caramel</t>
        </is>
      </c>
      <c r="E10" s="27" t="inlineStr">
        <is>
          <t>5</t>
        </is>
      </c>
      <c r="F10" s="27" t="inlineStr">
        <is>
          <t>4</t>
        </is>
      </c>
      <c r="G10" s="27" t="inlineStr">
        <is>
          <t>Yes</t>
        </is>
      </c>
      <c r="H10" s="36" t="inlineStr">
        <is>
          <t>Lemon tier won everyone over</t>
        </is>
      </c>
    </row>
    <row r="11">
      <c r="B11" s="47" t="n"/>
      <c r="C11" s="36" t="n"/>
      <c r="D11" s="36" t="n"/>
      <c r="E11" s="27" t="n"/>
      <c r="F11" s="27" t="n"/>
      <c r="G11" s="27" t="n"/>
      <c r="H11" s="36" t="n"/>
    </row>
    <row r="12">
      <c r="B12" s="47" t="n"/>
      <c r="C12" s="36" t="n"/>
      <c r="D12" s="36" t="n"/>
      <c r="E12" s="27" t="n"/>
      <c r="F12" s="27" t="n"/>
      <c r="G12" s="27" t="n"/>
      <c r="H12" s="36" t="n"/>
    </row>
    <row r="13">
      <c r="B13" s="47" t="n"/>
      <c r="C13" s="36" t="n"/>
      <c r="D13" s="36" t="n"/>
      <c r="E13" s="27" t="n"/>
      <c r="F13" s="27" t="n"/>
      <c r="G13" s="27" t="n"/>
      <c r="H13" s="36" t="n"/>
    </row>
    <row r="14">
      <c r="B14" s="47" t="n"/>
      <c r="C14" s="36" t="n"/>
      <c r="D14" s="36" t="n"/>
      <c r="E14" s="27" t="n"/>
      <c r="F14" s="27" t="n"/>
      <c r="G14" s="27" t="n"/>
      <c r="H14" s="36" t="n"/>
    </row>
    <row r="15">
      <c r="B15" s="47" t="n"/>
      <c r="C15" s="36" t="n"/>
      <c r="D15" s="36" t="n"/>
      <c r="E15" s="27" t="n"/>
      <c r="F15" s="27" t="n"/>
      <c r="G15" s="27" t="n"/>
      <c r="H15" s="36" t="n"/>
    </row>
    <row r="16">
      <c r="B16" s="47" t="n"/>
      <c r="C16" s="36" t="n"/>
      <c r="D16" s="36" t="n"/>
      <c r="E16" s="27" t="n"/>
      <c r="F16" s="27" t="n"/>
      <c r="G16" s="27" t="n"/>
      <c r="H16" s="36" t="n"/>
    </row>
    <row r="17">
      <c r="B17" s="47" t="n"/>
      <c r="C17" s="36" t="n"/>
      <c r="D17" s="36" t="n"/>
      <c r="E17" s="27" t="n"/>
      <c r="F17" s="27" t="n"/>
      <c r="G17" s="27" t="n"/>
      <c r="H17" s="36" t="n"/>
    </row>
    <row r="18">
      <c r="B18" s="47" t="n"/>
      <c r="C18" s="36" t="n"/>
      <c r="D18" s="36" t="n"/>
      <c r="E18" s="27" t="n"/>
      <c r="F18" s="27" t="n"/>
      <c r="G18" s="27" t="n"/>
      <c r="H18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H18"/>
  <mergeCells count="2">
    <mergeCell ref="B1:H1"/>
    <mergeCell ref="B2:H2"/>
  </mergeCells>
  <conditionalFormatting sqref="G9:G18">
    <cfRule type="cellIs" priority="1" operator="equal" dxfId="0">
      <formula>"Yes"</formula>
    </cfRule>
    <cfRule type="cellIs" priority="2" operator="equal" dxfId="1">
      <formula>"No"</formula>
    </cfRule>
  </conditionalFormatting>
  <dataValidations count="3">
    <dataValidation sqref="E9:E18" showDropDown="0" showInputMessage="0" showErrorMessage="0" allowBlank="1" type="list">
      <formula1>"1,2,3,4,5"</formula1>
    </dataValidation>
    <dataValidation sqref="F9:F18" showDropDown="0" showInputMessage="0" showErrorMessage="0" allowBlank="1" type="list">
      <formula1>"1,2,3,4,5"</formula1>
    </dataValidation>
    <dataValidation sqref="G9:G18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tabColor rgb="00C97B63"/>
    <outlinePr summaryBelow="1" summaryRight="1"/>
    <pageSetUpPr fitToPage="1"/>
  </sheetPr>
  <dimension ref="B1:G21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4" customWidth="1" min="2" max="2"/>
    <col width="22" customWidth="1" min="3" max="3"/>
    <col width="10" customWidth="1" min="4" max="4"/>
    <col width="14" customWidth="1" min="5" max="5"/>
    <col width="14" customWidth="1" min="6" max="6"/>
    <col width="22" customWidth="1" min="7" max="7"/>
  </cols>
  <sheetData>
    <row r="1" ht="30" customHeight="1">
      <c r="B1" s="1" t="inlineStr">
        <is>
          <t>🌙  LATE-NIGHT SNACK IDEAS</t>
        </is>
      </c>
      <c r="C1" s="2" t="n"/>
      <c r="D1" s="2" t="n"/>
      <c r="E1" s="2" t="n"/>
      <c r="F1" s="2" t="n"/>
      <c r="G1" s="3" t="n"/>
    </row>
    <row r="2" ht="15" customHeight="1">
      <c r="B2" s="4" t="inlineStr">
        <is>
          <t>The midnight save — ideas, quantities &amp; costs</t>
        </is>
      </c>
      <c r="C2" s="2" t="n"/>
      <c r="D2" s="2" t="n"/>
      <c r="E2" s="2" t="n"/>
      <c r="F2" s="2" t="n"/>
      <c r="G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Snack idea</t>
        </is>
      </c>
      <c r="C8" s="35" t="inlineStr">
        <is>
          <t>Vendor</t>
        </is>
      </c>
      <c r="D8" s="35" t="inlineStr">
        <is>
          <t>Qty</t>
        </is>
      </c>
      <c r="E8" s="35" t="inlineStr">
        <is>
          <t>Est. cost</t>
        </is>
      </c>
      <c r="F8" s="35" t="inlineStr">
        <is>
          <t>Chosen?</t>
        </is>
      </c>
      <c r="G8" s="35" t="inlineStr">
        <is>
          <t>Notes</t>
        </is>
      </c>
    </row>
    <row r="9">
      <c r="B9" s="36" t="inlineStr">
        <is>
          <t>Slider truck</t>
        </is>
      </c>
      <c r="C9" s="36" t="inlineStr">
        <is>
          <t>Bun &amp; Run</t>
        </is>
      </c>
      <c r="D9" s="27" t="n">
        <v>75</v>
      </c>
      <c r="E9" s="45" t="n">
        <v>450</v>
      </c>
      <c r="F9" s="27" t="n"/>
      <c r="G9" s="36" t="n"/>
    </row>
    <row r="10">
      <c r="B10" s="36" t="inlineStr">
        <is>
          <t>Pizza slices</t>
        </is>
      </c>
      <c r="C10" s="36" t="inlineStr">
        <is>
          <t>Slice of Heaven</t>
        </is>
      </c>
      <c r="D10" s="27" t="n">
        <v>80</v>
      </c>
      <c r="E10" s="45" t="n">
        <v>320</v>
      </c>
      <c r="F10" s="27" t="n"/>
      <c r="G10" s="36" t="n"/>
    </row>
    <row r="11">
      <c r="B11" s="36" t="inlineStr">
        <is>
          <t>Churros</t>
        </is>
      </c>
      <c r="C11" s="36" t="inlineStr">
        <is>
          <t>Sweet carts</t>
        </is>
      </c>
      <c r="D11" s="27" t="n">
        <v>60</v>
      </c>
      <c r="E11" s="45" t="n">
        <v>210</v>
      </c>
      <c r="F11" s="27" t="n"/>
      <c r="G11" s="36" t="n"/>
    </row>
    <row r="12">
      <c r="B12" s="36" t="inlineStr">
        <is>
          <t>Milkshakes</t>
        </is>
      </c>
      <c r="C12" s="36" t="inlineStr">
        <is>
          <t>Sugarplum Cakery</t>
        </is>
      </c>
      <c r="D12" s="27" t="n">
        <v>50</v>
      </c>
      <c r="E12" s="45" t="n">
        <v>175</v>
      </c>
      <c r="F12" s="27" t="n"/>
      <c r="G12" s="36" t="n"/>
    </row>
    <row r="13">
      <c r="B13" s="36" t="inlineStr">
        <is>
          <t>Ramen cups</t>
        </is>
      </c>
      <c r="C13" s="36" t="inlineStr">
        <is>
          <t>Self-serve station</t>
        </is>
      </c>
      <c r="D13" s="27" t="n">
        <v>40</v>
      </c>
      <c r="E13" s="45" t="n">
        <v>60</v>
      </c>
      <c r="F13" s="27" t="n"/>
      <c r="G13" s="36" t="n"/>
    </row>
    <row r="14">
      <c r="B14" s="36" t="inlineStr">
        <is>
          <t>Mini tacos</t>
        </is>
      </c>
      <c r="C14" s="36" t="inlineStr">
        <is>
          <t>Fork &amp; Flame</t>
        </is>
      </c>
      <c r="D14" s="27" t="n">
        <v>70</v>
      </c>
      <c r="E14" s="45" t="n">
        <v>280</v>
      </c>
      <c r="F14" s="27" t="n"/>
      <c r="G14" s="36" t="n"/>
    </row>
    <row r="15">
      <c r="B15" s="36" t="inlineStr">
        <is>
          <t>Donut wall</t>
        </is>
      </c>
      <c r="C15" s="36" t="inlineStr">
        <is>
          <t>Glazed &amp; Amused</t>
        </is>
      </c>
      <c r="D15" s="27" t="n">
        <v>60</v>
      </c>
      <c r="E15" s="45" t="n">
        <v>240</v>
      </c>
      <c r="F15" s="27" t="n"/>
      <c r="G15" s="36" t="n"/>
    </row>
    <row r="16">
      <c r="B16" s="36" t="inlineStr">
        <is>
          <t>Pretzel station</t>
        </is>
      </c>
      <c r="C16" s="36" t="inlineStr">
        <is>
          <t>Pop &amp; Pretzel</t>
        </is>
      </c>
      <c r="D16" s="27" t="n">
        <v>50</v>
      </c>
      <c r="E16" s="45" t="n">
        <v>150</v>
      </c>
      <c r="F16" s="27" t="n"/>
      <c r="G16" s="36" t="n"/>
    </row>
    <row r="17">
      <c r="B17" s="36" t="n"/>
      <c r="C17" s="36" t="n"/>
      <c r="D17" s="27" t="n"/>
      <c r="E17" s="45" t="n"/>
      <c r="F17" s="27" t="n"/>
      <c r="G17" s="36" t="n"/>
    </row>
    <row r="18">
      <c r="B18" s="36" t="n"/>
      <c r="C18" s="36" t="n"/>
      <c r="D18" s="27" t="n"/>
      <c r="E18" s="45" t="n"/>
      <c r="F18" s="27" t="n"/>
      <c r="G18" s="36" t="n"/>
    </row>
    <row r="19">
      <c r="B19" s="36" t="n"/>
      <c r="C19" s="36" t="n"/>
      <c r="D19" s="27" t="n"/>
      <c r="E19" s="45" t="n"/>
      <c r="F19" s="27" t="n"/>
      <c r="G19" s="36" t="n"/>
    </row>
    <row r="20">
      <c r="B20" s="36" t="n"/>
      <c r="C20" s="36" t="n"/>
      <c r="D20" s="27" t="n"/>
      <c r="E20" s="45" t="n"/>
      <c r="F20" s="27" t="n"/>
      <c r="G20" s="36" t="n"/>
    </row>
    <row r="21">
      <c r="B21" s="42" t="inlineStr">
        <is>
          <t>TOTAL</t>
        </is>
      </c>
      <c r="C21" s="42" t="n"/>
      <c r="D21" s="42" t="n"/>
      <c r="E21" s="46">
        <f>SUM(E9:E20)</f>
        <v/>
      </c>
      <c r="F21" s="42" t="n"/>
      <c r="G21" s="4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G20"/>
  <mergeCells count="2">
    <mergeCell ref="B2:G2"/>
    <mergeCell ref="B1:G1"/>
  </mergeCells>
  <conditionalFormatting sqref="F9:F20">
    <cfRule type="cellIs" priority="1" operator="equal" dxfId="0">
      <formula>"Yes"</formula>
    </cfRule>
  </conditionalFormatting>
  <dataValidations count="1">
    <dataValidation sqref="F9:F20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tabColor rgb="006E4C5B"/>
    <outlinePr summaryBelow="1" summaryRight="1"/>
    <pageSetUpPr fitToPage="1"/>
  </sheetPr>
  <dimension ref="B1:G35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11" customWidth="1" min="2" max="2"/>
    <col width="34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0" customHeight="1">
      <c r="B1" s="1" t="inlineStr">
        <is>
          <t>⏰  WEDDING DAY TIMELINE</t>
        </is>
      </c>
      <c r="C1" s="2" t="n"/>
      <c r="D1" s="2" t="n"/>
      <c r="E1" s="2" t="n"/>
      <c r="F1" s="2" t="n"/>
      <c r="G1" s="3" t="n"/>
    </row>
    <row r="2" ht="15" customHeight="1">
      <c r="B2" s="4" t="inlineStr">
        <is>
          <t>Hour-by-hour from getting ready to send-off</t>
        </is>
      </c>
      <c r="C2" s="2" t="n"/>
      <c r="D2" s="2" t="n"/>
      <c r="E2" s="2" t="n"/>
      <c r="F2" s="2" t="n"/>
      <c r="G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Time</t>
        </is>
      </c>
      <c r="C8" s="35" t="inlineStr">
        <is>
          <t>Event</t>
        </is>
      </c>
      <c r="D8" s="35" t="inlineStr">
        <is>
          <t>Who's involved</t>
        </is>
      </c>
      <c r="E8" s="35" t="inlineStr">
        <is>
          <t>Location</t>
        </is>
      </c>
      <c r="F8" s="35" t="inlineStr">
        <is>
          <t>Lead / vendor</t>
        </is>
      </c>
      <c r="G8" s="35" t="inlineStr">
        <is>
          <t>Notes</t>
        </is>
      </c>
    </row>
    <row r="9">
      <c r="B9" s="27" t="inlineStr">
        <is>
          <t>7:00 AM</t>
        </is>
      </c>
      <c r="C9" s="36" t="inlineStr">
        <is>
          <t>Wake up, breakfast &amp; hydrate</t>
        </is>
      </c>
      <c r="D9" s="36" t="inlineStr">
        <is>
          <t>Couple</t>
        </is>
      </c>
      <c r="E9" s="36" t="inlineStr">
        <is>
          <t>Getting-ready suite</t>
        </is>
      </c>
      <c r="F9" s="36" t="inlineStr">
        <is>
          <t>—</t>
        </is>
      </c>
      <c r="G9" s="36" t="n"/>
    </row>
    <row r="10">
      <c r="B10" s="27" t="inlineStr">
        <is>
          <t>7:30 AM</t>
        </is>
      </c>
      <c r="C10" s="36" t="inlineStr">
        <is>
          <t>Hair &amp; makeup begins</t>
        </is>
      </c>
      <c r="D10" s="36" t="inlineStr">
        <is>
          <t>Wedding party</t>
        </is>
      </c>
      <c r="E10" s="36" t="inlineStr">
        <is>
          <t>Getting-ready suite</t>
        </is>
      </c>
      <c r="F10" s="36" t="inlineStr">
        <is>
          <t>Glow Studio</t>
        </is>
      </c>
      <c r="G10" s="36" t="n"/>
    </row>
    <row r="11">
      <c r="B11" s="27" t="inlineStr">
        <is>
          <t>9:30 AM</t>
        </is>
      </c>
      <c r="C11" s="36" t="inlineStr">
        <is>
          <t>Photographer arrives — detail shots</t>
        </is>
      </c>
      <c r="D11" s="36" t="inlineStr">
        <is>
          <t>Photographer</t>
        </is>
      </c>
      <c r="E11" s="36" t="inlineStr">
        <is>
          <t>Suite</t>
        </is>
      </c>
      <c r="F11" s="36" t="inlineStr">
        <is>
          <t>Golden Hour Photo</t>
        </is>
      </c>
      <c r="G11" s="36" t="n"/>
    </row>
    <row r="12">
      <c r="B12" s="27" t="inlineStr">
        <is>
          <t>10:30 AM</t>
        </is>
      </c>
      <c r="C12" s="36" t="inlineStr">
        <is>
          <t>Get dressed · first look</t>
        </is>
      </c>
      <c r="D12" s="36" t="inlineStr">
        <is>
          <t>Couple</t>
        </is>
      </c>
      <c r="E12" s="36" t="inlineStr">
        <is>
          <t>Garden</t>
        </is>
      </c>
      <c r="F12" s="36" t="n"/>
      <c r="G12" s="36" t="n"/>
    </row>
    <row r="13">
      <c r="B13" s="27" t="inlineStr">
        <is>
          <t>11:00 AM</t>
        </is>
      </c>
      <c r="C13" s="36" t="inlineStr">
        <is>
          <t>Wedding party photos</t>
        </is>
      </c>
      <c r="D13" s="36" t="inlineStr">
        <is>
          <t>Photographer</t>
        </is>
      </c>
      <c r="E13" s="36" t="inlineStr">
        <is>
          <t>Estate grounds</t>
        </is>
      </c>
      <c r="F13" s="36" t="n"/>
      <c r="G13" s="36" t="n"/>
    </row>
    <row r="14">
      <c r="B14" s="27" t="inlineStr">
        <is>
          <t>11:45 AM</t>
        </is>
      </c>
      <c r="C14" s="36" t="inlineStr">
        <is>
          <t>Family formal photos</t>
        </is>
      </c>
      <c r="D14" s="36" t="inlineStr">
        <is>
          <t>Families</t>
        </is>
      </c>
      <c r="E14" s="36" t="inlineStr">
        <is>
          <t>Ceremony lawn</t>
        </is>
      </c>
      <c r="F14" s="36" t="inlineStr">
        <is>
          <t>See Family Photos tab</t>
        </is>
      </c>
      <c r="G14" s="36" t="n"/>
    </row>
    <row r="15">
      <c r="B15" s="27" t="inlineStr">
        <is>
          <t>12:30 PM</t>
        </is>
      </c>
      <c r="C15" s="36" t="inlineStr">
        <is>
          <t>Light lunch &amp; touch-ups</t>
        </is>
      </c>
      <c r="D15" s="36" t="inlineStr">
        <is>
          <t>Everyone</t>
        </is>
      </c>
      <c r="E15" s="36" t="inlineStr">
        <is>
          <t>Suite</t>
        </is>
      </c>
      <c r="F15" s="36" t="n"/>
      <c r="G15" s="36" t="n"/>
    </row>
    <row r="16">
      <c r="B16" s="27" t="inlineStr">
        <is>
          <t>1:30 PM</t>
        </is>
      </c>
      <c r="C16" s="36" t="inlineStr">
        <is>
          <t>Guests arrive · prelude music</t>
        </is>
      </c>
      <c r="D16" s="36" t="inlineStr">
        <is>
          <t>Guests</t>
        </is>
      </c>
      <c r="E16" s="36" t="inlineStr">
        <is>
          <t>Ceremony lawn</t>
        </is>
      </c>
      <c r="F16" s="36" t="inlineStr">
        <is>
          <t>Silver Sparrow DJ</t>
        </is>
      </c>
      <c r="G16" s="36" t="n"/>
    </row>
    <row r="17">
      <c r="B17" s="27" t="inlineStr">
        <is>
          <t>2:00 PM</t>
        </is>
      </c>
      <c r="C17" s="36" t="inlineStr">
        <is>
          <t>CEREMONY 💍</t>
        </is>
      </c>
      <c r="D17" s="36" t="inlineStr">
        <is>
          <t>Everyone</t>
        </is>
      </c>
      <c r="E17" s="36" t="inlineStr">
        <is>
          <t>Ceremony lawn</t>
        </is>
      </c>
      <c r="F17" s="36" t="n"/>
      <c r="G17" s="36" t="n"/>
    </row>
    <row r="18">
      <c r="B18" s="27" t="inlineStr">
        <is>
          <t>2:45 PM</t>
        </is>
      </c>
      <c r="C18" s="36" t="inlineStr">
        <is>
          <t>Cocktail hour · couple portraits</t>
        </is>
      </c>
      <c r="D18" s="36" t="inlineStr">
        <is>
          <t>Guests / couple</t>
        </is>
      </c>
      <c r="E18" s="36" t="inlineStr">
        <is>
          <t>Terrace</t>
        </is>
      </c>
      <c r="F18" s="36" t="n"/>
      <c r="G18" s="36" t="n"/>
    </row>
    <row r="19">
      <c r="B19" s="27" t="inlineStr">
        <is>
          <t>4:00 PM</t>
        </is>
      </c>
      <c r="C19" s="36" t="inlineStr">
        <is>
          <t>Grand entrance &amp; first dance</t>
        </is>
      </c>
      <c r="D19" s="36" t="inlineStr">
        <is>
          <t>Couple</t>
        </is>
      </c>
      <c r="E19" s="36" t="inlineStr">
        <is>
          <t>Reception barn</t>
        </is>
      </c>
      <c r="F19" s="36" t="n"/>
      <c r="G19" s="36" t="n"/>
    </row>
    <row r="20">
      <c r="B20" s="27" t="inlineStr">
        <is>
          <t>4:15 PM</t>
        </is>
      </c>
      <c r="C20" s="36" t="inlineStr">
        <is>
          <t>Dinner service</t>
        </is>
      </c>
      <c r="D20" s="36" t="inlineStr">
        <is>
          <t>Guests</t>
        </is>
      </c>
      <c r="E20" s="36" t="inlineStr">
        <is>
          <t>Reception barn</t>
        </is>
      </c>
      <c r="F20" s="36" t="inlineStr">
        <is>
          <t>Harvest &amp; Vine</t>
        </is>
      </c>
      <c r="G20" s="36" t="n"/>
    </row>
    <row r="21">
      <c r="B21" s="27" t="inlineStr">
        <is>
          <t>5:15 PM</t>
        </is>
      </c>
      <c r="C21" s="36" t="inlineStr">
        <is>
          <t>Toasts</t>
        </is>
      </c>
      <c r="D21" s="36" t="inlineStr">
        <is>
          <t>Best man &amp; MOH</t>
        </is>
      </c>
      <c r="E21" s="36" t="inlineStr">
        <is>
          <t>Reception barn</t>
        </is>
      </c>
      <c r="F21" s="36" t="n"/>
      <c r="G21" s="36" t="n"/>
    </row>
    <row r="22">
      <c r="B22" s="27" t="inlineStr">
        <is>
          <t>6:00 PM</t>
        </is>
      </c>
      <c r="C22" s="36" t="inlineStr">
        <is>
          <t>Cake cutting</t>
        </is>
      </c>
      <c r="D22" s="36" t="inlineStr">
        <is>
          <t>Couple</t>
        </is>
      </c>
      <c r="E22" s="36" t="inlineStr">
        <is>
          <t>Cake table</t>
        </is>
      </c>
      <c r="F22" s="36" t="n"/>
      <c r="G22" s="36" t="n"/>
    </row>
    <row r="23">
      <c r="B23" s="27" t="inlineStr">
        <is>
          <t>6:15 PM</t>
        </is>
      </c>
      <c r="C23" s="36" t="inlineStr">
        <is>
          <t>Open dance floor</t>
        </is>
      </c>
      <c r="D23" s="36" t="inlineStr">
        <is>
          <t>Everyone</t>
        </is>
      </c>
      <c r="E23" s="36" t="inlineStr">
        <is>
          <t>Reception barn</t>
        </is>
      </c>
      <c r="F23" s="36" t="inlineStr">
        <is>
          <t>DJ</t>
        </is>
      </c>
      <c r="G23" s="36" t="n"/>
    </row>
    <row r="24">
      <c r="B24" s="27" t="inlineStr">
        <is>
          <t>8:00 PM</t>
        </is>
      </c>
      <c r="C24" s="36" t="inlineStr">
        <is>
          <t>Bouquet &amp; garter toss</t>
        </is>
      </c>
      <c r="D24" s="36" t="n"/>
      <c r="E24" s="36" t="inlineStr">
        <is>
          <t>Dance floor</t>
        </is>
      </c>
      <c r="F24" s="36" t="n"/>
      <c r="G24" s="36" t="n"/>
    </row>
    <row r="25">
      <c r="B25" s="27" t="inlineStr">
        <is>
          <t>8:30 PM</t>
        </is>
      </c>
      <c r="C25" s="36" t="inlineStr">
        <is>
          <t>Late-night snack surprise</t>
        </is>
      </c>
      <c r="D25" s="36" t="inlineStr">
        <is>
          <t>Everyone</t>
        </is>
      </c>
      <c r="E25" s="36" t="inlineStr">
        <is>
          <t>Reception barn</t>
        </is>
      </c>
      <c r="F25" s="36" t="inlineStr">
        <is>
          <t>Slider truck</t>
        </is>
      </c>
      <c r="G25" s="36" t="n"/>
    </row>
    <row r="26">
      <c r="B26" s="27" t="inlineStr">
        <is>
          <t>9:30 PM</t>
        </is>
      </c>
      <c r="C26" s="36" t="inlineStr">
        <is>
          <t>Last slow dance</t>
        </is>
      </c>
      <c r="D26" s="36" t="inlineStr">
        <is>
          <t>Everyone</t>
        </is>
      </c>
      <c r="E26" s="36" t="inlineStr">
        <is>
          <t>Reception barn</t>
        </is>
      </c>
      <c r="F26" s="36" t="n"/>
      <c r="G26" s="36" t="n"/>
    </row>
    <row r="27">
      <c r="B27" s="27" t="inlineStr">
        <is>
          <t>10:00 PM</t>
        </is>
      </c>
      <c r="C27" s="36" t="inlineStr">
        <is>
          <t>Sparkler send-off ✨</t>
        </is>
      </c>
      <c r="D27" s="36" t="inlineStr">
        <is>
          <t>Everyone</t>
        </is>
      </c>
      <c r="E27" s="36" t="inlineStr">
        <is>
          <t>Estate drive</t>
        </is>
      </c>
      <c r="F27" s="36" t="n"/>
      <c r="G27" s="36" t="n"/>
    </row>
    <row r="28">
      <c r="B28" s="27" t="n"/>
      <c r="C28" s="36" t="n"/>
      <c r="D28" s="36" t="n"/>
      <c r="E28" s="36" t="n"/>
      <c r="F28" s="36" t="n"/>
      <c r="G28" s="36" t="n"/>
    </row>
    <row r="29">
      <c r="B29" s="27" t="n"/>
      <c r="C29" s="36" t="n"/>
      <c r="D29" s="36" t="n"/>
      <c r="E29" s="36" t="n"/>
      <c r="F29" s="36" t="n"/>
      <c r="G29" s="36" t="n"/>
    </row>
    <row r="30">
      <c r="B30" s="27" t="n"/>
      <c r="C30" s="36" t="n"/>
      <c r="D30" s="36" t="n"/>
      <c r="E30" s="36" t="n"/>
      <c r="F30" s="36" t="n"/>
      <c r="G30" s="36" t="n"/>
    </row>
    <row r="31">
      <c r="B31" s="27" t="n"/>
      <c r="C31" s="36" t="n"/>
      <c r="D31" s="36" t="n"/>
      <c r="E31" s="36" t="n"/>
      <c r="F31" s="36" t="n"/>
      <c r="G31" s="36" t="n"/>
    </row>
    <row r="32">
      <c r="B32" s="27" t="n"/>
      <c r="C32" s="36" t="n"/>
      <c r="D32" s="36" t="n"/>
      <c r="E32" s="36" t="n"/>
      <c r="F32" s="36" t="n"/>
      <c r="G32" s="36" t="n"/>
    </row>
    <row r="33">
      <c r="B33" s="27" t="n"/>
      <c r="C33" s="36" t="n"/>
      <c r="D33" s="36" t="n"/>
      <c r="E33" s="36" t="n"/>
      <c r="F33" s="36" t="n"/>
      <c r="G33" s="36" t="n"/>
    </row>
    <row r="34">
      <c r="B34" s="27" t="n"/>
      <c r="C34" s="36" t="n"/>
      <c r="D34" s="36" t="n"/>
      <c r="E34" s="36" t="n"/>
      <c r="F34" s="36" t="n"/>
      <c r="G34" s="36" t="n"/>
    </row>
    <row r="35">
      <c r="B35" s="27" t="n"/>
      <c r="C35" s="36" t="n"/>
      <c r="D35" s="36" t="n"/>
      <c r="E35" s="36" t="n"/>
      <c r="F35" s="36" t="n"/>
      <c r="G35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G35"/>
  <mergeCells count="2">
    <mergeCell ref="B2:G2"/>
    <mergeCell ref="B1:G1"/>
  </mergeCell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tabColor rgb="006E4C5B"/>
    <outlinePr summaryBelow="1" summaryRight="1"/>
    <pageSetUpPr fitToPage="1"/>
  </sheetPr>
  <dimension ref="B1:E37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12" customWidth="1" min="2" max="2"/>
    <col width="26" customWidth="1" min="3" max="3"/>
    <col width="30" customWidth="1" min="4" max="4"/>
    <col width="28" customWidth="1" min="5" max="5"/>
  </cols>
  <sheetData>
    <row r="1" ht="30" customHeight="1">
      <c r="B1" s="1" t="inlineStr">
        <is>
          <t>🍝  REHEARSAL DINNER PLANNER</t>
        </is>
      </c>
      <c r="C1" s="2" t="n"/>
      <c r="D1" s="2" t="n"/>
      <c r="E1" s="3" t="n"/>
    </row>
    <row r="2" ht="15" customHeight="1">
      <c r="B2" s="4" t="inlineStr">
        <is>
          <t>Guest list, venue, menu &amp; toasts</t>
        </is>
      </c>
      <c r="C2" s="2" t="n"/>
      <c r="D2" s="2" t="n"/>
      <c r="E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5" ht="20" customHeight="1">
      <c r="B5" s="6" t="inlineStr">
        <is>
          <t>THE PLAN</t>
        </is>
      </c>
      <c r="C5" s="7" t="n"/>
      <c r="D5" s="7" t="n"/>
      <c r="E5" s="7" t="n"/>
    </row>
    <row r="6">
      <c r="B6" s="8" t="inlineStr">
        <is>
          <t>Date</t>
        </is>
      </c>
      <c r="C6" s="36" t="inlineStr">
        <is>
          <t>Friday 21 May 2027</t>
        </is>
      </c>
      <c r="D6" s="57" t="n"/>
      <c r="E6" s="58" t="n"/>
    </row>
    <row r="7">
      <c r="B7" s="8" t="inlineStr">
        <is>
          <t>Time</t>
        </is>
      </c>
      <c r="C7" s="36" t="inlineStr">
        <is>
          <t>6:30 PM</t>
        </is>
      </c>
      <c r="D7" s="57" t="n"/>
      <c r="E7" s="58" t="n"/>
    </row>
    <row r="8">
      <c r="B8" s="8" t="inlineStr">
        <is>
          <t>Venue</t>
        </is>
      </c>
      <c r="C8" s="36" t="inlineStr">
        <is>
          <t>Copper Kettle Kitchen</t>
        </is>
      </c>
      <c r="D8" s="57" t="n"/>
      <c r="E8" s="58" t="n"/>
    </row>
    <row r="9">
      <c r="B9" s="8" t="inlineStr">
        <is>
          <t>Hosted by</t>
        </is>
      </c>
      <c r="C9" s="36" t="inlineStr">
        <is>
          <t>The Lee family</t>
        </is>
      </c>
      <c r="D9" s="57" t="n"/>
      <c r="E9" s="58" t="n"/>
    </row>
    <row r="10">
      <c r="B10" s="8" t="inlineStr">
        <is>
          <t>Menu theme</t>
        </is>
      </c>
      <c r="C10" s="36" t="inlineStr">
        <is>
          <t>Family-style Italian</t>
        </is>
      </c>
      <c r="D10" s="57" t="n"/>
      <c r="E10" s="58" t="n"/>
    </row>
    <row r="12" ht="20" customHeight="1">
      <c r="B12" s="6" t="inlineStr">
        <is>
          <t>GUEST LIST</t>
        </is>
      </c>
      <c r="C12" s="7" t="n"/>
      <c r="D12" s="7" t="n"/>
      <c r="E12" s="7" t="n"/>
    </row>
    <row r="13" ht="26" customHeight="1">
      <c r="B13" s="35" t="inlineStr">
        <is>
          <t>Guest / group</t>
        </is>
      </c>
      <c r="C13" s="35" t="inlineStr">
        <is>
          <t>Party</t>
        </is>
      </c>
      <c r="D13" s="35" t="inlineStr">
        <is>
          <t>Attending?</t>
        </is>
      </c>
      <c r="E13" s="35" t="inlineStr">
        <is>
          <t>Notes</t>
        </is>
      </c>
    </row>
    <row r="14">
      <c r="B14" s="36" t="inlineStr">
        <is>
          <t>Jordan Lee</t>
        </is>
      </c>
      <c r="C14" s="36" t="inlineStr">
        <is>
          <t>The couple</t>
        </is>
      </c>
      <c r="D14" s="27" t="n"/>
      <c r="E14" s="36" t="n"/>
    </row>
    <row r="15">
      <c r="B15" s="36" t="inlineStr">
        <is>
          <t>Alex Morgan</t>
        </is>
      </c>
      <c r="C15" s="36" t="inlineStr">
        <is>
          <t>The couple</t>
        </is>
      </c>
      <c r="D15" s="27" t="n"/>
      <c r="E15" s="36" t="n"/>
    </row>
    <row r="16">
      <c r="B16" s="36" t="inlineStr">
        <is>
          <t>Rev. Harper</t>
        </is>
      </c>
      <c r="C16" s="36" t="inlineStr">
        <is>
          <t>Officiant + spouse</t>
        </is>
      </c>
      <c r="D16" s="27" t="n"/>
      <c r="E16" s="36" t="n"/>
    </row>
    <row r="17">
      <c r="B17" s="36" t="inlineStr">
        <is>
          <t>Parents &amp; grandparents</t>
        </is>
      </c>
      <c r="C17" s="36" t="inlineStr">
        <is>
          <t>Both families</t>
        </is>
      </c>
      <c r="D17" s="27" t="n"/>
      <c r="E17" s="36" t="n"/>
    </row>
    <row r="18">
      <c r="B18" s="36" t="inlineStr">
        <is>
          <t>Wedding party + plus-ones</t>
        </is>
      </c>
      <c r="C18" s="36" t="inlineStr">
        <is>
          <t>Wedding party</t>
        </is>
      </c>
      <c r="D18" s="27" t="n"/>
      <c r="E18" s="36" t="n"/>
    </row>
    <row r="19">
      <c r="B19" s="36" t="inlineStr">
        <is>
          <t>Readers &amp; ring bearers</t>
        </is>
      </c>
      <c r="C19" s="36" t="inlineStr">
        <is>
          <t>Ceremony roles</t>
        </is>
      </c>
      <c r="D19" s="27" t="n"/>
      <c r="E19" s="36" t="n"/>
    </row>
    <row r="20">
      <c r="B20" s="36" t="n"/>
      <c r="C20" s="36" t="n"/>
      <c r="D20" s="27" t="n"/>
      <c r="E20" s="36" t="n"/>
    </row>
    <row r="21">
      <c r="B21" s="36" t="n"/>
      <c r="C21" s="36" t="n"/>
      <c r="D21" s="27" t="n"/>
      <c r="E21" s="36" t="n"/>
    </row>
    <row r="22">
      <c r="B22" s="36" t="n"/>
      <c r="C22" s="36" t="n"/>
      <c r="D22" s="27" t="n"/>
      <c r="E22" s="36" t="n"/>
    </row>
    <row r="23">
      <c r="B23" s="36" t="n"/>
      <c r="C23" s="36" t="n"/>
      <c r="D23" s="27" t="n"/>
      <c r="E23" s="36" t="n"/>
    </row>
    <row r="24">
      <c r="B24" s="36" t="n"/>
      <c r="C24" s="36" t="n"/>
      <c r="D24" s="27" t="n"/>
      <c r="E24" s="36" t="n"/>
    </row>
    <row r="25">
      <c r="B25" s="36" t="n"/>
      <c r="C25" s="36" t="n"/>
      <c r="D25" s="27" t="n"/>
      <c r="E25" s="36" t="n"/>
    </row>
    <row r="26">
      <c r="B26" s="36" t="n"/>
      <c r="C26" s="36" t="n"/>
      <c r="D26" s="27" t="n"/>
      <c r="E26" s="36" t="n"/>
    </row>
    <row r="27">
      <c r="B27" s="36" t="n"/>
      <c r="C27" s="36" t="n"/>
      <c r="D27" s="27" t="n"/>
      <c r="E27" s="36" t="n"/>
    </row>
    <row r="28" ht="20" customHeight="1">
      <c r="B28" s="55" t="inlineStr">
        <is>
          <t>TOAST SCHEDULE</t>
        </is>
      </c>
      <c r="C28" s="56" t="n"/>
      <c r="D28" s="56" t="n"/>
      <c r="E28" s="56" t="n"/>
    </row>
    <row r="29" ht="26" customHeight="1">
      <c r="B29" s="59" t="inlineStr">
        <is>
          <t>Time</t>
        </is>
      </c>
      <c r="C29" s="59" t="inlineStr">
        <is>
          <t>Speaker</t>
        </is>
      </c>
      <c r="D29" s="59" t="inlineStr">
        <is>
          <t>Topic / notes</t>
        </is>
      </c>
      <c r="E29" s="36" t="n"/>
    </row>
    <row r="30">
      <c r="B30" s="27" t="inlineStr">
        <is>
          <t>6:45 PM</t>
        </is>
      </c>
      <c r="C30" s="36" t="inlineStr">
        <is>
          <t>Host welcome</t>
        </is>
      </c>
      <c r="D30" s="36" t="inlineStr">
        <is>
          <t>Mr. Lee</t>
        </is>
      </c>
    </row>
    <row r="31">
      <c r="B31" s="27" t="inlineStr">
        <is>
          <t>7:30 PM</t>
        </is>
      </c>
      <c r="C31" s="36" t="inlineStr">
        <is>
          <t>Parents' toast</t>
        </is>
      </c>
      <c r="D31" s="36" t="inlineStr">
        <is>
          <t>Both sets of parents</t>
        </is>
      </c>
    </row>
    <row r="32">
      <c r="B32" s="27" t="inlineStr">
        <is>
          <t>8:15 PM</t>
        </is>
      </c>
      <c r="C32" s="36" t="inlineStr">
        <is>
          <t>Couple thanks everyone</t>
        </is>
      </c>
      <c r="D32" s="36" t="inlineStr">
        <is>
          <t>Jordan &amp; Alex</t>
        </is>
      </c>
    </row>
    <row r="33">
      <c r="B33" s="27" t="n"/>
      <c r="C33" s="36" t="n"/>
      <c r="D33" s="36" t="n"/>
    </row>
    <row r="34">
      <c r="B34" s="27" t="n"/>
      <c r="C34" s="36" t="n"/>
      <c r="D34" s="36" t="n"/>
    </row>
    <row r="35">
      <c r="B35" s="27" t="n"/>
      <c r="C35" s="36" t="n"/>
      <c r="D35" s="36" t="n"/>
    </row>
    <row r="36">
      <c r="B36" s="27" t="n"/>
      <c r="C36" s="36" t="n"/>
      <c r="D36" s="36" t="n"/>
    </row>
    <row r="37">
      <c r="B37" s="27" t="n"/>
      <c r="C37" s="36" t="n"/>
      <c r="D37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mergeCells count="10">
    <mergeCell ref="B1:E1"/>
    <mergeCell ref="B12:E12"/>
    <mergeCell ref="C8:E8"/>
    <mergeCell ref="C9:E9"/>
    <mergeCell ref="B5:E5"/>
    <mergeCell ref="B2:E2"/>
    <mergeCell ref="C7:E7"/>
    <mergeCell ref="B28:E28"/>
    <mergeCell ref="C6:E6"/>
    <mergeCell ref="C10:E10"/>
  </mergeCells>
  <dataValidations count="1">
    <dataValidation sqref="D14:D29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tabColor rgb="006E4C5B"/>
    <outlinePr summaryBelow="1" summaryRight="1"/>
    <pageSetUpPr fitToPage="1"/>
  </sheetPr>
  <dimension ref="B1:F24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9" customWidth="1" min="2" max="2"/>
    <col width="30" customWidth="1" min="3" max="3"/>
    <col width="34" customWidth="1" min="4" max="4"/>
    <col width="22" customWidth="1" min="5" max="5"/>
    <col width="24" customWidth="1" min="6" max="6"/>
  </cols>
  <sheetData>
    <row r="1" ht="30" customHeight="1">
      <c r="B1" s="1" t="inlineStr">
        <is>
          <t>💍  CEREMONY ORDER OF EVENTS</t>
        </is>
      </c>
      <c r="C1" s="2" t="n"/>
      <c r="D1" s="2" t="n"/>
      <c r="E1" s="2" t="n"/>
      <c r="F1" s="3" t="n"/>
    </row>
    <row r="2" ht="15" customHeight="1">
      <c r="B2" s="4" t="inlineStr">
        <is>
          <t>Processional, readings, vows, ring exchange &amp; recessional</t>
        </is>
      </c>
      <c r="C2" s="2" t="n"/>
      <c r="D2" s="2" t="n"/>
      <c r="E2" s="2" t="n"/>
      <c r="F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#</t>
        </is>
      </c>
      <c r="C8" s="35" t="inlineStr">
        <is>
          <t>Moment</t>
        </is>
      </c>
      <c r="D8" s="35" t="inlineStr">
        <is>
          <t>Music / reading</t>
        </is>
      </c>
      <c r="E8" s="35" t="inlineStr">
        <is>
          <t>Participants</t>
        </is>
      </c>
      <c r="F8" s="35" t="inlineStr">
        <is>
          <t>Notes</t>
        </is>
      </c>
    </row>
    <row r="9">
      <c r="B9" s="27" t="n">
        <v>1</v>
      </c>
      <c r="C9" s="36" t="inlineStr">
        <is>
          <t>Pre-service prelude</t>
        </is>
      </c>
      <c r="D9" s="36" t="inlineStr">
        <is>
          <t>Canon in D (instrumental)</t>
        </is>
      </c>
      <c r="E9" s="36" t="inlineStr">
        <is>
          <t>DJ</t>
        </is>
      </c>
      <c r="F9" s="36" t="inlineStr">
        <is>
          <t>Starts 30 min before</t>
        </is>
      </c>
    </row>
    <row r="10">
      <c r="B10" s="27" t="n">
        <v>2</v>
      </c>
      <c r="C10" s="36" t="inlineStr">
        <is>
          <t>Family seating</t>
        </is>
      </c>
      <c r="D10" s="36" t="inlineStr">
        <is>
          <t>Landslide (instrumental)</t>
        </is>
      </c>
      <c r="E10" s="36" t="inlineStr">
        <is>
          <t>Ushers</t>
        </is>
      </c>
      <c r="F10" s="36" t="n"/>
    </row>
    <row r="11">
      <c r="B11" s="27" t="n">
        <v>3</v>
      </c>
      <c r="C11" s="36" t="inlineStr">
        <is>
          <t>Wedding party processional</t>
        </is>
      </c>
      <c r="D11" s="36" t="inlineStr">
        <is>
          <t>Can't Help Falling in Love — Kina Grannis</t>
        </is>
      </c>
      <c r="E11" s="36" t="inlineStr">
        <is>
          <t>Wedding party</t>
        </is>
      </c>
      <c r="F11" s="36" t="n"/>
    </row>
    <row r="12">
      <c r="B12" s="27" t="n">
        <v>4</v>
      </c>
      <c r="C12" s="36" t="inlineStr">
        <is>
          <t>Bride's processional</t>
        </is>
      </c>
      <c r="D12" s="36" t="inlineStr">
        <is>
          <t>At Last — string quartet version</t>
        </is>
      </c>
      <c r="E12" s="36" t="inlineStr">
        <is>
          <t>Alex &amp; escort</t>
        </is>
      </c>
      <c r="F12" s="36" t="n"/>
    </row>
    <row r="13">
      <c r="B13" s="27" t="n">
        <v>5</v>
      </c>
      <c r="C13" s="36" t="inlineStr">
        <is>
          <t>Words of welcome</t>
        </is>
      </c>
      <c r="D13" s="36" t="n"/>
      <c r="E13" s="36" t="inlineStr">
        <is>
          <t>Rev. Harper</t>
        </is>
      </c>
      <c r="F13" s="36" t="n"/>
    </row>
    <row r="14">
      <c r="B14" s="27" t="n">
        <v>6</v>
      </c>
      <c r="C14" s="36" t="inlineStr">
        <is>
          <t>First reading</t>
        </is>
      </c>
      <c r="D14" s="36" t="inlineStr">
        <is>
          <t>The Art of Marriage</t>
        </is>
      </c>
      <c r="E14" s="36" t="inlineStr">
        <is>
          <t>Ava's sister</t>
        </is>
      </c>
      <c r="F14" s="36" t="n"/>
    </row>
    <row r="15">
      <c r="B15" s="27" t="n">
        <v>7</v>
      </c>
      <c r="C15" s="36" t="inlineStr">
        <is>
          <t>Second reading</t>
        </is>
      </c>
      <c r="D15" s="36" t="inlineStr">
        <is>
          <t>Sonnet 116 — Shakespeare</t>
        </is>
      </c>
      <c r="E15" s="36" t="inlineStr">
        <is>
          <t>Noah's brother</t>
        </is>
      </c>
      <c r="F15" s="36" t="n"/>
    </row>
    <row r="16">
      <c r="B16" s="27" t="n">
        <v>8</v>
      </c>
      <c r="C16" s="36" t="inlineStr">
        <is>
          <t>Vows</t>
        </is>
      </c>
      <c r="D16" s="36" t="inlineStr">
        <is>
          <t>Handwritten</t>
        </is>
      </c>
      <c r="E16" s="36" t="inlineStr">
        <is>
          <t>The couple</t>
        </is>
      </c>
      <c r="F16" s="36" t="inlineStr">
        <is>
          <t>See Vow Worksheet</t>
        </is>
      </c>
    </row>
    <row r="17">
      <c r="B17" s="27" t="n">
        <v>9</v>
      </c>
      <c r="C17" s="36" t="inlineStr">
        <is>
          <t>Ring exchange</t>
        </is>
      </c>
      <c r="D17" s="36" t="inlineStr">
        <is>
          <t>Soft instrumental</t>
        </is>
      </c>
      <c r="E17" s="36" t="inlineStr">
        <is>
          <t>The couple</t>
        </is>
      </c>
      <c r="F17" s="36" t="inlineStr">
        <is>
          <t>Ring bearer</t>
        </is>
      </c>
    </row>
    <row r="18">
      <c r="B18" s="27" t="n">
        <v>10</v>
      </c>
      <c r="C18" s="36" t="inlineStr">
        <is>
          <t>Unity ritual</t>
        </is>
      </c>
      <c r="D18" s="36" t="inlineStr">
        <is>
          <t>Handfasting with family ribbons</t>
        </is>
      </c>
      <c r="E18" s="36" t="inlineStr">
        <is>
          <t>The couple</t>
        </is>
      </c>
      <c r="F18" s="36" t="n"/>
    </row>
    <row r="19">
      <c r="B19" s="27" t="n">
        <v>11</v>
      </c>
      <c r="C19" s="36" t="inlineStr">
        <is>
          <t>Pronouncement &amp; first kiss</t>
        </is>
      </c>
      <c r="D19" s="36" t="n"/>
      <c r="E19" s="36" t="inlineStr">
        <is>
          <t>Rev. Harper</t>
        </is>
      </c>
      <c r="F19" s="36" t="n"/>
    </row>
    <row r="20">
      <c r="B20" s="27" t="n">
        <v>12</v>
      </c>
      <c r="C20" s="36" t="inlineStr">
        <is>
          <t>Recessional</t>
        </is>
      </c>
      <c r="D20" s="36" t="inlineStr">
        <is>
          <t>Signed, Sealed, Delivered — Stevie Wonder</t>
        </is>
      </c>
      <c r="E20" s="36" t="inlineStr">
        <is>
          <t>Everyone</t>
        </is>
      </c>
      <c r="F20" s="36" t="n"/>
    </row>
    <row r="21">
      <c r="B21" s="27" t="n"/>
      <c r="C21" s="36" t="n"/>
      <c r="D21" s="36" t="n"/>
      <c r="E21" s="36" t="n"/>
      <c r="F21" s="36" t="n"/>
    </row>
    <row r="22">
      <c r="B22" s="27" t="n"/>
      <c r="C22" s="36" t="n"/>
      <c r="D22" s="36" t="n"/>
      <c r="E22" s="36" t="n"/>
      <c r="F22" s="36" t="n"/>
    </row>
    <row r="23">
      <c r="B23" s="27" t="n"/>
      <c r="C23" s="36" t="n"/>
      <c r="D23" s="36" t="n"/>
      <c r="E23" s="36" t="n"/>
      <c r="F23" s="36" t="n"/>
    </row>
    <row r="24">
      <c r="B24" s="27" t="n"/>
      <c r="C24" s="36" t="n"/>
      <c r="D24" s="36" t="n"/>
      <c r="E24" s="36" t="n"/>
      <c r="F24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F24"/>
  <mergeCells count="2">
    <mergeCell ref="B2:F2"/>
    <mergeCell ref="B1:F1"/>
  </mergeCell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tabColor rgb="006E4C5B"/>
    <outlinePr summaryBelow="1" summaryRight="1"/>
    <pageSetUpPr fitToPage="1"/>
  </sheetPr>
  <dimension ref="B1:F26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11" customWidth="1" min="2" max="2"/>
    <col width="32" customWidth="1" min="3" max="3"/>
    <col width="30" customWidth="1" min="4" max="4"/>
    <col width="20" customWidth="1" min="5" max="5"/>
    <col width="24" customWidth="1" min="6" max="6"/>
  </cols>
  <sheetData>
    <row r="1" ht="30" customHeight="1">
      <c r="B1" s="1" t="inlineStr">
        <is>
          <t>🕺  RECEPTION TIMELINE</t>
        </is>
      </c>
      <c r="C1" s="2" t="n"/>
      <c r="D1" s="2" t="n"/>
      <c r="E1" s="2" t="n"/>
      <c r="F1" s="3" t="n"/>
    </row>
    <row r="2" ht="15" customHeight="1">
      <c r="B2" s="4" t="inlineStr">
        <is>
          <t>Grand entrance, first dance, toasts, cake cutting &amp; bouquet toss</t>
        </is>
      </c>
      <c r="C2" s="2" t="n"/>
      <c r="D2" s="2" t="n"/>
      <c r="E2" s="2" t="n"/>
      <c r="F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Time</t>
        </is>
      </c>
      <c r="C8" s="35" t="inlineStr">
        <is>
          <t>Event</t>
        </is>
      </c>
      <c r="D8" s="35" t="inlineStr">
        <is>
          <t>DJ cue / song</t>
        </is>
      </c>
      <c r="E8" s="35" t="inlineStr">
        <is>
          <t>Who</t>
        </is>
      </c>
      <c r="F8" s="35" t="inlineStr">
        <is>
          <t>Notes</t>
        </is>
      </c>
    </row>
    <row r="9">
      <c r="B9" s="27" t="inlineStr">
        <is>
          <t>3:30 PM</t>
        </is>
      </c>
      <c r="C9" s="36" t="inlineStr">
        <is>
          <t>Wedding party line-up</t>
        </is>
      </c>
      <c r="D9" s="36" t="inlineStr">
        <is>
          <t>DJ cue — hype track</t>
        </is>
      </c>
      <c r="E9" s="36" t="inlineStr">
        <is>
          <t>Wedding party</t>
        </is>
      </c>
      <c r="F9" s="36" t="n"/>
    </row>
    <row r="10">
      <c r="B10" s="27" t="inlineStr">
        <is>
          <t>4:00 PM</t>
        </is>
      </c>
      <c r="C10" s="36" t="inlineStr">
        <is>
          <t>Grand entrance</t>
        </is>
      </c>
      <c r="D10" s="36" t="inlineStr">
        <is>
          <t>DJ cue — couple's entrance song</t>
        </is>
      </c>
      <c r="E10" s="36" t="inlineStr">
        <is>
          <t>The couple</t>
        </is>
      </c>
      <c r="F10" s="36" t="n"/>
    </row>
    <row r="11">
      <c r="B11" s="27" t="inlineStr">
        <is>
          <t>4:05 PM</t>
        </is>
      </c>
      <c r="C11" s="36" t="inlineStr">
        <is>
          <t>First dance</t>
        </is>
      </c>
      <c r="D11" s="36" t="inlineStr">
        <is>
          <t>First dance song (see Special Dances)</t>
        </is>
      </c>
      <c r="E11" s="36" t="inlineStr">
        <is>
          <t>The couple</t>
        </is>
      </c>
      <c r="F11" s="36" t="n"/>
    </row>
    <row r="12">
      <c r="B12" s="27" t="inlineStr">
        <is>
          <t>4:15 PM</t>
        </is>
      </c>
      <c r="C12" s="36" t="inlineStr">
        <is>
          <t>Welcome &amp; toasts begin</t>
        </is>
      </c>
      <c r="D12" s="36" t="inlineStr">
        <is>
          <t>Mics on</t>
        </is>
      </c>
      <c r="E12" s="36" t="inlineStr">
        <is>
          <t>Best man &amp; MOH</t>
        </is>
      </c>
      <c r="F12" s="36" t="n"/>
    </row>
    <row r="13">
      <c r="B13" s="27" t="inlineStr">
        <is>
          <t>4:45 PM</t>
        </is>
      </c>
      <c r="C13" s="36" t="inlineStr">
        <is>
          <t>Dinner service</t>
        </is>
      </c>
      <c r="D13" s="36" t="inlineStr">
        <is>
          <t>Playlist — dinner vibes</t>
        </is>
      </c>
      <c r="E13" s="36" t="inlineStr">
        <is>
          <t>Guests</t>
        </is>
      </c>
      <c r="F13" s="36" t="n"/>
    </row>
    <row r="14">
      <c r="B14" s="27" t="inlineStr">
        <is>
          <t>6:00 PM</t>
        </is>
      </c>
      <c r="C14" s="36" t="inlineStr">
        <is>
          <t>Father–daughter &amp; mother–son dances</t>
        </is>
      </c>
      <c r="D14" s="36" t="inlineStr">
        <is>
          <t>DJ cue</t>
        </is>
      </c>
      <c r="E14" s="36" t="inlineStr">
        <is>
          <t>Families</t>
        </is>
      </c>
      <c r="F14" s="36" t="n"/>
    </row>
    <row r="15">
      <c r="B15" s="27" t="inlineStr">
        <is>
          <t>6:15 PM</t>
        </is>
      </c>
      <c r="C15" s="36" t="inlineStr">
        <is>
          <t>Cake cutting</t>
        </is>
      </c>
      <c r="D15" s="36" t="inlineStr">
        <is>
          <t>DJ cue — fun song</t>
        </is>
      </c>
      <c r="E15" s="36" t="inlineStr">
        <is>
          <t>The couple</t>
        </is>
      </c>
      <c r="F15" s="36" t="n"/>
    </row>
    <row r="16">
      <c r="B16" s="27" t="inlineStr">
        <is>
          <t>6:30 PM</t>
        </is>
      </c>
      <c r="C16" s="36" t="inlineStr">
        <is>
          <t>Open dance floor</t>
        </is>
      </c>
      <c r="D16" s="36" t="inlineStr">
        <is>
          <t>DJ — high energy set</t>
        </is>
      </c>
      <c r="E16" s="36" t="inlineStr">
        <is>
          <t>Everyone</t>
        </is>
      </c>
      <c r="F16" s="36" t="n"/>
    </row>
    <row r="17">
      <c r="B17" s="27" t="inlineStr">
        <is>
          <t>8:00 PM</t>
        </is>
      </c>
      <c r="C17" s="36" t="inlineStr">
        <is>
          <t>Bouquet &amp; garter toss</t>
        </is>
      </c>
      <c r="D17" s="36" t="inlineStr">
        <is>
          <t>DJ cues (see Special Dances)</t>
        </is>
      </c>
      <c r="E17" s="36" t="inlineStr">
        <is>
          <t>Singles 😄</t>
        </is>
      </c>
      <c r="F17" s="36" t="n"/>
    </row>
    <row r="18">
      <c r="B18" s="27" t="inlineStr">
        <is>
          <t>8:30 PM</t>
        </is>
      </c>
      <c r="C18" s="36" t="inlineStr">
        <is>
          <t>Late-night snacks served</t>
        </is>
      </c>
      <c r="D18" s="36" t="inlineStr">
        <is>
          <t>DJ keeps playing</t>
        </is>
      </c>
      <c r="E18" s="36" t="inlineStr">
        <is>
          <t>Everyone</t>
        </is>
      </c>
      <c r="F18" s="36" t="n"/>
    </row>
    <row r="19">
      <c r="B19" s="27" t="inlineStr">
        <is>
          <t>9:30 PM</t>
        </is>
      </c>
      <c r="C19" s="36" t="inlineStr">
        <is>
          <t>Last dance</t>
        </is>
      </c>
      <c r="D19" s="36" t="inlineStr">
        <is>
          <t>DJ cue — final song</t>
        </is>
      </c>
      <c r="E19" s="36" t="inlineStr">
        <is>
          <t>Everyone</t>
        </is>
      </c>
      <c r="F19" s="36" t="n"/>
    </row>
    <row r="20">
      <c r="B20" s="27" t="inlineStr">
        <is>
          <t>10:00 PM</t>
        </is>
      </c>
      <c r="C20" s="36" t="inlineStr">
        <is>
          <t>Send-off line-up</t>
        </is>
      </c>
      <c r="D20" s="36" t="inlineStr">
        <is>
          <t>Sparklers outside</t>
        </is>
      </c>
      <c r="E20" s="36" t="inlineStr">
        <is>
          <t>Everyone</t>
        </is>
      </c>
      <c r="F20" s="36" t="n"/>
    </row>
    <row r="21">
      <c r="B21" s="27" t="n"/>
      <c r="C21" s="36" t="n"/>
      <c r="D21" s="36" t="n"/>
      <c r="E21" s="36" t="n"/>
      <c r="F21" s="36" t="n"/>
    </row>
    <row r="22">
      <c r="B22" s="27" t="n"/>
      <c r="C22" s="36" t="n"/>
      <c r="D22" s="36" t="n"/>
      <c r="E22" s="36" t="n"/>
      <c r="F22" s="36" t="n"/>
    </row>
    <row r="23">
      <c r="B23" s="27" t="n"/>
      <c r="C23" s="36" t="n"/>
      <c r="D23" s="36" t="n"/>
      <c r="E23" s="36" t="n"/>
      <c r="F23" s="36" t="n"/>
    </row>
    <row r="24">
      <c r="B24" s="27" t="n"/>
      <c r="C24" s="36" t="n"/>
      <c r="D24" s="36" t="n"/>
      <c r="E24" s="36" t="n"/>
      <c r="F24" s="36" t="n"/>
    </row>
    <row r="25">
      <c r="B25" s="27" t="n"/>
      <c r="C25" s="36" t="n"/>
      <c r="D25" s="36" t="n"/>
      <c r="E25" s="36" t="n"/>
      <c r="F25" s="36" t="n"/>
    </row>
    <row r="26">
      <c r="B26" s="27" t="n"/>
      <c r="C26" s="36" t="n"/>
      <c r="D26" s="36" t="n"/>
      <c r="E26" s="36" t="n"/>
      <c r="F26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F26"/>
  <mergeCells count="2">
    <mergeCell ref="B2:F2"/>
    <mergeCell ref="B1:F1"/>
  </mergeCell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tabColor rgb="006E4C5B"/>
    <outlinePr summaryBelow="1" summaryRight="1"/>
    <pageSetUpPr fitToPage="1"/>
  </sheetPr>
  <dimension ref="B1:F3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8" customWidth="1" min="2" max="2"/>
    <col width="14" customWidth="1" min="3" max="3"/>
    <col width="14" customWidth="1" min="4" max="4"/>
    <col width="14" customWidth="1" min="5" max="5"/>
    <col width="24" customWidth="1" min="6" max="6"/>
  </cols>
  <sheetData>
    <row r="1" ht="30" customHeight="1">
      <c r="B1" s="1" t="inlineStr">
        <is>
          <t>🩹  DAY-OF EMERGENCY KIT CHECKLIST</t>
        </is>
      </c>
      <c r="C1" s="2" t="n"/>
      <c r="D1" s="2" t="n"/>
      <c r="E1" s="2" t="n"/>
      <c r="F1" s="3" t="n"/>
    </row>
    <row r="2" ht="15" customHeight="1">
      <c r="B2" s="4" t="inlineStr">
        <is>
          <t>The survival kit — assign an owner for the bag</t>
        </is>
      </c>
      <c r="C2" s="2" t="n"/>
      <c r="D2" s="2" t="n"/>
      <c r="E2" s="2" t="n"/>
      <c r="F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Item</t>
        </is>
      </c>
      <c r="C8" s="35" t="inlineStr">
        <is>
          <t>Category</t>
        </is>
      </c>
      <c r="D8" s="35" t="inlineStr">
        <is>
          <t>Packed?</t>
        </is>
      </c>
      <c r="E8" s="35" t="inlineStr">
        <is>
          <t>Owner</t>
        </is>
      </c>
      <c r="F8" s="35" t="inlineStr">
        <is>
          <t>Notes</t>
        </is>
      </c>
    </row>
    <row r="9">
      <c r="B9" s="36" t="inlineStr">
        <is>
          <t>Sewing kit &amp; safety pins</t>
        </is>
      </c>
      <c r="C9" s="36" t="inlineStr">
        <is>
          <t>Fashion fixes</t>
        </is>
      </c>
      <c r="D9" s="27" t="n"/>
      <c r="E9" s="36" t="n"/>
      <c r="F9" s="36" t="n"/>
    </row>
    <row r="10">
      <c r="B10" s="36" t="inlineStr">
        <is>
          <t>Stain remover pen</t>
        </is>
      </c>
      <c r="C10" s="36" t="inlineStr">
        <is>
          <t>Fashion fixes</t>
        </is>
      </c>
      <c r="D10" s="27" t="n"/>
      <c r="E10" s="36" t="n"/>
      <c r="F10" s="36" t="n"/>
    </row>
    <row r="11">
      <c r="B11" s="36" t="inlineStr">
        <is>
          <t>Double-sided fashion tape</t>
        </is>
      </c>
      <c r="C11" s="36" t="inlineStr">
        <is>
          <t>Fashion fixes</t>
        </is>
      </c>
      <c r="D11" s="27" t="n"/>
      <c r="E11" s="36" t="n"/>
      <c r="F11" s="36" t="n"/>
    </row>
    <row r="12">
      <c r="B12" s="36" t="inlineStr">
        <is>
          <t>Clear nail polish (runs)</t>
        </is>
      </c>
      <c r="C12" s="36" t="inlineStr">
        <is>
          <t>Fashion fixes</t>
        </is>
      </c>
      <c r="D12" s="27" t="n"/>
      <c r="E12" s="36" t="n"/>
      <c r="F12" s="36" t="n"/>
    </row>
    <row r="13">
      <c r="B13" s="36" t="inlineStr">
        <is>
          <t>Scissors &amp; mini toolkit</t>
        </is>
      </c>
      <c r="C13" s="36" t="inlineStr">
        <is>
          <t>Fashion fixes</t>
        </is>
      </c>
      <c r="D13" s="27" t="n"/>
      <c r="E13" s="36" t="n"/>
      <c r="F13" s="36" t="n"/>
    </row>
    <row r="14">
      <c r="B14" s="36" t="inlineStr">
        <is>
          <t>Spare stockings / socks</t>
        </is>
      </c>
      <c r="C14" s="36" t="inlineStr">
        <is>
          <t>Fashion fixes</t>
        </is>
      </c>
      <c r="D14" s="27" t="n"/>
      <c r="E14" s="36" t="n"/>
      <c r="F14" s="36" t="n"/>
    </row>
    <row r="15">
      <c r="B15" s="36" t="inlineStr">
        <is>
          <t>Band-aids &amp; blister plasters</t>
        </is>
      </c>
      <c r="C15" s="36" t="inlineStr">
        <is>
          <t>Health</t>
        </is>
      </c>
      <c r="D15" s="27" t="n"/>
      <c r="E15" s="36" t="n"/>
      <c r="F15" s="36" t="n"/>
    </row>
    <row r="16">
      <c r="B16" s="36" t="inlineStr">
        <is>
          <t>Pain relievers</t>
        </is>
      </c>
      <c r="C16" s="36" t="inlineStr">
        <is>
          <t>Health</t>
        </is>
      </c>
      <c r="D16" s="27" t="n"/>
      <c r="E16" s="36" t="n"/>
      <c r="F16" s="36" t="n"/>
    </row>
    <row r="17">
      <c r="B17" s="36" t="inlineStr">
        <is>
          <t>Antacids</t>
        </is>
      </c>
      <c r="C17" s="36" t="inlineStr">
        <is>
          <t>Health</t>
        </is>
      </c>
      <c r="D17" s="27" t="n"/>
      <c r="E17" s="36" t="n"/>
      <c r="F17" s="36" t="n"/>
    </row>
    <row r="18">
      <c r="B18" s="36" t="inlineStr">
        <is>
          <t>Allergy medication</t>
        </is>
      </c>
      <c r="C18" s="36" t="inlineStr">
        <is>
          <t>Health</t>
        </is>
      </c>
      <c r="D18" s="27" t="n"/>
      <c r="E18" s="36" t="n"/>
      <c r="F18" s="36" t="n"/>
    </row>
    <row r="19">
      <c r="B19" s="36" t="inlineStr">
        <is>
          <t>Prescriptions (if needed)</t>
        </is>
      </c>
      <c r="C19" s="36" t="inlineStr">
        <is>
          <t>Health</t>
        </is>
      </c>
      <c r="D19" s="27" t="n"/>
      <c r="E19" s="36" t="n"/>
      <c r="F19" s="36" t="n"/>
    </row>
    <row r="20">
      <c r="B20" s="36" t="inlineStr">
        <is>
          <t>Blotting papers &amp; powder</t>
        </is>
      </c>
      <c r="C20" s="36" t="inlineStr">
        <is>
          <t>Beauty</t>
        </is>
      </c>
      <c r="D20" s="27" t="n"/>
      <c r="E20" s="36" t="n"/>
      <c r="F20" s="36" t="n"/>
    </row>
    <row r="21">
      <c r="B21" s="36" t="inlineStr">
        <is>
          <t>Touch-up makeup &amp; lipstick</t>
        </is>
      </c>
      <c r="C21" s="36" t="inlineStr">
        <is>
          <t>Beauty</t>
        </is>
      </c>
      <c r="D21" s="27" t="n"/>
      <c r="E21" s="36" t="n"/>
      <c r="F21" s="36" t="n"/>
    </row>
    <row r="22">
      <c r="B22" s="36" t="inlineStr">
        <is>
          <t>Deodorant</t>
        </is>
      </c>
      <c r="C22" s="36" t="inlineStr">
        <is>
          <t>Beauty</t>
        </is>
      </c>
      <c r="D22" s="27" t="n"/>
      <c r="E22" s="36" t="n"/>
      <c r="F22" s="36" t="n"/>
    </row>
    <row r="23">
      <c r="B23" s="36" t="inlineStr">
        <is>
          <t>Hair pins, comb &amp; mini spray</t>
        </is>
      </c>
      <c r="C23" s="36" t="inlineStr">
        <is>
          <t>Beauty</t>
        </is>
      </c>
      <c r="D23" s="27" t="n"/>
      <c r="E23" s="36" t="n"/>
      <c r="F23" s="36" t="n"/>
    </row>
    <row r="24">
      <c r="B24" s="36" t="inlineStr">
        <is>
          <t>Straws (protect lipstick)</t>
        </is>
      </c>
      <c r="C24" s="36" t="inlineStr">
        <is>
          <t>Beauty</t>
        </is>
      </c>
      <c r="D24" s="27" t="n"/>
      <c r="E24" s="36" t="n"/>
      <c r="F24" s="36" t="n"/>
    </row>
    <row r="25">
      <c r="B25" s="36" t="inlineStr">
        <is>
          <t>Emery board &amp; hand cream</t>
        </is>
      </c>
      <c r="C25" s="36" t="inlineStr">
        <is>
          <t>Beauty</t>
        </is>
      </c>
      <c r="D25" s="27" t="n"/>
      <c r="E25" s="36" t="n"/>
      <c r="F25" s="36" t="n"/>
    </row>
    <row r="26">
      <c r="B26" s="36" t="inlineStr">
        <is>
          <t>Mints &amp; gum</t>
        </is>
      </c>
      <c r="C26" s="36" t="inlineStr">
        <is>
          <t>Food &amp; drink</t>
        </is>
      </c>
      <c r="D26" s="27" t="n"/>
      <c r="E26" s="36" t="n"/>
      <c r="F26" s="36" t="n"/>
    </row>
    <row r="27">
      <c r="B27" s="36" t="inlineStr">
        <is>
          <t>Granola bars &amp; crackers</t>
        </is>
      </c>
      <c r="C27" s="36" t="inlineStr">
        <is>
          <t>Food &amp; drink</t>
        </is>
      </c>
      <c r="D27" s="27" t="n"/>
      <c r="E27" s="36" t="n"/>
      <c r="F27" s="36" t="n"/>
    </row>
    <row r="28">
      <c r="B28" s="36" t="inlineStr">
        <is>
          <t>Water bottles &amp; straws</t>
        </is>
      </c>
      <c r="C28" s="36" t="inlineStr">
        <is>
          <t>Food &amp; drink</t>
        </is>
      </c>
      <c r="D28" s="27" t="n"/>
      <c r="E28" s="36" t="n"/>
      <c r="F28" s="36" t="n"/>
    </row>
    <row r="29">
      <c r="B29" s="36" t="inlineStr">
        <is>
          <t>Phone chargers &amp; power bank</t>
        </is>
      </c>
      <c r="C29" s="36" t="inlineStr">
        <is>
          <t>Practical</t>
        </is>
      </c>
      <c r="D29" s="27" t="n"/>
      <c r="E29" s="36" t="n"/>
      <c r="F29" s="36" t="n"/>
    </row>
    <row r="30">
      <c r="B30" s="36" t="inlineStr">
        <is>
          <t>Tissues</t>
        </is>
      </c>
      <c r="C30" s="36" t="inlineStr">
        <is>
          <t>Practical</t>
        </is>
      </c>
      <c r="D30" s="27" t="n"/>
      <c r="E30" s="36" t="n"/>
      <c r="F30" s="36" t="n"/>
    </row>
    <row r="31">
      <c r="B31" s="36" t="inlineStr">
        <is>
          <t>Umbrella &amp; sunscreen</t>
        </is>
      </c>
      <c r="C31" s="36" t="inlineStr">
        <is>
          <t>Practical</t>
        </is>
      </c>
      <c r="D31" s="27" t="n"/>
      <c r="E31" s="36" t="n"/>
      <c r="F31" s="36" t="n"/>
    </row>
    <row r="32">
      <c r="B32" s="36" t="inlineStr">
        <is>
          <t>Bug spray</t>
        </is>
      </c>
      <c r="C32" s="36" t="inlineStr">
        <is>
          <t>Practical</t>
        </is>
      </c>
      <c r="D32" s="27" t="n"/>
      <c r="E32" s="36" t="n"/>
      <c r="F32" s="36" t="n"/>
    </row>
    <row r="33">
      <c r="B33" s="36" t="inlineStr">
        <is>
          <t>Cash in small bills for tips</t>
        </is>
      </c>
      <c r="C33" s="36" t="inlineStr">
        <is>
          <t>Practical</t>
        </is>
      </c>
      <c r="D33" s="27" t="n"/>
      <c r="E33" s="36" t="n"/>
      <c r="F33" s="36" t="n"/>
    </row>
    <row r="34">
      <c r="B34" s="36" t="inlineStr">
        <is>
          <t>Vows &amp; speech cue cards</t>
        </is>
      </c>
      <c r="C34" s="36" t="inlineStr">
        <is>
          <t>Practical</t>
        </is>
      </c>
      <c r="D34" s="27" t="n"/>
      <c r="E34" s="36" t="n"/>
      <c r="F34" s="36" t="n"/>
    </row>
    <row r="35">
      <c r="B35" s="36" t="inlineStr">
        <is>
          <t>Spare ring box &amp; earring backs</t>
        </is>
      </c>
      <c r="C35" s="36" t="inlineStr">
        <is>
          <t>Practical</t>
        </is>
      </c>
      <c r="D35" s="27" t="n"/>
      <c r="E35" s="36" t="n"/>
      <c r="F35" s="36" t="n"/>
    </row>
    <row r="36">
      <c r="B36" s="36" t="n"/>
      <c r="C36" s="36" t="n"/>
      <c r="D36" s="27" t="n"/>
      <c r="E36" s="36" t="n"/>
      <c r="F36" s="36" t="n"/>
    </row>
    <row r="37">
      <c r="B37" s="36" t="n"/>
      <c r="C37" s="36" t="n"/>
      <c r="D37" s="27" t="n"/>
      <c r="E37" s="36" t="n"/>
      <c r="F37" s="36" t="n"/>
    </row>
    <row r="38">
      <c r="B38" s="36" t="n"/>
      <c r="C38" s="36" t="n"/>
      <c r="D38" s="27" t="n"/>
      <c r="E38" s="36" t="n"/>
      <c r="F38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F38"/>
  <mergeCells count="2">
    <mergeCell ref="B2:F2"/>
    <mergeCell ref="B1:F1"/>
  </mergeCells>
  <conditionalFormatting sqref="D9:D38">
    <cfRule type="cellIs" priority="1" operator="equal" dxfId="0">
      <formula>"Done"</formula>
    </cfRule>
    <cfRule type="cellIs" priority="2" operator="equal" dxfId="1">
      <formula>"Not Yet"</formula>
    </cfRule>
  </conditionalFormatting>
  <dataValidations count="1">
    <dataValidation sqref="D9:D38" showDropDown="0" showInputMessage="0" showErrorMessage="0" allowBlank="1" type="list">
      <formula1>"Done,Not Yet"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tabColor rgb="006E4C5B"/>
    <outlinePr summaryBelow="1" summaryRight="1"/>
    <pageSetUpPr fitToPage="1"/>
  </sheetPr>
  <dimension ref="B1:H23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2" customWidth="1" min="2" max="2"/>
    <col width="12" customWidth="1" min="3" max="3"/>
    <col width="26" customWidth="1" min="4" max="4"/>
    <col width="20" customWidth="1" min="5" max="5"/>
    <col width="15" customWidth="1" min="6" max="6"/>
    <col width="12" customWidth="1" min="7" max="7"/>
    <col width="20" customWidth="1" min="8" max="8"/>
  </cols>
  <sheetData>
    <row r="1" ht="30" customHeight="1">
      <c r="B1" s="1" t="inlineStr">
        <is>
          <t>🚐  VENDOR ARRIVAL SCHEDULE</t>
        </is>
      </c>
      <c r="C1" s="2" t="n"/>
      <c r="D1" s="2" t="n"/>
      <c r="E1" s="2" t="n"/>
      <c r="F1" s="2" t="n"/>
      <c r="G1" s="2" t="n"/>
      <c r="H1" s="3" t="n"/>
    </row>
    <row r="2" ht="15" customHeight="1">
      <c r="B2" s="4" t="inlineStr">
        <is>
          <t>Who arrives when on the wedding day — share this with your venue</t>
        </is>
      </c>
      <c r="C2" s="2" t="n"/>
      <c r="D2" s="2" t="n"/>
      <c r="E2" s="2" t="n"/>
      <c r="F2" s="2" t="n"/>
      <c r="G2" s="2" t="n"/>
      <c r="H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Vendor / company</t>
        </is>
      </c>
      <c r="C8" s="35" t="inlineStr">
        <is>
          <t>Arrival time</t>
        </is>
      </c>
      <c r="D8" s="35" t="inlineStr">
        <is>
          <t>Task</t>
        </is>
      </c>
      <c r="E8" s="35" t="inlineStr">
        <is>
          <t>Location / entrance</t>
        </is>
      </c>
      <c r="F8" s="35" t="inlineStr">
        <is>
          <t>On-site phone</t>
        </is>
      </c>
      <c r="G8" s="35" t="inlineStr">
        <is>
          <t>Departure</t>
        </is>
      </c>
      <c r="H8" s="35" t="inlineStr">
        <is>
          <t>Notes</t>
        </is>
      </c>
    </row>
    <row r="9">
      <c r="B9" s="36" t="inlineStr">
        <is>
          <t>Glow Studio</t>
        </is>
      </c>
      <c r="C9" s="27" t="inlineStr">
        <is>
          <t>7:30 AM</t>
        </is>
      </c>
      <c r="D9" s="36" t="inlineStr">
        <is>
          <t>Hair &amp; makeup</t>
        </is>
      </c>
      <c r="E9" s="36" t="inlineStr">
        <is>
          <t>Getting-ready suite</t>
        </is>
      </c>
      <c r="F9" s="36" t="inlineStr">
        <is>
          <t>(828) 555-0143</t>
        </is>
      </c>
      <c r="G9" s="27" t="inlineStr">
        <is>
          <t>1:00 PM</t>
        </is>
      </c>
      <c r="H9" s="36" t="n"/>
    </row>
    <row r="10">
      <c r="B10" s="36" t="inlineStr">
        <is>
          <t>Party Perfect Rentals</t>
        </is>
      </c>
      <c r="C10" s="27" t="inlineStr">
        <is>
          <t>9:00 AM</t>
        </is>
      </c>
      <c r="D10" s="36" t="inlineStr">
        <is>
          <t>Tables, chairs &amp; linens</t>
        </is>
      </c>
      <c r="E10" s="36" t="inlineStr">
        <is>
          <t>Barn service entrance</t>
        </is>
      </c>
      <c r="F10" s="36" t="inlineStr">
        <is>
          <t>(828) 555-0176</t>
        </is>
      </c>
      <c r="G10" s="27" t="inlineStr">
        <is>
          <t>11:00 AM</t>
        </is>
      </c>
      <c r="H10" s="36" t="n"/>
    </row>
    <row r="11">
      <c r="B11" s="36" t="inlineStr">
        <is>
          <t>Golden Hour Photo</t>
        </is>
      </c>
      <c r="C11" s="27" t="inlineStr">
        <is>
          <t>9:30 AM</t>
        </is>
      </c>
      <c r="D11" s="36" t="inlineStr">
        <is>
          <t>Getting-ready coverage</t>
        </is>
      </c>
      <c r="E11" s="36" t="inlineStr">
        <is>
          <t>Suite</t>
        </is>
      </c>
      <c r="F11" s="36" t="inlineStr">
        <is>
          <t>(828) 555-0132</t>
        </is>
      </c>
      <c r="G11" s="27" t="inlineStr">
        <is>
          <t>10:30 PM</t>
        </is>
      </c>
      <c r="H11" s="36" t="n"/>
    </row>
    <row r="12">
      <c r="B12" s="36" t="inlineStr">
        <is>
          <t>Bloom &amp; Twine</t>
        </is>
      </c>
      <c r="C12" s="27" t="inlineStr">
        <is>
          <t>10:00 AM</t>
        </is>
      </c>
      <c r="D12" s="36" t="inlineStr">
        <is>
          <t>Arch &amp; centerpiece install</t>
        </is>
      </c>
      <c r="E12" s="36" t="inlineStr">
        <is>
          <t>Ceremony lawn + barn</t>
        </is>
      </c>
      <c r="F12" s="36" t="inlineStr">
        <is>
          <t>(828) 555-0166</t>
        </is>
      </c>
      <c r="G12" s="27" t="inlineStr">
        <is>
          <t>3:00 PM</t>
        </is>
      </c>
      <c r="H12" s="36" t="n"/>
    </row>
    <row r="13">
      <c r="B13" s="36" t="inlineStr">
        <is>
          <t>Silver Sparrow DJ</t>
        </is>
      </c>
      <c r="C13" s="27" t="inlineStr">
        <is>
          <t>12:00 PM</t>
        </is>
      </c>
      <c r="D13" s="36" t="inlineStr">
        <is>
          <t>Sound check</t>
        </is>
      </c>
      <c r="E13" s="36" t="inlineStr">
        <is>
          <t>Barn stage</t>
        </is>
      </c>
      <c r="F13" s="36" t="inlineStr">
        <is>
          <t>(828) 555-0178</t>
        </is>
      </c>
      <c r="G13" s="27" t="inlineStr">
        <is>
          <t>10:30 PM</t>
        </is>
      </c>
      <c r="H13" s="36" t="n"/>
    </row>
    <row r="14">
      <c r="B14" s="36" t="inlineStr">
        <is>
          <t>Reel Love Films</t>
        </is>
      </c>
      <c r="C14" s="27" t="inlineStr">
        <is>
          <t>12:30 PM</t>
        </is>
      </c>
      <c r="D14" s="36" t="inlineStr">
        <is>
          <t>Video coverage</t>
        </is>
      </c>
      <c r="E14" s="36" t="inlineStr">
        <is>
          <t>Suite</t>
        </is>
      </c>
      <c r="F14" s="36" t="inlineStr">
        <is>
          <t>(828) 555-0155</t>
        </is>
      </c>
      <c r="G14" s="27" t="inlineStr">
        <is>
          <t>10:30 PM</t>
        </is>
      </c>
      <c r="H14" s="36" t="n"/>
    </row>
    <row r="15">
      <c r="B15" s="36" t="inlineStr">
        <is>
          <t>Harvest &amp; Vine Co.</t>
        </is>
      </c>
      <c r="C15" s="27" t="inlineStr">
        <is>
          <t>1:00 PM</t>
        </is>
      </c>
      <c r="D15" s="36" t="inlineStr">
        <is>
          <t>Catering load-in</t>
        </is>
      </c>
      <c r="E15" s="36" t="inlineStr">
        <is>
          <t>Kitchen entrance</t>
        </is>
      </c>
      <c r="F15" s="36" t="inlineStr">
        <is>
          <t>(828) 555-0187</t>
        </is>
      </c>
      <c r="G15" s="27" t="inlineStr">
        <is>
          <t>11:00 PM</t>
        </is>
      </c>
      <c r="H15" s="36" t="n"/>
    </row>
    <row r="16">
      <c r="B16" s="36" t="inlineStr">
        <is>
          <t>Sugarplum Cakery</t>
        </is>
      </c>
      <c r="C16" s="27" t="inlineStr">
        <is>
          <t>1:00 PM</t>
        </is>
      </c>
      <c r="D16" s="36" t="inlineStr">
        <is>
          <t>Cake delivery &amp; setup</t>
        </is>
      </c>
      <c r="E16" s="36" t="inlineStr">
        <is>
          <t>Cake table</t>
        </is>
      </c>
      <c r="F16" s="36" t="inlineStr">
        <is>
          <t>(828) 555-0198</t>
        </is>
      </c>
      <c r="G16" s="27" t="inlineStr">
        <is>
          <t>1:45 PM</t>
        </is>
      </c>
      <c r="H16" s="36" t="n"/>
    </row>
    <row r="17">
      <c r="B17" s="36" t="inlineStr">
        <is>
          <t>Blue Ridge Limo</t>
        </is>
      </c>
      <c r="C17" s="27" t="inlineStr">
        <is>
          <t>1:45 PM</t>
        </is>
      </c>
      <c r="D17" s="36" t="inlineStr">
        <is>
          <t>Couple transport</t>
        </is>
      </c>
      <c r="E17" s="36" t="inlineStr">
        <is>
          <t>Estate drive</t>
        </is>
      </c>
      <c r="F17" s="36" t="inlineStr">
        <is>
          <t>(828) 555-0109</t>
        </is>
      </c>
      <c r="G17" s="27" t="inlineStr">
        <is>
          <t>10:30 PM</t>
        </is>
      </c>
      <c r="H17" s="36" t="n"/>
    </row>
    <row r="18">
      <c r="B18" s="36" t="n"/>
      <c r="C18" s="27" t="n"/>
      <c r="D18" s="36" t="n"/>
      <c r="E18" s="36" t="n"/>
      <c r="F18" s="36" t="n"/>
      <c r="G18" s="27" t="n"/>
      <c r="H18" s="36" t="n"/>
    </row>
    <row r="19">
      <c r="B19" s="36" t="n"/>
      <c r="C19" s="27" t="n"/>
      <c r="D19" s="36" t="n"/>
      <c r="E19" s="36" t="n"/>
      <c r="F19" s="36" t="n"/>
      <c r="G19" s="27" t="n"/>
      <c r="H19" s="36" t="n"/>
    </row>
    <row r="20">
      <c r="B20" s="36" t="n"/>
      <c r="C20" s="27" t="n"/>
      <c r="D20" s="36" t="n"/>
      <c r="E20" s="36" t="n"/>
      <c r="F20" s="36" t="n"/>
      <c r="G20" s="27" t="n"/>
      <c r="H20" s="36" t="n"/>
    </row>
    <row r="21">
      <c r="B21" s="36" t="n"/>
      <c r="C21" s="27" t="n"/>
      <c r="D21" s="36" t="n"/>
      <c r="E21" s="36" t="n"/>
      <c r="F21" s="36" t="n"/>
      <c r="G21" s="27" t="n"/>
      <c r="H21" s="36" t="n"/>
    </row>
    <row r="22">
      <c r="B22" s="36" t="n"/>
      <c r="C22" s="27" t="n"/>
      <c r="D22" s="36" t="n"/>
      <c r="E22" s="36" t="n"/>
      <c r="F22" s="36" t="n"/>
      <c r="G22" s="27" t="n"/>
      <c r="H22" s="36" t="n"/>
    </row>
    <row r="23">
      <c r="B23" s="36" t="n"/>
      <c r="C23" s="27" t="n"/>
      <c r="D23" s="36" t="n"/>
      <c r="E23" s="36" t="n"/>
      <c r="F23" s="36" t="n"/>
      <c r="G23" s="27" t="n"/>
      <c r="H23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H23"/>
  <mergeCells count="2">
    <mergeCell ref="B1:H1"/>
    <mergeCell ref="B2:H2"/>
  </mergeCell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tabColor rgb="008E9AAF"/>
    <outlinePr summaryBelow="1" summaryRight="1"/>
    <pageSetUpPr fitToPage="1"/>
  </sheetPr>
  <dimension ref="B1:F2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8" customWidth="1" min="2" max="2"/>
    <col width="34" customWidth="1" min="3" max="3"/>
    <col width="26" customWidth="1" min="4" max="4"/>
    <col width="14" customWidth="1" min="5" max="5"/>
    <col width="24" customWidth="1" min="6" max="6"/>
  </cols>
  <sheetData>
    <row r="1" ht="30" customHeight="1">
      <c r="B1" s="1" t="inlineStr">
        <is>
          <t>🎻  CEREMONY SONG LIST</t>
        </is>
      </c>
      <c r="C1" s="2" t="n"/>
      <c r="D1" s="2" t="n"/>
      <c r="E1" s="2" t="n"/>
      <c r="F1" s="3" t="n"/>
    </row>
    <row r="2" ht="15" customHeight="1">
      <c r="B2" s="4" t="inlineStr">
        <is>
          <t>Processional, interlude &amp; recessional</t>
        </is>
      </c>
      <c r="C2" s="2" t="n"/>
      <c r="D2" s="2" t="n"/>
      <c r="E2" s="2" t="n"/>
      <c r="F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Moment</t>
        </is>
      </c>
      <c r="C8" s="35" t="inlineStr">
        <is>
          <t>Song</t>
        </is>
      </c>
      <c r="D8" s="35" t="inlineStr">
        <is>
          <t>Artist</t>
        </is>
      </c>
      <c r="E8" s="35" t="inlineStr">
        <is>
          <t>Performed by</t>
        </is>
      </c>
      <c r="F8" s="35" t="inlineStr">
        <is>
          <t>Notes</t>
        </is>
      </c>
    </row>
    <row r="9">
      <c r="B9" s="36" t="inlineStr">
        <is>
          <t>Prelude (guests arrive)</t>
        </is>
      </c>
      <c r="C9" s="36" t="inlineStr">
        <is>
          <t>Here Comes the Sun — instrumental</t>
        </is>
      </c>
      <c r="D9" s="36" t="inlineStr">
        <is>
          <t>The Beatles</t>
        </is>
      </c>
      <c r="E9" s="27" t="inlineStr">
        <is>
          <t>DJ</t>
        </is>
      </c>
      <c r="F9" s="36" t="inlineStr">
        <is>
          <t>8–10 songs ready</t>
        </is>
      </c>
    </row>
    <row r="10">
      <c r="B10" s="36" t="inlineStr">
        <is>
          <t>Family seating</t>
        </is>
      </c>
      <c r="C10" s="36" t="inlineStr">
        <is>
          <t>Landslide — instrumental</t>
        </is>
      </c>
      <c r="D10" s="36" t="inlineStr">
        <is>
          <t>Fleetwood Mac</t>
        </is>
      </c>
      <c r="E10" s="27" t="inlineStr">
        <is>
          <t>DJ</t>
        </is>
      </c>
      <c r="F10" s="36" t="n"/>
    </row>
    <row r="11">
      <c r="B11" s="36" t="inlineStr">
        <is>
          <t>Wedding party processional</t>
        </is>
      </c>
      <c r="C11" s="36" t="inlineStr">
        <is>
          <t>Can't Help Falling in Love — Kina Grannis</t>
        </is>
      </c>
      <c r="D11" s="36" t="inlineStr">
        <is>
          <t>Elvis Presley (cover)</t>
        </is>
      </c>
      <c r="E11" s="27" t="inlineStr">
        <is>
          <t>DJ</t>
        </is>
      </c>
      <c r="F11" s="36" t="n"/>
    </row>
    <row r="12">
      <c r="B12" s="36" t="inlineStr">
        <is>
          <t>Bridal processional</t>
        </is>
      </c>
      <c r="C12" s="36" t="inlineStr">
        <is>
          <t>At Last — string quartet arrangement</t>
        </is>
      </c>
      <c r="D12" s="36" t="inlineStr">
        <is>
          <t>Etta James</t>
        </is>
      </c>
      <c r="E12" s="27" t="inlineStr">
        <is>
          <t>String trio</t>
        </is>
      </c>
      <c r="F12" s="36" t="n"/>
    </row>
    <row r="13">
      <c r="B13" s="36" t="inlineStr">
        <is>
          <t>Interlude / unity ritual</t>
        </is>
      </c>
      <c r="C13" s="36" t="inlineStr">
        <is>
          <t>A Thousand Years — instrumental</t>
        </is>
      </c>
      <c r="D13" s="36" t="inlineStr">
        <is>
          <t>Christina Perri</t>
        </is>
      </c>
      <c r="E13" s="27" t="inlineStr">
        <is>
          <t>DJ</t>
        </is>
      </c>
      <c r="F13" s="36" t="n"/>
    </row>
    <row r="14">
      <c r="B14" s="36" t="inlineStr">
        <is>
          <t>Recessional</t>
        </is>
      </c>
      <c r="C14" s="36" t="inlineStr">
        <is>
          <t>Signed, Sealed, Delivered</t>
        </is>
      </c>
      <c r="D14" s="36" t="inlineStr">
        <is>
          <t>Stevie Wonder</t>
        </is>
      </c>
      <c r="E14" s="27" t="inlineStr">
        <is>
          <t>DJ</t>
        </is>
      </c>
      <c r="F14" s="36" t="n"/>
    </row>
    <row r="15">
      <c r="B15" s="36" t="inlineStr">
        <is>
          <t>Postlude</t>
        </is>
      </c>
      <c r="C15" s="36" t="inlineStr">
        <is>
          <t>Sunday Morning</t>
        </is>
      </c>
      <c r="D15" s="36" t="inlineStr">
        <is>
          <t>Maroon 5</t>
        </is>
      </c>
      <c r="E15" s="27" t="inlineStr">
        <is>
          <t>DJ</t>
        </is>
      </c>
      <c r="F15" s="36" t="n"/>
    </row>
    <row r="16">
      <c r="B16" s="36" t="n"/>
      <c r="C16" s="36" t="n"/>
      <c r="D16" s="36" t="n"/>
      <c r="E16" s="27" t="n"/>
      <c r="F16" s="36" t="n"/>
    </row>
    <row r="17">
      <c r="B17" s="36" t="n"/>
      <c r="C17" s="36" t="n"/>
      <c r="D17" s="36" t="n"/>
      <c r="E17" s="27" t="n"/>
      <c r="F17" s="36" t="n"/>
    </row>
    <row r="18">
      <c r="B18" s="36" t="n"/>
      <c r="C18" s="36" t="n"/>
      <c r="D18" s="36" t="n"/>
      <c r="E18" s="27" t="n"/>
      <c r="F18" s="36" t="n"/>
    </row>
    <row r="19">
      <c r="B19" s="36" t="n"/>
      <c r="C19" s="36" t="n"/>
      <c r="D19" s="36" t="n"/>
      <c r="E19" s="27" t="n"/>
      <c r="F19" s="36" t="n"/>
    </row>
    <row r="20">
      <c r="B20" s="36" t="n"/>
      <c r="C20" s="36" t="n"/>
      <c r="D20" s="36" t="n"/>
      <c r="E20" s="27" t="n"/>
      <c r="F20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F20"/>
  <mergeCells count="2">
    <mergeCell ref="B2:F2"/>
    <mergeCell ref="B1:F1"/>
  </mergeCells>
  <dataValidations count="1">
    <dataValidation sqref="E9:E20" showDropDown="0" showInputMessage="0" showErrorMessage="0" allowBlank="1" type="list">
      <formula1>"DJ,Band,String trio,Singer,Recorded"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tabColor rgb="008E9AAF"/>
    <outlinePr summaryBelow="1" summaryRight="1"/>
    <pageSetUpPr fitToPage="1"/>
  </sheetPr>
  <dimension ref="B1:E34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32" customWidth="1" min="2" max="2"/>
    <col width="24" customWidth="1" min="3" max="3"/>
    <col width="24" customWidth="1" min="4" max="4"/>
    <col width="26" customWidth="1" min="5" max="5"/>
  </cols>
  <sheetData>
    <row r="1" ht="30" customHeight="1">
      <c r="B1" s="1" t="inlineStr">
        <is>
          <t>🎧  RECEPTION PLAYLIST</t>
        </is>
      </c>
      <c r="C1" s="2" t="n"/>
      <c r="D1" s="2" t="n"/>
      <c r="E1" s="3" t="n"/>
    </row>
    <row r="2" ht="15" customHeight="1">
      <c r="B2" s="4" t="inlineStr">
        <is>
          <t>Must-play and do-not-play — hand this to your DJ</t>
        </is>
      </c>
      <c r="C2" s="2" t="n"/>
      <c r="D2" s="2" t="n"/>
      <c r="E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5" ht="20" customHeight="1">
      <c r="B5" s="6" t="inlineStr">
        <is>
          <t>MUST-PLAY 🙌</t>
        </is>
      </c>
      <c r="C5" s="7" t="n"/>
      <c r="D5" s="7" t="n"/>
      <c r="E5" s="7" t="n"/>
    </row>
    <row r="6" ht="26" customHeight="1">
      <c r="B6" s="35" t="inlineStr">
        <is>
          <t>Song</t>
        </is>
      </c>
      <c r="C6" s="35" t="inlineStr">
        <is>
          <t>Artist</t>
        </is>
      </c>
      <c r="D6" s="35" t="inlineStr">
        <is>
          <t>Moment / vibe</t>
        </is>
      </c>
      <c r="E6" s="35" t="inlineStr">
        <is>
          <t>Notes</t>
        </is>
      </c>
    </row>
    <row r="7">
      <c r="B7" s="36" t="inlineStr">
        <is>
          <t>September</t>
        </is>
      </c>
      <c r="C7" s="36" t="inlineStr">
        <is>
          <t>Earth, Wind &amp; Fire</t>
        </is>
      </c>
      <c r="D7" s="36" t="inlineStr">
        <is>
          <t>Dance floor opener</t>
        </is>
      </c>
      <c r="E7" s="36" t="n"/>
    </row>
    <row r="8">
      <c r="B8" s="36" t="inlineStr">
        <is>
          <t>Mr. Brightside</t>
        </is>
      </c>
      <c r="C8" s="36" t="inlineStr">
        <is>
          <t>The Killers</t>
        </is>
      </c>
      <c r="D8" s="36" t="inlineStr">
        <is>
          <t>Everyone screams it</t>
        </is>
      </c>
      <c r="E8" s="36" t="n"/>
    </row>
    <row r="9">
      <c r="B9" s="36" t="inlineStr">
        <is>
          <t>Dancing Queen</t>
        </is>
      </c>
      <c r="C9" s="36" t="inlineStr">
        <is>
          <t>ABBA</t>
        </is>
      </c>
      <c r="D9" s="36" t="inlineStr">
        <is>
          <t>Grandma approves</t>
        </is>
      </c>
      <c r="E9" s="36" t="n"/>
    </row>
    <row r="10">
      <c r="B10" s="36" t="inlineStr">
        <is>
          <t>Shut Up and Dance</t>
        </is>
      </c>
      <c r="C10" s="36" t="inlineStr">
        <is>
          <t>Walk the Moon</t>
        </is>
      </c>
      <c r="D10" s="36" t="n"/>
      <c r="E10" s="36" t="n"/>
    </row>
    <row r="11">
      <c r="B11" s="36" t="inlineStr">
        <is>
          <t>Cha Cha Slide</t>
        </is>
      </c>
      <c r="C11" s="36" t="inlineStr">
        <is>
          <t>DJ Casper</t>
        </is>
      </c>
      <c r="D11" s="36" t="inlineStr">
        <is>
          <t>For the cousins</t>
        </is>
      </c>
      <c r="E11" s="36" t="n"/>
    </row>
    <row r="12">
      <c r="B12" s="36" t="inlineStr">
        <is>
          <t>Thinking Out Loud</t>
        </is>
      </c>
      <c r="C12" s="36" t="inlineStr">
        <is>
          <t>Ed Sheeran</t>
        </is>
      </c>
      <c r="D12" s="36" t="inlineStr">
        <is>
          <t>Slow-dance moment</t>
        </is>
      </c>
      <c r="E12" s="36" t="n"/>
    </row>
    <row r="13">
      <c r="B13" s="36" t="inlineStr">
        <is>
          <t>Uptown Funk</t>
        </is>
      </c>
      <c r="C13" s="36" t="inlineStr">
        <is>
          <t>Mark Ronson ft. Bruno Mars</t>
        </is>
      </c>
      <c r="D13" s="36" t="n"/>
      <c r="E13" s="36" t="n"/>
    </row>
    <row r="14">
      <c r="B14" s="36" t="n"/>
      <c r="C14" s="36" t="n"/>
      <c r="D14" s="36" t="n"/>
      <c r="E14" s="36" t="n"/>
    </row>
    <row r="15">
      <c r="B15" s="36" t="n"/>
      <c r="C15" s="36" t="n"/>
      <c r="D15" s="36" t="n"/>
      <c r="E15" s="36" t="n"/>
    </row>
    <row r="16">
      <c r="B16" s="36" t="n"/>
      <c r="C16" s="36" t="n"/>
      <c r="D16" s="36" t="n"/>
      <c r="E16" s="36" t="n"/>
    </row>
    <row r="17">
      <c r="B17" s="36" t="n"/>
      <c r="C17" s="36" t="n"/>
      <c r="D17" s="36" t="n"/>
      <c r="E17" s="36" t="n"/>
    </row>
    <row r="18">
      <c r="B18" s="36" t="n"/>
      <c r="C18" s="36" t="n"/>
      <c r="D18" s="36" t="n"/>
      <c r="E18" s="36" t="n"/>
    </row>
    <row r="19" ht="20" customHeight="1">
      <c r="B19" s="55" t="inlineStr">
        <is>
          <t>DO-NOT-PLAY 🚫</t>
        </is>
      </c>
      <c r="C19" s="56" t="n"/>
      <c r="D19" s="56" t="n"/>
      <c r="E19" s="56" t="n"/>
    </row>
    <row r="20" ht="26" customHeight="1">
      <c r="B20" s="59" t="inlineStr">
        <is>
          <t>Song</t>
        </is>
      </c>
      <c r="C20" s="59" t="inlineStr">
        <is>
          <t>Artist</t>
        </is>
      </c>
      <c r="D20" s="59" t="inlineStr">
        <is>
          <t>Reason</t>
        </is>
      </c>
      <c r="E20" s="36" t="n"/>
    </row>
    <row r="21">
      <c r="B21" s="36" t="inlineStr">
        <is>
          <t>Chicken Dance</t>
        </is>
      </c>
      <c r="C21" s="36" t="inlineStr">
        <is>
          <t>Werner Thomas</t>
        </is>
      </c>
      <c r="D21" s="36" t="inlineStr">
        <is>
          <t>Hard no</t>
        </is>
      </c>
      <c r="E21" s="36" t="n"/>
    </row>
    <row r="22">
      <c r="B22" s="36" t="inlineStr">
        <is>
          <t>Macarena</t>
        </is>
      </c>
      <c r="C22" s="36" t="inlineStr">
        <is>
          <t>Los del Río</t>
        </is>
      </c>
      <c r="D22" s="36" t="inlineStr">
        <is>
          <t>See above</t>
        </is>
      </c>
    </row>
    <row r="23">
      <c r="B23" s="36" t="inlineStr">
        <is>
          <t>The Hokey Pokey</t>
        </is>
      </c>
      <c r="C23" s="36" t="inlineStr">
        <is>
          <t>Traditional</t>
        </is>
      </c>
      <c r="D23" s="36" t="inlineStr">
        <is>
          <t>We're not 5</t>
        </is>
      </c>
    </row>
    <row r="24">
      <c r="B24" s="36" t="n"/>
      <c r="C24" s="36" t="n"/>
      <c r="D24" s="36" t="n"/>
    </row>
    <row r="25">
      <c r="B25" s="36" t="n"/>
      <c r="C25" s="36" t="n"/>
      <c r="D25" s="36" t="n"/>
    </row>
    <row r="26">
      <c r="B26" s="36" t="n"/>
      <c r="C26" s="36" t="n"/>
      <c r="D26" s="36" t="n"/>
    </row>
    <row r="27">
      <c r="B27" s="36" t="n"/>
      <c r="C27" s="36" t="n"/>
      <c r="D27" s="36" t="n"/>
    </row>
    <row r="28">
      <c r="B28" s="36" t="n"/>
      <c r="C28" s="36" t="n"/>
      <c r="D28" s="36" t="n"/>
    </row>
    <row r="29" ht="20" customHeight="1">
      <c r="B29" s="6" t="inlineStr">
        <is>
          <t>DJ NOTES</t>
        </is>
      </c>
      <c r="C29" s="7" t="n"/>
      <c r="D29" s="7" t="n"/>
      <c r="E29" s="7" t="n"/>
    </row>
    <row r="30">
      <c r="B30" s="39" t="inlineStr">
        <is>
          <t>Keep energy up after dinner; dip volume during toasts; check in before every set change.</t>
        </is>
      </c>
      <c r="C30" s="40" t="n"/>
      <c r="D30" s="40" t="n"/>
      <c r="E30" s="40" t="n"/>
    </row>
    <row r="31">
      <c r="B31" s="40" t="n"/>
      <c r="C31" s="40" t="n"/>
      <c r="D31" s="40" t="n"/>
      <c r="E31" s="40" t="n"/>
    </row>
    <row r="32">
      <c r="B32" s="40" t="n"/>
      <c r="C32" s="40" t="n"/>
      <c r="D32" s="40" t="n"/>
      <c r="E32" s="40" t="n"/>
    </row>
    <row r="33">
      <c r="B33" s="40" t="n"/>
      <c r="C33" s="40" t="n"/>
      <c r="D33" s="40" t="n"/>
      <c r="E33" s="40" t="n"/>
    </row>
    <row r="34">
      <c r="B34" s="40" t="n"/>
      <c r="C34" s="40" t="n"/>
      <c r="D34" s="40" t="n"/>
      <c r="E34" s="4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mergeCells count="6">
    <mergeCell ref="B1:E1"/>
    <mergeCell ref="B30:E34"/>
    <mergeCell ref="B29:E29"/>
    <mergeCell ref="B19:E19"/>
    <mergeCell ref="B5:E5"/>
    <mergeCell ref="B2:E2"/>
  </mergeCell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tabColor rgb="008E9AAF"/>
    <outlinePr summaryBelow="1" summaryRight="1"/>
    <pageSetUpPr fitToPage="1"/>
  </sheetPr>
  <dimension ref="B1:F2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6" customWidth="1" min="2" max="2"/>
    <col width="32" customWidth="1" min="3" max="3"/>
    <col width="26" customWidth="1" min="4" max="4"/>
    <col width="20" customWidth="1" min="5" max="5"/>
    <col width="24" customWidth="1" min="6" max="6"/>
  </cols>
  <sheetData>
    <row r="1" ht="30" customHeight="1">
      <c r="B1" s="1" t="inlineStr">
        <is>
          <t>💃  SPECIAL DANCE SONGS</t>
        </is>
      </c>
      <c r="C1" s="2" t="n"/>
      <c r="D1" s="2" t="n"/>
      <c r="E1" s="2" t="n"/>
      <c r="F1" s="3" t="n"/>
    </row>
    <row r="2" ht="15" customHeight="1">
      <c r="B2" s="4" t="inlineStr">
        <is>
          <t>First dance, father-daughter, mother-son &amp; more</t>
        </is>
      </c>
      <c r="C2" s="2" t="n"/>
      <c r="D2" s="2" t="n"/>
      <c r="E2" s="2" t="n"/>
      <c r="F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Dance</t>
        </is>
      </c>
      <c r="C8" s="35" t="inlineStr">
        <is>
          <t>Song</t>
        </is>
      </c>
      <c r="D8" s="35" t="inlineStr">
        <is>
          <t>Artist</t>
        </is>
      </c>
      <c r="E8" s="35" t="inlineStr">
        <is>
          <t>Who dances</t>
        </is>
      </c>
      <c r="F8" s="35" t="inlineStr">
        <is>
          <t>Notes</t>
        </is>
      </c>
    </row>
    <row r="9">
      <c r="B9" s="36" t="inlineStr">
        <is>
          <t>Grand entrance</t>
        </is>
      </c>
      <c r="C9" s="36" t="inlineStr">
        <is>
          <t>Beautiful Day — U2</t>
        </is>
      </c>
      <c r="D9" s="36" t="n"/>
      <c r="E9" s="36" t="inlineStr">
        <is>
          <t>The couple</t>
        </is>
      </c>
      <c r="F9" s="36" t="n"/>
    </row>
    <row r="10">
      <c r="B10" s="36" t="inlineStr">
        <is>
          <t>First dance</t>
        </is>
      </c>
      <c r="C10" s="36" t="inlineStr">
        <is>
          <t>Better Together — Jack Johnson</t>
        </is>
      </c>
      <c r="D10" s="36" t="n"/>
      <c r="E10" s="36" t="inlineStr">
        <is>
          <t>The couple</t>
        </is>
      </c>
      <c r="F10" s="36" t="n"/>
    </row>
    <row r="11">
      <c r="B11" s="36" t="inlineStr">
        <is>
          <t>Father–daughter dance</t>
        </is>
      </c>
      <c r="C11" s="36" t="inlineStr">
        <is>
          <t>My Girl — The Temptations</t>
        </is>
      </c>
      <c r="D11" s="36" t="n"/>
      <c r="E11" s="36" t="inlineStr">
        <is>
          <t>Alex &amp; dad</t>
        </is>
      </c>
      <c r="F11" s="36" t="n"/>
    </row>
    <row r="12">
      <c r="B12" s="36" t="inlineStr">
        <is>
          <t>Mother–son dance</t>
        </is>
      </c>
      <c r="C12" s="36" t="inlineStr">
        <is>
          <t>In My Life — The Beatles</t>
        </is>
      </c>
      <c r="D12" s="36" t="n"/>
      <c r="E12" s="36" t="inlineStr">
        <is>
          <t>Jordan &amp; mom</t>
        </is>
      </c>
      <c r="F12" s="36" t="n"/>
    </row>
    <row r="13">
      <c r="B13" s="36" t="inlineStr">
        <is>
          <t>Wedding party dance</t>
        </is>
      </c>
      <c r="C13" s="36" t="inlineStr">
        <is>
          <t>24K Magic — Bruno Mars</t>
        </is>
      </c>
      <c r="D13" s="36" t="n"/>
      <c r="E13" s="36" t="inlineStr">
        <is>
          <t>Wedding party</t>
        </is>
      </c>
      <c r="F13" s="36" t="n"/>
    </row>
    <row r="14">
      <c r="B14" s="36" t="inlineStr">
        <is>
          <t>Bouquet toss song</t>
        </is>
      </c>
      <c r="C14" s="36" t="inlineStr">
        <is>
          <t>Single Ladies — Beyoncé</t>
        </is>
      </c>
      <c r="D14" s="36" t="n"/>
      <c r="E14" s="36" t="inlineStr">
        <is>
          <t>Singles</t>
        </is>
      </c>
      <c r="F14" s="36" t="n"/>
    </row>
    <row r="15">
      <c r="B15" s="36" t="inlineStr">
        <is>
          <t>Garter toss song</t>
        </is>
      </c>
      <c r="C15" s="36" t="inlineStr">
        <is>
          <t>You Sexy Thing — Hot Chocolate</t>
        </is>
      </c>
      <c r="D15" s="36" t="n"/>
      <c r="E15" s="36" t="n"/>
      <c r="F15" s="36" t="n"/>
    </row>
    <row r="16">
      <c r="B16" s="36" t="inlineStr">
        <is>
          <t>Last dance</t>
        </is>
      </c>
      <c r="C16" s="36" t="inlineStr">
        <is>
          <t>Landslide — Fleetwood Mac</t>
        </is>
      </c>
      <c r="D16" s="36" t="n"/>
      <c r="E16" s="36" t="inlineStr">
        <is>
          <t>Everyone</t>
        </is>
      </c>
      <c r="F16" s="36" t="n"/>
    </row>
    <row r="17">
      <c r="B17" s="36" t="n"/>
      <c r="C17" s="36" t="n"/>
      <c r="D17" s="36" t="n"/>
      <c r="E17" s="36" t="n"/>
      <c r="F17" s="36" t="n"/>
    </row>
    <row r="18">
      <c r="B18" s="36" t="n"/>
      <c r="C18" s="36" t="n"/>
      <c r="D18" s="36" t="n"/>
      <c r="E18" s="36" t="n"/>
      <c r="F18" s="36" t="n"/>
    </row>
    <row r="19">
      <c r="B19" s="36" t="n"/>
      <c r="C19" s="36" t="n"/>
      <c r="D19" s="36" t="n"/>
      <c r="E19" s="36" t="n"/>
      <c r="F19" s="36" t="n"/>
    </row>
    <row r="20">
      <c r="B20" s="36" t="n"/>
      <c r="C20" s="36" t="n"/>
      <c r="D20" s="36" t="n"/>
      <c r="E20" s="36" t="n"/>
      <c r="F20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F20"/>
  <mergeCells count="2">
    <mergeCell ref="B2:F2"/>
    <mergeCell ref="B1:F1"/>
  </mergeCell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tabColor rgb="008E9AAF"/>
    <outlinePr summaryBelow="1" summaryRight="1"/>
    <pageSetUpPr fitToPage="1"/>
  </sheetPr>
  <dimension ref="B1:G23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4" customWidth="1" min="2" max="2"/>
    <col width="22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 ht="30" customHeight="1">
      <c r="B1" s="1" t="inlineStr">
        <is>
          <t>🎪  ENTERTAINMENT IDEAS</t>
        </is>
      </c>
      <c r="C1" s="2" t="n"/>
      <c r="D1" s="2" t="n"/>
      <c r="E1" s="2" t="n"/>
      <c r="F1" s="2" t="n"/>
      <c r="G1" s="3" t="n"/>
    </row>
    <row r="2" ht="15" customHeight="1">
      <c r="B2" s="4" t="inlineStr">
        <is>
          <t>Photo booth, live painter, fireworks — pick your favourites</t>
        </is>
      </c>
      <c r="C2" s="2" t="n"/>
      <c r="D2" s="2" t="n"/>
      <c r="E2" s="2" t="n"/>
      <c r="F2" s="2" t="n"/>
      <c r="G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Idea</t>
        </is>
      </c>
      <c r="C8" s="35" t="inlineStr">
        <is>
          <t>Provider</t>
        </is>
      </c>
      <c r="D8" s="35" t="inlineStr">
        <is>
          <t>Est. cost</t>
        </is>
      </c>
      <c r="E8" s="35" t="inlineStr">
        <is>
          <t>Booked?</t>
        </is>
      </c>
      <c r="F8" s="35" t="inlineStr">
        <is>
          <t>Priority</t>
        </is>
      </c>
      <c r="G8" s="35" t="inlineStr">
        <is>
          <t>Notes</t>
        </is>
      </c>
    </row>
    <row r="9">
      <c r="B9" s="36" t="inlineStr">
        <is>
          <t>Photo booth &amp; props</t>
        </is>
      </c>
      <c r="C9" s="36" t="inlineStr">
        <is>
          <t>Snap Booth Co.</t>
        </is>
      </c>
      <c r="D9" s="45" t="n">
        <v>550</v>
      </c>
      <c r="E9" s="27" t="n"/>
      <c r="F9" s="27" t="n"/>
      <c r="G9" s="36" t="n"/>
    </row>
    <row r="10">
      <c r="B10" s="36" t="inlineStr">
        <is>
          <t>360° video booth</t>
        </is>
      </c>
      <c r="C10" s="36" t="inlineStr">
        <is>
          <t>SpinCam</t>
        </is>
      </c>
      <c r="D10" s="45" t="n">
        <v>700</v>
      </c>
      <c r="E10" s="27" t="n"/>
      <c r="F10" s="27" t="n"/>
      <c r="G10" s="36" t="n"/>
    </row>
    <row r="11">
      <c r="B11" s="36" t="inlineStr">
        <is>
          <t>Live event painter</t>
        </is>
      </c>
      <c r="C11" s="36" t="inlineStr">
        <is>
          <t>Anna Brush Studio</t>
        </is>
      </c>
      <c r="D11" s="45" t="n">
        <v>900</v>
      </c>
      <c r="E11" s="27" t="n"/>
      <c r="F11" s="27" t="n"/>
      <c r="G11" s="36" t="n"/>
    </row>
    <row r="12">
      <c r="B12" s="36" t="inlineStr">
        <is>
          <t>Caricature artist</t>
        </is>
      </c>
      <c r="C12" s="36" t="inlineStr">
        <is>
          <t>Doodles &amp; Co.</t>
        </is>
      </c>
      <c r="D12" s="45" t="n">
        <v>400</v>
      </c>
      <c r="E12" s="27" t="n"/>
      <c r="F12" s="27" t="n"/>
      <c r="G12" s="36" t="n"/>
    </row>
    <row r="13">
      <c r="B13" s="36" t="inlineStr">
        <is>
          <t>Cold sparkler fountains</t>
        </is>
      </c>
      <c r="C13" s="36" t="inlineStr">
        <is>
          <t>FX Nights</t>
        </is>
      </c>
      <c r="D13" s="45" t="n">
        <v>600</v>
      </c>
      <c r="E13" s="27" t="n"/>
      <c r="F13" s="27" t="n"/>
      <c r="G13" s="36" t="n"/>
    </row>
    <row r="14">
      <c r="B14" s="36" t="inlineStr">
        <is>
          <t>Fireworks display</t>
        </is>
      </c>
      <c r="C14" s="36" t="inlineStr">
        <is>
          <t>SkyLine Pyro</t>
        </is>
      </c>
      <c r="D14" s="45" t="n">
        <v>2500</v>
      </c>
      <c r="E14" s="27" t="n"/>
      <c r="F14" s="27" t="n"/>
      <c r="G14" s="36" t="n"/>
    </row>
    <row r="15">
      <c r="B15" s="36" t="inlineStr">
        <is>
          <t>Lawn games</t>
        </is>
      </c>
      <c r="C15" s="36" t="inlineStr">
        <is>
          <t>DIY</t>
        </is>
      </c>
      <c r="D15" s="45" t="n">
        <v>80</v>
      </c>
      <c r="E15" s="27" t="n"/>
      <c r="F15" s="27" t="n"/>
      <c r="G15" s="36" t="n"/>
    </row>
    <row r="16">
      <c r="B16" s="36" t="inlineStr">
        <is>
          <t>Dance floor props</t>
        </is>
      </c>
      <c r="C16" s="36" t="inlineStr">
        <is>
          <t>DIY</t>
        </is>
      </c>
      <c r="D16" s="45" t="n">
        <v>45</v>
      </c>
      <c r="E16" s="27" t="n"/>
      <c r="F16" s="27" t="n"/>
      <c r="G16" s="36" t="n"/>
    </row>
    <row r="17">
      <c r="B17" s="36" t="inlineStr">
        <is>
          <t>Acoustic cocktail set</t>
        </is>
      </c>
      <c r="C17" s="36" t="inlineStr">
        <is>
          <t>The Velvet Keys</t>
        </is>
      </c>
      <c r="D17" s="45" t="n">
        <v>800</v>
      </c>
      <c r="E17" s="27" t="n"/>
      <c r="F17" s="27" t="n"/>
      <c r="G17" s="36" t="n"/>
    </row>
    <row r="18">
      <c r="B18" s="36" t="inlineStr">
        <is>
          <t>Magician (cocktail hour)</t>
        </is>
      </c>
      <c r="C18" s="36" t="inlineStr">
        <is>
          <t>The Amazing Ray</t>
        </is>
      </c>
      <c r="D18" s="45" t="n">
        <v>500</v>
      </c>
      <c r="E18" s="27" t="n"/>
      <c r="F18" s="27" t="n"/>
      <c r="G18" s="36" t="n"/>
    </row>
    <row r="19">
      <c r="B19" s="36" t="inlineStr">
        <is>
          <t>Late-night karaoke hour</t>
        </is>
      </c>
      <c r="C19" s="36" t="inlineStr">
        <is>
          <t>Silver Sparrow DJ</t>
        </is>
      </c>
      <c r="D19" s="45" t="n">
        <v>200</v>
      </c>
      <c r="E19" s="27" t="n"/>
      <c r="F19" s="27" t="n"/>
      <c r="G19" s="36" t="n"/>
    </row>
    <row r="20">
      <c r="B20" s="36" t="n"/>
      <c r="C20" s="36" t="n"/>
      <c r="D20" s="45" t="n"/>
      <c r="E20" s="27" t="n"/>
      <c r="F20" s="27" t="n"/>
      <c r="G20" s="36" t="n"/>
    </row>
    <row r="21">
      <c r="B21" s="36" t="n"/>
      <c r="C21" s="36" t="n"/>
      <c r="D21" s="45" t="n"/>
      <c r="E21" s="27" t="n"/>
      <c r="F21" s="27" t="n"/>
      <c r="G21" s="36" t="n"/>
    </row>
    <row r="22">
      <c r="B22" s="36" t="n"/>
      <c r="C22" s="36" t="n"/>
      <c r="D22" s="45" t="n"/>
      <c r="E22" s="27" t="n"/>
      <c r="F22" s="27" t="n"/>
      <c r="G22" s="36" t="n"/>
    </row>
    <row r="23">
      <c r="B23" s="36" t="n"/>
      <c r="C23" s="36" t="n"/>
      <c r="D23" s="45" t="n"/>
      <c r="E23" s="27" t="n"/>
      <c r="F23" s="27" t="n"/>
      <c r="G23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G23"/>
  <mergeCells count="2">
    <mergeCell ref="B2:G2"/>
    <mergeCell ref="B1:G1"/>
  </mergeCells>
  <conditionalFormatting sqref="E9:E23">
    <cfRule type="cellIs" priority="1" operator="equal" dxfId="0">
      <formula>"Yes"</formula>
    </cfRule>
  </conditionalFormatting>
  <conditionalFormatting sqref="F9:F23">
    <cfRule type="cellIs" priority="2" operator="equal" dxfId="2">
      <formula>"High"</formula>
    </cfRule>
    <cfRule type="cellIs" priority="3" operator="equal" dxfId="1">
      <formula>"Medium"</formula>
    </cfRule>
  </conditionalFormatting>
  <dataValidations count="2">
    <dataValidation sqref="E9:E23" showDropDown="0" showInputMessage="0" showErrorMessage="0" allowBlank="1" type="list">
      <formula1>"Yes,No"</formula1>
    </dataValidation>
    <dataValidation sqref="F9:F23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tabColor rgb="008E9AAF"/>
    <outlinePr summaryBelow="1" summaryRight="1"/>
    <pageSetUpPr fitToPage="1"/>
  </sheetPr>
  <dimension ref="B1:E43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18" customWidth="1" min="2" max="2"/>
    <col width="42" customWidth="1" min="3" max="3"/>
    <col width="14" customWidth="1" min="4" max="4"/>
    <col width="24" customWidth="1" min="5" max="5"/>
  </cols>
  <sheetData>
    <row r="1" ht="30" customHeight="1">
      <c r="B1" s="1" t="inlineStr">
        <is>
          <t>📸  PHOTOGRAPHY SHOT LIST</t>
        </is>
      </c>
      <c r="C1" s="2" t="n"/>
      <c r="D1" s="2" t="n"/>
      <c r="E1" s="3" t="n"/>
    </row>
    <row r="2" ht="15" customHeight="1">
      <c r="B2" s="4" t="inlineStr">
        <is>
          <t>Must-have photos &amp; candid moments — share with your photographer</t>
        </is>
      </c>
      <c r="C2" s="2" t="n"/>
      <c r="D2" s="2" t="n"/>
      <c r="E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Category</t>
        </is>
      </c>
      <c r="C8" s="35" t="inlineStr">
        <is>
          <t>Shot</t>
        </is>
      </c>
      <c r="D8" s="35" t="inlineStr">
        <is>
          <t>Priority</t>
        </is>
      </c>
      <c r="E8" s="35" t="inlineStr">
        <is>
          <t>Who / notes</t>
        </is>
      </c>
    </row>
    <row r="9">
      <c r="B9" s="36" t="inlineStr">
        <is>
          <t>Getting ready</t>
        </is>
      </c>
      <c r="C9" s="36" t="inlineStr">
        <is>
          <t>Dress / outfit hanging shot</t>
        </is>
      </c>
      <c r="D9" s="27" t="inlineStr">
        <is>
          <t>Must-have</t>
        </is>
      </c>
      <c r="E9" s="36" t="n"/>
    </row>
    <row r="10">
      <c r="B10" s="36" t="inlineStr">
        <is>
          <t>Getting ready</t>
        </is>
      </c>
      <c r="C10" s="36" t="inlineStr">
        <is>
          <t>Shoes, jewellery &amp; perfume flat lay</t>
        </is>
      </c>
      <c r="D10" s="27" t="inlineStr">
        <is>
          <t>Must-have</t>
        </is>
      </c>
      <c r="E10" s="36" t="n"/>
    </row>
    <row r="11">
      <c r="B11" s="36" t="inlineStr">
        <is>
          <t>Getting ready</t>
        </is>
      </c>
      <c r="C11" s="36" t="inlineStr">
        <is>
          <t>Hair &amp; makeup in progress</t>
        </is>
      </c>
      <c r="D11" s="27" t="inlineStr">
        <is>
          <t>Nice to have</t>
        </is>
      </c>
      <c r="E11" s="36" t="n"/>
    </row>
    <row r="12">
      <c r="B12" s="36" t="inlineStr">
        <is>
          <t>Getting ready</t>
        </is>
      </c>
      <c r="C12" s="36" t="inlineStr">
        <is>
          <t>First look with parents</t>
        </is>
      </c>
      <c r="D12" s="27" t="inlineStr">
        <is>
          <t>Must-have</t>
        </is>
      </c>
      <c r="E12" s="36" t="n"/>
    </row>
    <row r="13">
      <c r="B13" s="36" t="inlineStr">
        <is>
          <t>Details</t>
        </is>
      </c>
      <c r="C13" s="36" t="inlineStr">
        <is>
          <t>Invitation suite styled</t>
        </is>
      </c>
      <c r="D13" s="27" t="inlineStr">
        <is>
          <t>Must-have</t>
        </is>
      </c>
      <c r="E13" s="36" t="n"/>
    </row>
    <row r="14">
      <c r="B14" s="36" t="inlineStr">
        <is>
          <t>Details</t>
        </is>
      </c>
      <c r="C14" s="36" t="inlineStr">
        <is>
          <t>Rings close-up</t>
        </is>
      </c>
      <c r="D14" s="27" t="inlineStr">
        <is>
          <t>Must-have</t>
        </is>
      </c>
      <c r="E14" s="36" t="n"/>
    </row>
    <row r="15">
      <c r="B15" s="36" t="inlineStr">
        <is>
          <t>Details</t>
        </is>
      </c>
      <c r="C15" s="36" t="inlineStr">
        <is>
          <t>Bouquet &amp; florals</t>
        </is>
      </c>
      <c r="D15" s="27" t="inlineStr">
        <is>
          <t>Must-have</t>
        </is>
      </c>
      <c r="E15" s="36" t="n"/>
    </row>
    <row r="16">
      <c r="B16" s="36" t="inlineStr">
        <is>
          <t>Details</t>
        </is>
      </c>
      <c r="C16" s="36" t="inlineStr">
        <is>
          <t>Venue signage &amp; tablescape</t>
        </is>
      </c>
      <c r="D16" s="27" t="inlineStr">
        <is>
          <t>Must-have</t>
        </is>
      </c>
      <c r="E16" s="36" t="n"/>
    </row>
    <row r="17">
      <c r="B17" s="36" t="inlineStr">
        <is>
          <t>Details</t>
        </is>
      </c>
      <c r="C17" s="36" t="inlineStr">
        <is>
          <t>Vows &amp; keepsake items</t>
        </is>
      </c>
      <c r="D17" s="27" t="inlineStr">
        <is>
          <t>Nice to have</t>
        </is>
      </c>
      <c r="E17" s="36" t="n"/>
    </row>
    <row r="18">
      <c r="B18" s="36" t="inlineStr">
        <is>
          <t>Ceremony</t>
        </is>
      </c>
      <c r="C18" s="36" t="inlineStr">
        <is>
          <t>Processional — both partners' reactions</t>
        </is>
      </c>
      <c r="D18" s="27" t="inlineStr">
        <is>
          <t>Must-have</t>
        </is>
      </c>
      <c r="E18" s="36" t="n"/>
    </row>
    <row r="19">
      <c r="B19" s="36" t="inlineStr">
        <is>
          <t>Ceremony</t>
        </is>
      </c>
      <c r="C19" s="36" t="inlineStr">
        <is>
          <t>Wide shot of vows from aisle end</t>
        </is>
      </c>
      <c r="D19" s="27" t="inlineStr">
        <is>
          <t>Must-have</t>
        </is>
      </c>
      <c r="E19" s="36" t="n"/>
    </row>
    <row r="20">
      <c r="B20" s="36" t="inlineStr">
        <is>
          <t>Ceremony</t>
        </is>
      </c>
      <c r="C20" s="36" t="inlineStr">
        <is>
          <t>Ring exchange close-up</t>
        </is>
      </c>
      <c r="D20" s="27" t="inlineStr">
        <is>
          <t>Must-have</t>
        </is>
      </c>
      <c r="E20" s="36" t="n"/>
    </row>
    <row r="21">
      <c r="B21" s="36" t="inlineStr">
        <is>
          <t>Ceremony</t>
        </is>
      </c>
      <c r="C21" s="36" t="inlineStr">
        <is>
          <t>First kiss</t>
        </is>
      </c>
      <c r="D21" s="27" t="inlineStr">
        <is>
          <t>Must-have</t>
        </is>
      </c>
      <c r="E21" s="36" t="n"/>
    </row>
    <row r="22">
      <c r="B22" s="36" t="inlineStr">
        <is>
          <t>Ceremony</t>
        </is>
      </c>
      <c r="C22" s="36" t="inlineStr">
        <is>
          <t>Recessional with guests cheering</t>
        </is>
      </c>
      <c r="D22" s="27" t="inlineStr">
        <is>
          <t>Must-have</t>
        </is>
      </c>
      <c r="E22" s="36" t="n"/>
    </row>
    <row r="23">
      <c r="B23" s="36" t="inlineStr">
        <is>
          <t>Couple</t>
        </is>
      </c>
      <c r="C23" s="36" t="inlineStr">
        <is>
          <t>Golden-hour couple portraits</t>
        </is>
      </c>
      <c r="D23" s="27" t="inlineStr">
        <is>
          <t>Must-have</t>
        </is>
      </c>
      <c r="E23" s="36" t="n"/>
    </row>
    <row r="24">
      <c r="B24" s="36" t="inlineStr">
        <is>
          <t>Couple</t>
        </is>
      </c>
      <c r="C24" s="36" t="inlineStr">
        <is>
          <t>Candid laughing walk</t>
        </is>
      </c>
      <c r="D24" s="27" t="inlineStr">
        <is>
          <t>Must-have</t>
        </is>
      </c>
      <c r="E24" s="36" t="n"/>
    </row>
    <row r="25">
      <c r="B25" s="36" t="inlineStr">
        <is>
          <t>Couple</t>
        </is>
      </c>
      <c r="C25" s="36" t="inlineStr">
        <is>
          <t>Vitamin-sea? no — mountain overlook shot</t>
        </is>
      </c>
      <c r="D25" s="27" t="inlineStr">
        <is>
          <t>Nice to have</t>
        </is>
      </c>
      <c r="E25" s="36" t="n"/>
    </row>
    <row r="26">
      <c r="B26" s="36" t="inlineStr">
        <is>
          <t>Family</t>
        </is>
      </c>
      <c r="C26" s="36" t="inlineStr">
        <is>
          <t>Full family formal (both sides)</t>
        </is>
      </c>
      <c r="D26" s="27" t="inlineStr">
        <is>
          <t>Must-have</t>
        </is>
      </c>
      <c r="E26" s="36" t="n"/>
    </row>
    <row r="27">
      <c r="B27" s="36" t="inlineStr">
        <is>
          <t>Family</t>
        </is>
      </c>
      <c r="C27" s="36" t="inlineStr">
        <is>
          <t>Grandparents candid hugs</t>
        </is>
      </c>
      <c r="D27" s="27" t="inlineStr">
        <is>
          <t>Must-have</t>
        </is>
      </c>
      <c r="E27" s="36" t="n"/>
    </row>
    <row r="28">
      <c r="B28" s="36" t="inlineStr">
        <is>
          <t>Reception</t>
        </is>
      </c>
      <c r="C28" s="36" t="inlineStr">
        <is>
          <t>Grand entrance reaction</t>
        </is>
      </c>
      <c r="D28" s="27" t="inlineStr">
        <is>
          <t>Must-have</t>
        </is>
      </c>
      <c r="E28" s="36" t="n"/>
    </row>
    <row r="29">
      <c r="B29" s="36" t="inlineStr">
        <is>
          <t>Reception</t>
        </is>
      </c>
      <c r="C29" s="36" t="inlineStr">
        <is>
          <t>First dance</t>
        </is>
      </c>
      <c r="D29" s="27" t="inlineStr">
        <is>
          <t>Must-have</t>
        </is>
      </c>
      <c r="E29" s="36" t="n"/>
    </row>
    <row r="30">
      <c r="B30" s="36" t="inlineStr">
        <is>
          <t>Reception</t>
        </is>
      </c>
      <c r="C30" s="36" t="inlineStr">
        <is>
          <t>Toasts — reactions of couple &amp; speakers</t>
        </is>
      </c>
      <c r="D30" s="27" t="inlineStr">
        <is>
          <t>Must-have</t>
        </is>
      </c>
      <c r="E30" s="36" t="n"/>
    </row>
    <row r="31">
      <c r="B31" s="36" t="inlineStr">
        <is>
          <t>Reception</t>
        </is>
      </c>
      <c r="C31" s="36" t="inlineStr">
        <is>
          <t>Cake cutting</t>
        </is>
      </c>
      <c r="D31" s="27" t="inlineStr">
        <is>
          <t>Must-have</t>
        </is>
      </c>
      <c r="E31" s="36" t="n"/>
    </row>
    <row r="32">
      <c r="B32" s="36" t="inlineStr">
        <is>
          <t>Reception</t>
        </is>
      </c>
      <c r="C32" s="36" t="inlineStr">
        <is>
          <t>Dance floor chaos shot 😄</t>
        </is>
      </c>
      <c r="D32" s="27" t="inlineStr">
        <is>
          <t>Must-have</t>
        </is>
      </c>
      <c r="E32" s="36" t="n"/>
    </row>
    <row r="33">
      <c r="B33" s="36" t="inlineStr">
        <is>
          <t>Reception</t>
        </is>
      </c>
      <c r="C33" s="36" t="inlineStr">
        <is>
          <t>Tablescapes &amp; room glow</t>
        </is>
      </c>
      <c r="D33" s="27" t="inlineStr">
        <is>
          <t>Nice to have</t>
        </is>
      </c>
      <c r="E33" s="36" t="n"/>
    </row>
    <row r="34">
      <c r="B34" s="36" t="inlineStr">
        <is>
          <t>Send-off</t>
        </is>
      </c>
      <c r="C34" s="36" t="inlineStr">
        <is>
          <t>Sparkler tunnel</t>
        </is>
      </c>
      <c r="D34" s="27" t="inlineStr">
        <is>
          <t>Must-have</t>
        </is>
      </c>
      <c r="E34" s="36" t="n"/>
    </row>
    <row r="35">
      <c r="B35" s="36" t="inlineStr">
        <is>
          <t>Send-off</t>
        </is>
      </c>
      <c r="C35" s="36" t="inlineStr">
        <is>
          <t>Getaway car exit</t>
        </is>
      </c>
      <c r="D35" s="27" t="inlineStr">
        <is>
          <t>Must-have</t>
        </is>
      </c>
      <c r="E35" s="36" t="n"/>
    </row>
    <row r="36">
      <c r="B36" s="36" t="n"/>
      <c r="C36" s="36" t="n"/>
      <c r="D36" s="27" t="n"/>
      <c r="E36" s="36" t="n"/>
    </row>
    <row r="37">
      <c r="B37" s="36" t="n"/>
      <c r="C37" s="36" t="n"/>
      <c r="D37" s="27" t="n"/>
      <c r="E37" s="36" t="n"/>
    </row>
    <row r="38">
      <c r="B38" s="36" t="n"/>
      <c r="C38" s="36" t="n"/>
      <c r="D38" s="27" t="n"/>
      <c r="E38" s="36" t="n"/>
    </row>
    <row r="39">
      <c r="B39" s="36" t="n"/>
      <c r="C39" s="36" t="n"/>
      <c r="D39" s="27" t="n"/>
      <c r="E39" s="36" t="n"/>
    </row>
    <row r="40">
      <c r="B40" s="36" t="n"/>
      <c r="C40" s="36" t="n"/>
      <c r="D40" s="27" t="n"/>
      <c r="E40" s="36" t="n"/>
    </row>
    <row r="41">
      <c r="B41" s="36" t="n"/>
      <c r="C41" s="36" t="n"/>
      <c r="D41" s="27" t="n"/>
      <c r="E41" s="36" t="n"/>
    </row>
    <row r="42">
      <c r="B42" s="36" t="n"/>
      <c r="C42" s="36" t="n"/>
      <c r="D42" s="27" t="n"/>
      <c r="E42" s="36" t="n"/>
    </row>
    <row r="43">
      <c r="B43" s="36" t="n"/>
      <c r="C43" s="36" t="n"/>
      <c r="D43" s="27" t="n"/>
      <c r="E43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E43"/>
  <mergeCells count="2">
    <mergeCell ref="B1:E1"/>
    <mergeCell ref="B2:E2"/>
  </mergeCells>
  <conditionalFormatting sqref="D9:D43">
    <cfRule type="cellIs" priority="1" operator="equal" dxfId="2">
      <formula>"Must-have"</formula>
    </cfRule>
  </conditionalFormatting>
  <dataValidations count="1">
    <dataValidation sqref="D9:D43" showDropDown="0" showInputMessage="0" showErrorMessage="0" allowBlank="1" type="list">
      <formula1>"Must-have,Nice to have"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tabColor rgb="008E9AAF"/>
    <outlinePr summaryBelow="1" summaryRight="1"/>
    <pageSetUpPr fitToPage="1"/>
  </sheetPr>
  <dimension ref="B1:F24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6" customWidth="1" min="2" max="2"/>
    <col width="40" customWidth="1" min="3" max="3"/>
    <col width="34" customWidth="1" min="4" max="4"/>
    <col width="14" customWidth="1" min="5" max="5"/>
    <col width="14" customWidth="1" min="6" max="6"/>
  </cols>
  <sheetData>
    <row r="1" ht="30" customHeight="1">
      <c r="B1" s="1" t="inlineStr">
        <is>
          <t>👨‍👩‍👧  FAMILY PHOTO GROUPINGS</t>
        </is>
      </c>
      <c r="C1" s="2" t="n"/>
      <c r="D1" s="2" t="n"/>
      <c r="E1" s="2" t="n"/>
      <c r="F1" s="3" t="n"/>
    </row>
    <row r="2" ht="15" customHeight="1">
      <c r="B2" s="4" t="inlineStr">
        <is>
          <t>Formal portrait combinations — efficient line-ups save time</t>
        </is>
      </c>
      <c r="C2" s="2" t="n"/>
      <c r="D2" s="2" t="n"/>
      <c r="E2" s="2" t="n"/>
      <c r="F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#</t>
        </is>
      </c>
      <c r="C8" s="35" t="inlineStr">
        <is>
          <t>Grouping</t>
        </is>
      </c>
      <c r="D8" s="35" t="inlineStr">
        <is>
          <t>People</t>
        </is>
      </c>
      <c r="E8" s="35" t="inlineStr">
        <is>
          <t>Timing</t>
        </is>
      </c>
      <c r="F8" s="35" t="inlineStr">
        <is>
          <t>Taken?</t>
        </is>
      </c>
    </row>
    <row r="9">
      <c r="B9" s="27" t="n">
        <v>1</v>
      </c>
      <c r="C9" s="36" t="inlineStr">
        <is>
          <t>Couple + both sets of parents</t>
        </is>
      </c>
      <c r="D9" s="36" t="inlineStr">
        <is>
          <t>Morgans &amp; Lees</t>
        </is>
      </c>
      <c r="E9" s="27" t="n"/>
      <c r="F9" s="27" t="n"/>
    </row>
    <row r="10">
      <c r="B10" s="27" t="n">
        <v>2</v>
      </c>
      <c r="C10" s="36" t="inlineStr">
        <is>
          <t>Couple + bride's immediate family</t>
        </is>
      </c>
      <c r="D10" s="36" t="inlineStr">
        <is>
          <t>Morgans</t>
        </is>
      </c>
      <c r="E10" s="27" t="n"/>
      <c r="F10" s="27" t="n"/>
    </row>
    <row r="11">
      <c r="B11" s="27" t="n">
        <v>3</v>
      </c>
      <c r="C11" s="36" t="inlineStr">
        <is>
          <t>Couple + groom's immediate family</t>
        </is>
      </c>
      <c r="D11" s="36" t="inlineStr">
        <is>
          <t>Lees</t>
        </is>
      </c>
      <c r="E11" s="27" t="n"/>
      <c r="F11" s="27" t="n"/>
    </row>
    <row r="12">
      <c r="B12" s="27" t="n">
        <v>4</v>
      </c>
      <c r="C12" s="36" t="inlineStr">
        <is>
          <t>Couple + grandparents</t>
        </is>
      </c>
      <c r="D12" s="36" t="inlineStr">
        <is>
          <t>All grandparents</t>
        </is>
      </c>
      <c r="E12" s="27" t="n"/>
      <c r="F12" s="27" t="n"/>
    </row>
    <row r="13">
      <c r="B13" s="27" t="n">
        <v>5</v>
      </c>
      <c r="C13" s="36" t="inlineStr">
        <is>
          <t>Couple + bridesmaids &amp; groomsmen</t>
        </is>
      </c>
      <c r="D13" s="36" t="inlineStr">
        <is>
          <t>Full wedding party</t>
        </is>
      </c>
      <c r="E13" s="27" t="n"/>
      <c r="F13" s="27" t="n"/>
    </row>
    <row r="14">
      <c r="B14" s="27" t="n">
        <v>6</v>
      </c>
      <c r="C14" s="36" t="inlineStr">
        <is>
          <t>Couple + bridesmaids</t>
        </is>
      </c>
      <c r="D14" s="36" t="n"/>
      <c r="E14" s="27" t="n"/>
      <c r="F14" s="27" t="n"/>
    </row>
    <row r="15">
      <c r="B15" s="27" t="n">
        <v>7</v>
      </c>
      <c r="C15" s="36" t="inlineStr">
        <is>
          <t>Couple + groomsmen</t>
        </is>
      </c>
      <c r="D15" s="36" t="n"/>
      <c r="E15" s="27" t="n"/>
      <c r="F15" s="27" t="n"/>
    </row>
    <row r="16">
      <c r="B16" s="27" t="n">
        <v>8</v>
      </c>
      <c r="C16" s="36" t="inlineStr">
        <is>
          <t>Couple + flower girl &amp; ring bearer</t>
        </is>
      </c>
      <c r="D16" s="36" t="n"/>
      <c r="E16" s="27" t="n"/>
      <c r="F16" s="27" t="n"/>
    </row>
    <row r="17">
      <c r="B17" s="27" t="n">
        <v>9</v>
      </c>
      <c r="C17" s="36" t="inlineStr">
        <is>
          <t>Extended family — bride's side</t>
        </is>
      </c>
      <c r="D17" s="36" t="inlineStr">
        <is>
          <t>Aunts, uncles, cousins</t>
        </is>
      </c>
      <c r="E17" s="27" t="n"/>
      <c r="F17" s="27" t="n"/>
    </row>
    <row r="18">
      <c r="B18" s="27" t="n">
        <v>10</v>
      </c>
      <c r="C18" s="36" t="inlineStr">
        <is>
          <t>Extended family — groom's side</t>
        </is>
      </c>
      <c r="D18" s="36" t="inlineStr">
        <is>
          <t>Aunts, uncles, cousins</t>
        </is>
      </c>
      <c r="E18" s="27" t="n"/>
      <c r="F18" s="27" t="n"/>
    </row>
    <row r="19">
      <c r="B19" s="27" t="n">
        <v>11</v>
      </c>
      <c r="C19" s="36" t="inlineStr">
        <is>
          <t>Chosen family / best friends</t>
        </is>
      </c>
      <c r="D19" s="36" t="n"/>
      <c r="E19" s="27" t="n"/>
      <c r="F19" s="27" t="n"/>
    </row>
    <row r="20">
      <c r="B20" s="27" t="n">
        <v>12</v>
      </c>
      <c r="C20" s="36" t="inlineStr">
        <is>
          <t>Everyone — all guests</t>
        </is>
      </c>
      <c r="D20" s="36" t="inlineStr">
        <is>
          <t>Grand group shot</t>
        </is>
      </c>
      <c r="E20" s="27" t="n"/>
      <c r="F20" s="27" t="n"/>
    </row>
    <row r="21">
      <c r="B21" s="27" t="n"/>
      <c r="C21" s="36" t="n"/>
      <c r="D21" s="36" t="n"/>
      <c r="E21" s="27" t="n"/>
      <c r="F21" s="27" t="n"/>
    </row>
    <row r="22">
      <c r="B22" s="27" t="n"/>
      <c r="C22" s="36" t="n"/>
      <c r="D22" s="36" t="n"/>
      <c r="E22" s="27" t="n"/>
      <c r="F22" s="27" t="n"/>
    </row>
    <row r="23">
      <c r="B23" s="27" t="n"/>
      <c r="C23" s="36" t="n"/>
      <c r="D23" s="36" t="n"/>
      <c r="E23" s="27" t="n"/>
      <c r="F23" s="27" t="n"/>
    </row>
    <row r="24">
      <c r="B24" s="27" t="n"/>
      <c r="C24" s="36" t="n"/>
      <c r="D24" s="36" t="n"/>
      <c r="E24" s="27" t="n"/>
      <c r="F24" s="2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F24"/>
  <mergeCells count="2">
    <mergeCell ref="B2:F2"/>
    <mergeCell ref="B1:F1"/>
  </mergeCells>
  <conditionalFormatting sqref="F9:F24">
    <cfRule type="cellIs" priority="1" operator="equal" dxfId="0">
      <formula>"Done"</formula>
    </cfRule>
    <cfRule type="cellIs" priority="2" operator="equal" dxfId="1">
      <formula>"Not Yet"</formula>
    </cfRule>
  </conditionalFormatting>
  <dataValidations count="2">
    <dataValidation sqref="E9:E24" showDropDown="0" showInputMessage="0" showErrorMessage="0" allowBlank="1" type="list">
      <formula1>"After ceremony,Cocktail hour,Reception"</formula1>
    </dataValidation>
    <dataValidation sqref="F9:F24" showDropDown="0" showInputMessage="0" showErrorMessage="0" allowBlank="1" type="list">
      <formula1>"Done,Not Yet"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tabColor rgb="008E9AAF"/>
    <outlinePr summaryBelow="1" summaryRight="1"/>
    <pageSetUpPr fitToPage="1"/>
  </sheetPr>
  <dimension ref="B1:E26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36" customWidth="1" min="2" max="2"/>
    <col width="14" customWidth="1" min="3" max="3"/>
    <col width="20" customWidth="1" min="4" max="4"/>
    <col width="26" customWidth="1" min="5" max="5"/>
  </cols>
  <sheetData>
    <row r="1" ht="30" customHeight="1">
      <c r="B1" s="1" t="inlineStr">
        <is>
          <t>🎥  VIDEO MUST-CAPTURE MOMENTS</t>
        </is>
      </c>
      <c r="C1" s="2" t="n"/>
      <c r="D1" s="2" t="n"/>
      <c r="E1" s="3" t="n"/>
    </row>
    <row r="2" ht="15" customHeight="1">
      <c r="B2" s="4" t="inlineStr">
        <is>
          <t>For your videographer</t>
        </is>
      </c>
      <c r="C2" s="2" t="n"/>
      <c r="D2" s="2" t="n"/>
      <c r="E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Moment</t>
        </is>
      </c>
      <c r="C8" s="35" t="inlineStr">
        <is>
          <t>Priority</t>
        </is>
      </c>
      <c r="D8" s="35" t="inlineStr">
        <is>
          <t>Who captures</t>
        </is>
      </c>
      <c r="E8" s="35" t="inlineStr">
        <is>
          <t>Notes</t>
        </is>
      </c>
    </row>
    <row r="9">
      <c r="B9" s="36" t="inlineStr">
        <is>
          <t>Vows (audio is everything — mic the groom)</t>
        </is>
      </c>
      <c r="C9" s="27" t="inlineStr">
        <is>
          <t>Must-have</t>
        </is>
      </c>
      <c r="D9" s="36" t="n"/>
      <c r="E9" s="36" t="n"/>
    </row>
    <row r="10">
      <c r="B10" s="36" t="inlineStr">
        <is>
          <t>Both partners getting ready</t>
        </is>
      </c>
      <c r="C10" s="27" t="inlineStr">
        <is>
          <t>Must-have</t>
        </is>
      </c>
      <c r="D10" s="36" t="n"/>
      <c r="E10" s="36" t="n"/>
    </row>
    <row r="11">
      <c r="B11" s="36" t="inlineStr">
        <is>
          <t>First look</t>
        </is>
      </c>
      <c r="C11" s="27" t="inlineStr">
        <is>
          <t>Must-have</t>
        </is>
      </c>
      <c r="D11" s="36" t="n"/>
      <c r="E11" s="36" t="n"/>
    </row>
    <row r="12">
      <c r="B12" s="36" t="inlineStr">
        <is>
          <t>Processional reaction</t>
        </is>
      </c>
      <c r="C12" s="27" t="inlineStr">
        <is>
          <t>Must-have</t>
        </is>
      </c>
      <c r="D12" s="36" t="n"/>
      <c r="E12" s="36" t="n"/>
    </row>
    <row r="13">
      <c r="B13" s="36" t="inlineStr">
        <is>
          <t>Ring exchange close-up</t>
        </is>
      </c>
      <c r="C13" s="27" t="inlineStr">
        <is>
          <t>Must-have</t>
        </is>
      </c>
      <c r="D13" s="36" t="n"/>
      <c r="E13" s="36" t="n"/>
    </row>
    <row r="14">
      <c r="B14" s="36" t="inlineStr">
        <is>
          <t>First kiss &amp; recessional</t>
        </is>
      </c>
      <c r="C14" s="27" t="inlineStr">
        <is>
          <t>Must-have</t>
        </is>
      </c>
      <c r="D14" s="36" t="n"/>
      <c r="E14" s="36" t="n"/>
    </row>
    <row r="15">
      <c r="B15" s="36" t="inlineStr">
        <is>
          <t>Toasts with guest reactions</t>
        </is>
      </c>
      <c r="C15" s="27" t="inlineStr">
        <is>
          <t>Must-have</t>
        </is>
      </c>
      <c r="D15" s="36" t="n"/>
      <c r="E15" s="36" t="n"/>
    </row>
    <row r="16">
      <c r="B16" s="36" t="inlineStr">
        <is>
          <t>First dance (wide + close)</t>
        </is>
      </c>
      <c r="C16" s="27" t="inlineStr">
        <is>
          <t>Must-have</t>
        </is>
      </c>
      <c r="D16" s="36" t="n"/>
      <c r="E16" s="36" t="n"/>
    </row>
    <row r="17">
      <c r="B17" s="36" t="inlineStr">
        <is>
          <t>Parent dances</t>
        </is>
      </c>
      <c r="C17" s="27" t="inlineStr">
        <is>
          <t>Must-have</t>
        </is>
      </c>
      <c r="D17" s="36" t="n"/>
      <c r="E17" s="36" t="n"/>
    </row>
    <row r="18">
      <c r="B18" s="36" t="inlineStr">
        <is>
          <t>Cake cutting</t>
        </is>
      </c>
      <c r="C18" s="27" t="inlineStr">
        <is>
          <t>Nice to have</t>
        </is>
      </c>
      <c r="D18" s="36" t="n"/>
      <c r="E18" s="36" t="n"/>
    </row>
    <row r="19">
      <c r="B19" s="36" t="inlineStr">
        <is>
          <t>Guest messages / advice booth</t>
        </is>
      </c>
      <c r="C19" s="27" t="inlineStr">
        <is>
          <t>Nice to have</t>
        </is>
      </c>
      <c r="D19" s="36" t="n"/>
      <c r="E19" s="36" t="n"/>
    </row>
    <row r="20">
      <c r="B20" s="36" t="inlineStr">
        <is>
          <t>Sparkler send-off &amp; getaway car</t>
        </is>
      </c>
      <c r="C20" s="27" t="inlineStr">
        <is>
          <t>Must-have</t>
        </is>
      </c>
      <c r="D20" s="36" t="n"/>
      <c r="E20" s="36" t="n"/>
    </row>
    <row r="21">
      <c r="B21" s="36" t="inlineStr">
        <is>
          <t>B-roll: venue, décor, details</t>
        </is>
      </c>
      <c r="C21" s="27" t="inlineStr">
        <is>
          <t>Must-have</t>
        </is>
      </c>
      <c r="D21" s="36" t="n"/>
      <c r="E21" s="36" t="n"/>
    </row>
    <row r="22">
      <c r="B22" s="36" t="inlineStr">
        <is>
          <t>Late-night dance floor energy</t>
        </is>
      </c>
      <c r="C22" s="27" t="inlineStr">
        <is>
          <t>Nice to have</t>
        </is>
      </c>
      <c r="D22" s="36" t="n"/>
      <c r="E22" s="36" t="n"/>
    </row>
    <row r="23">
      <c r="B23" s="36" t="n"/>
      <c r="C23" s="27" t="n"/>
      <c r="D23" s="36" t="n"/>
      <c r="E23" s="36" t="n"/>
    </row>
    <row r="24">
      <c r="B24" s="36" t="n"/>
      <c r="C24" s="27" t="n"/>
      <c r="D24" s="36" t="n"/>
      <c r="E24" s="36" t="n"/>
    </row>
    <row r="25">
      <c r="B25" s="36" t="n"/>
      <c r="C25" s="27" t="n"/>
      <c r="D25" s="36" t="n"/>
      <c r="E25" s="36" t="n"/>
    </row>
    <row r="26">
      <c r="B26" s="36" t="n"/>
      <c r="C26" s="27" t="n"/>
      <c r="D26" s="36" t="n"/>
      <c r="E26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E26"/>
  <mergeCells count="2">
    <mergeCell ref="B1:E1"/>
    <mergeCell ref="B2:E2"/>
  </mergeCells>
  <conditionalFormatting sqref="C9:C26">
    <cfRule type="cellIs" priority="1" operator="equal" dxfId="2">
      <formula>"Must-have"</formula>
    </cfRule>
  </conditionalFormatting>
  <dataValidations count="1">
    <dataValidation sqref="C9:C26" showDropDown="0" showInputMessage="0" showErrorMessage="0" allowBlank="1" type="list">
      <formula1>"Must-have,Nice to have"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tabColor rgb="007FA6A0"/>
    <outlinePr summaryBelow="1" summaryRight="1"/>
    <pageSetUpPr fitToPage="1"/>
  </sheetPr>
  <dimension ref="B1:F53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6" customWidth="1" min="2" max="2"/>
    <col width="16" customWidth="1" min="3" max="3"/>
    <col width="14" customWidth="1" min="4" max="4"/>
    <col width="30" customWidth="1" min="5" max="5"/>
    <col width="26" customWidth="1" min="6" max="6"/>
  </cols>
  <sheetData>
    <row r="1" ht="30" customHeight="1">
      <c r="B1" s="1" t="inlineStr">
        <is>
          <t>🏝️  HONEYMOON PLANNER</t>
        </is>
      </c>
      <c r="C1" s="2" t="n"/>
      <c r="D1" s="2" t="n"/>
      <c r="E1" s="2" t="n"/>
      <c r="F1" s="3" t="n"/>
    </row>
    <row r="2" ht="15" customHeight="1">
      <c r="B2" s="4" t="inlineStr">
        <is>
          <t>Destination, budget, itinerary &amp; packing list</t>
        </is>
      </c>
      <c r="C2" s="2" t="n"/>
      <c r="D2" s="2" t="n"/>
      <c r="E2" s="2" t="n"/>
      <c r="F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5" ht="20" customHeight="1">
      <c r="B5" s="6" t="inlineStr">
        <is>
          <t>THE TRIP</t>
        </is>
      </c>
      <c r="C5" s="7" t="n"/>
      <c r="D5" s="7" t="n"/>
      <c r="E5" s="7" t="n"/>
      <c r="F5" s="7" t="n"/>
    </row>
    <row r="6">
      <c r="B6" s="8" t="inlineStr">
        <is>
          <t>Destination</t>
        </is>
      </c>
      <c r="C6" s="36" t="inlineStr">
        <is>
          <t>Amalfi Coast, Italy</t>
        </is>
      </c>
      <c r="D6" s="57" t="n"/>
      <c r="E6" s="57" t="n"/>
      <c r="F6" s="58" t="n"/>
    </row>
    <row r="7">
      <c r="B7" s="8" t="inlineStr">
        <is>
          <t>Travel dates</t>
        </is>
      </c>
      <c r="C7" s="36" t="inlineStr">
        <is>
          <t>29 May – 9 Jun 2027</t>
        </is>
      </c>
      <c r="D7" s="57" t="n"/>
      <c r="E7" s="57" t="n"/>
      <c r="F7" s="58" t="n"/>
    </row>
    <row r="8">
      <c r="B8" s="8" t="inlineStr">
        <is>
          <t>Travelers</t>
        </is>
      </c>
      <c r="C8" s="36" t="inlineStr">
        <is>
          <t>The newlyweds</t>
        </is>
      </c>
      <c r="D8" s="57" t="n"/>
      <c r="E8" s="57" t="n"/>
      <c r="F8" s="58" t="n"/>
    </row>
    <row r="10" ht="20" customHeight="1">
      <c r="B10" s="6" t="inlineStr">
        <is>
          <t>BUDGET</t>
        </is>
      </c>
      <c r="C10" s="7" t="n"/>
      <c r="D10" s="7" t="n"/>
      <c r="E10" s="7" t="n"/>
      <c r="F10" s="7" t="n"/>
    </row>
    <row r="11" ht="26" customHeight="1">
      <c r="B11" s="35" t="inlineStr">
        <is>
          <t>Item</t>
        </is>
      </c>
      <c r="C11" s="35" t="inlineStr">
        <is>
          <t>Estimated</t>
        </is>
      </c>
      <c r="D11" s="35" t="inlineStr">
        <is>
          <t>Actual</t>
        </is>
      </c>
      <c r="E11" s="35" t="inlineStr">
        <is>
          <t>Over / under 🔒</t>
        </is>
      </c>
      <c r="F11" s="35" t="inlineStr">
        <is>
          <t>Notes</t>
        </is>
      </c>
    </row>
    <row r="12">
      <c r="B12" s="36" t="inlineStr">
        <is>
          <t>Flights</t>
        </is>
      </c>
      <c r="C12" s="45" t="n">
        <v>2400</v>
      </c>
      <c r="D12" s="45" t="n"/>
      <c r="E12" s="29">
        <f>IF(AND($C12="",$D12=""),"",N($D12)-N($C12))</f>
        <v/>
      </c>
      <c r="F12" s="36" t="n"/>
    </row>
    <row r="13">
      <c r="B13" s="36" t="inlineStr">
        <is>
          <t>Lodging</t>
        </is>
      </c>
      <c r="C13" s="45" t="n">
        <v>2100</v>
      </c>
      <c r="D13" s="45" t="n"/>
      <c r="E13" s="29">
        <f>IF(AND($C13="",$D13=""),"",N($D13)-N($C13))</f>
        <v/>
      </c>
      <c r="F13" s="36" t="n"/>
    </row>
    <row r="14">
      <c r="B14" s="36" t="inlineStr">
        <is>
          <t>Food &amp; drink</t>
        </is>
      </c>
      <c r="C14" s="45" t="n">
        <v>900</v>
      </c>
      <c r="D14" s="45" t="n"/>
      <c r="E14" s="29">
        <f>IF(AND($C14="",$D14=""),"",N($D14)-N($C14))</f>
        <v/>
      </c>
      <c r="F14" s="36" t="n"/>
    </row>
    <row r="15">
      <c r="B15" s="36" t="inlineStr">
        <is>
          <t>Activities</t>
        </is>
      </c>
      <c r="C15" s="45" t="n">
        <v>700</v>
      </c>
      <c r="D15" s="45" t="n"/>
      <c r="E15" s="29">
        <f>IF(AND($C15="",$D15=""),"",N($D15)-N($C15))</f>
        <v/>
      </c>
      <c r="F15" s="36" t="n"/>
    </row>
    <row r="16">
      <c r="B16" s="36" t="inlineStr">
        <is>
          <t>Buffer / other</t>
        </is>
      </c>
      <c r="C16" s="45" t="n">
        <v>500</v>
      </c>
      <c r="D16" s="45" t="n"/>
      <c r="E16" s="29">
        <f>IF(AND($C16="",$D16=""),"",N($D16)-N($C16))</f>
        <v/>
      </c>
      <c r="F16" s="36" t="n"/>
    </row>
    <row r="17">
      <c r="B17" s="42" t="inlineStr">
        <is>
          <t>TOTAL</t>
        </is>
      </c>
      <c r="C17" s="46">
        <f>SUM(C12:C16)</f>
        <v/>
      </c>
      <c r="D17" s="46">
        <f>SUM(D12:D16)</f>
        <v/>
      </c>
      <c r="E17" s="46">
        <f>SUM(E12:E16)</f>
        <v/>
      </c>
      <c r="F17" s="42" t="n"/>
    </row>
    <row r="19" ht="20" customHeight="1">
      <c r="B19" s="6" t="inlineStr">
        <is>
          <t>ITINERARY</t>
        </is>
      </c>
      <c r="C19" s="7" t="n"/>
      <c r="D19" s="7" t="n"/>
      <c r="E19" s="7" t="n"/>
      <c r="F19" s="7" t="n"/>
    </row>
    <row r="20" ht="26" customHeight="1">
      <c r="B20" s="35" t="inlineStr">
        <is>
          <t>Day</t>
        </is>
      </c>
      <c r="C20" s="35" t="inlineStr">
        <is>
          <t>Where</t>
        </is>
      </c>
      <c r="D20" s="35" t="inlineStr">
        <is>
          <t>Plan</t>
        </is>
      </c>
      <c r="E20" s="35" t="inlineStr">
        <is>
          <t>Booked?</t>
        </is>
      </c>
      <c r="F20" s="35" t="inlineStr">
        <is>
          <t>Notes</t>
        </is>
      </c>
    </row>
    <row r="21">
      <c r="B21" s="36" t="inlineStr">
        <is>
          <t>Day 1–2</t>
        </is>
      </c>
      <c r="C21" s="36" t="inlineStr">
        <is>
          <t>Positano</t>
        </is>
      </c>
      <c r="D21" s="36" t="inlineStr">
        <is>
          <t>Beach club &amp; sunset dinner</t>
        </is>
      </c>
      <c r="E21" s="27" t="inlineStr">
        <is>
          <t>Yes</t>
        </is>
      </c>
      <c r="F21" s="36" t="n"/>
    </row>
    <row r="22">
      <c r="B22" s="36" t="inlineStr">
        <is>
          <t>Day 3–5</t>
        </is>
      </c>
      <c r="C22" s="36" t="inlineStr">
        <is>
          <t>Amalfi &amp; Ravello</t>
        </is>
      </c>
      <c r="D22" s="36" t="inlineStr">
        <is>
          <t>Path of the Gods hike</t>
        </is>
      </c>
      <c r="E22" s="27" t="inlineStr">
        <is>
          <t>No</t>
        </is>
      </c>
      <c r="F22" s="36" t="n"/>
    </row>
    <row r="23">
      <c r="B23" s="36" t="inlineStr">
        <is>
          <t>Day 6–8</t>
        </is>
      </c>
      <c r="C23" s="36" t="inlineStr">
        <is>
          <t>Capri</t>
        </is>
      </c>
      <c r="D23" s="36" t="inlineStr">
        <is>
          <t>Boat day around the Faraglioni</t>
        </is>
      </c>
      <c r="E23" s="27" t="inlineStr">
        <is>
          <t>No</t>
        </is>
      </c>
      <c r="F23" s="36" t="n"/>
    </row>
    <row r="24">
      <c r="B24" s="36" t="n"/>
      <c r="C24" s="36" t="n"/>
      <c r="D24" s="36" t="n"/>
      <c r="E24" s="27" t="n"/>
      <c r="F24" s="36" t="n"/>
    </row>
    <row r="25">
      <c r="B25" s="36" t="n"/>
      <c r="C25" s="36" t="n"/>
      <c r="D25" s="36" t="n"/>
      <c r="E25" s="27" t="n"/>
      <c r="F25" s="36" t="n"/>
    </row>
    <row r="26">
      <c r="B26" s="36" t="n"/>
      <c r="C26" s="36" t="n"/>
      <c r="D26" s="36" t="n"/>
      <c r="E26" s="27" t="n"/>
      <c r="F26" s="36" t="n"/>
    </row>
    <row r="27">
      <c r="B27" s="36" t="n"/>
      <c r="C27" s="36" t="n"/>
      <c r="D27" s="36" t="n"/>
      <c r="E27" s="27" t="n"/>
      <c r="F27" s="36" t="n"/>
    </row>
    <row r="28">
      <c r="B28" s="36" t="n"/>
      <c r="C28" s="36" t="n"/>
      <c r="D28" s="36" t="n"/>
      <c r="E28" s="27" t="n"/>
      <c r="F28" s="36" t="n"/>
    </row>
    <row r="29">
      <c r="B29" s="36" t="n"/>
      <c r="C29" s="36" t="n"/>
      <c r="D29" s="36" t="n"/>
      <c r="E29" s="27" t="n"/>
      <c r="F29" s="36" t="n"/>
    </row>
    <row r="30">
      <c r="B30" s="36" t="n"/>
      <c r="C30" s="36" t="n"/>
      <c r="D30" s="36" t="n"/>
      <c r="E30" s="27" t="n"/>
      <c r="F30" s="36" t="n"/>
    </row>
    <row r="31">
      <c r="B31" s="36" t="n"/>
      <c r="C31" s="36" t="n"/>
      <c r="D31" s="36" t="n"/>
      <c r="E31" s="27" t="n"/>
      <c r="F31" s="36" t="n"/>
    </row>
    <row r="32">
      <c r="B32" s="36" t="n"/>
      <c r="C32" s="36" t="n"/>
      <c r="D32" s="36" t="n"/>
      <c r="E32" s="27" t="n"/>
      <c r="F32" s="36" t="n"/>
    </row>
    <row r="34" ht="20" customHeight="1">
      <c r="B34" s="6" t="inlineStr">
        <is>
          <t>PACKING LIST</t>
        </is>
      </c>
      <c r="C34" s="7" t="n"/>
      <c r="D34" s="7" t="n"/>
      <c r="E34" s="7" t="n"/>
      <c r="F34" s="7" t="n"/>
    </row>
    <row r="35" ht="26" customHeight="1">
      <c r="B35" s="35" t="inlineStr">
        <is>
          <t>Item</t>
        </is>
      </c>
      <c r="C35" s="35" t="inlineStr">
        <is>
          <t>Category</t>
        </is>
      </c>
      <c r="D35" s="35" t="inlineStr">
        <is>
          <t>Packed?</t>
        </is>
      </c>
      <c r="E35" s="35" t="inlineStr">
        <is>
          <t>Notes</t>
        </is>
      </c>
    </row>
    <row r="36">
      <c r="B36" s="36" t="inlineStr">
        <is>
          <t>Passports &amp; IDs</t>
        </is>
      </c>
      <c r="C36" s="36" t="inlineStr">
        <is>
          <t>Documents</t>
        </is>
      </c>
      <c r="D36" s="27" t="n"/>
      <c r="E36" s="36" t="n"/>
    </row>
    <row r="37">
      <c r="B37" s="36" t="inlineStr">
        <is>
          <t>Booking confirmations</t>
        </is>
      </c>
      <c r="C37" s="36" t="inlineStr">
        <is>
          <t>Documents</t>
        </is>
      </c>
      <c r="D37" s="27" t="n"/>
      <c r="E37" s="36" t="n"/>
    </row>
    <row r="38">
      <c r="B38" s="36" t="inlineStr">
        <is>
          <t>Travel insurance printout</t>
        </is>
      </c>
      <c r="C38" s="36" t="inlineStr">
        <is>
          <t>Documents</t>
        </is>
      </c>
      <c r="D38" s="27" t="n"/>
      <c r="E38" s="36" t="n"/>
    </row>
    <row r="39">
      <c r="B39" s="36" t="inlineStr">
        <is>
          <t>Sunscreen &amp; after-sun</t>
        </is>
      </c>
      <c r="C39" s="36" t="inlineStr">
        <is>
          <t>Health</t>
        </is>
      </c>
      <c r="D39" s="27" t="n"/>
      <c r="E39" s="36" t="n"/>
    </row>
    <row r="40">
      <c r="B40" s="36" t="inlineStr">
        <is>
          <t>Medications</t>
        </is>
      </c>
      <c r="C40" s="36" t="inlineStr">
        <is>
          <t>Health</t>
        </is>
      </c>
      <c r="D40" s="27" t="n"/>
      <c r="E40" s="36" t="n"/>
    </row>
    <row r="41">
      <c r="B41" s="36" t="inlineStr">
        <is>
          <t>Swimwear</t>
        </is>
      </c>
      <c r="C41" s="36" t="inlineStr">
        <is>
          <t>Clothing</t>
        </is>
      </c>
      <c r="D41" s="27" t="n"/>
      <c r="E41" s="36" t="n"/>
    </row>
    <row r="42">
      <c r="B42" s="36" t="inlineStr">
        <is>
          <t>Walking shoes</t>
        </is>
      </c>
      <c r="C42" s="36" t="inlineStr">
        <is>
          <t>Clothing</t>
        </is>
      </c>
      <c r="D42" s="27" t="n"/>
      <c r="E42" s="36" t="n"/>
    </row>
    <row r="43">
      <c r="B43" s="36" t="inlineStr">
        <is>
          <t>Evening outfits</t>
        </is>
      </c>
      <c r="C43" s="36" t="inlineStr">
        <is>
          <t>Clothing</t>
        </is>
      </c>
      <c r="D43" s="27" t="n"/>
      <c r="E43" s="36" t="n"/>
    </row>
    <row r="44">
      <c r="B44" s="36" t="inlineStr">
        <is>
          <t>Light jackets</t>
        </is>
      </c>
      <c r="C44" s="36" t="inlineStr">
        <is>
          <t>Clothing</t>
        </is>
      </c>
      <c r="D44" s="27" t="n"/>
      <c r="E44" s="36" t="n"/>
    </row>
    <row r="45">
      <c r="B45" s="36" t="inlineStr">
        <is>
          <t>Adapters &amp; chargers</t>
        </is>
      </c>
      <c r="C45" s="36" t="inlineStr">
        <is>
          <t>Tech</t>
        </is>
      </c>
      <c r="D45" s="27" t="n"/>
      <c r="E45" s="36" t="n"/>
    </row>
    <row r="46">
      <c r="B46" s="36" t="inlineStr">
        <is>
          <t>Camera &amp; GoPro</t>
        </is>
      </c>
      <c r="C46" s="36" t="inlineStr">
        <is>
          <t>Tech</t>
        </is>
      </c>
      <c r="D46" s="27" t="n"/>
      <c r="E46" s="36" t="n"/>
    </row>
    <row r="47">
      <c r="B47" s="36" t="inlineStr">
        <is>
          <t>E-reader &amp; downloads</t>
        </is>
      </c>
      <c r="C47" s="36" t="inlineStr">
        <is>
          <t>Tech</t>
        </is>
      </c>
      <c r="D47" s="27" t="n"/>
      <c r="E47" s="36" t="n"/>
    </row>
    <row r="48">
      <c r="B48" s="36" t="inlineStr">
        <is>
          <t>Reusable water bottles</t>
        </is>
      </c>
      <c r="C48" s="36" t="inlineStr">
        <is>
          <t>Other</t>
        </is>
      </c>
      <c r="D48" s="27" t="n"/>
      <c r="E48" s="36" t="n"/>
    </row>
    <row r="49">
      <c r="B49" s="36" t="inlineStr">
        <is>
          <t>Travel pillow</t>
        </is>
      </c>
      <c r="C49" s="36" t="inlineStr">
        <is>
          <t>Other</t>
        </is>
      </c>
      <c r="D49" s="27" t="n"/>
      <c r="E49" s="36" t="n"/>
    </row>
    <row r="50">
      <c r="B50" s="36" t="inlineStr">
        <is>
          <t>Snacks for travel days</t>
        </is>
      </c>
      <c r="C50" s="36" t="inlineStr">
        <is>
          <t>Other</t>
        </is>
      </c>
      <c r="D50" s="27" t="n"/>
      <c r="E50" s="36" t="n"/>
    </row>
    <row r="51">
      <c r="B51" s="36" t="inlineStr">
        <is>
          <t>Currency / notify bank</t>
        </is>
      </c>
      <c r="C51" s="36" t="inlineStr">
        <is>
          <t>Other</t>
        </is>
      </c>
      <c r="D51" s="27" t="n"/>
      <c r="E51" s="36" t="n"/>
    </row>
    <row r="52">
      <c r="B52" s="36" t="n"/>
      <c r="C52" s="36" t="n"/>
      <c r="D52" s="27" t="n"/>
      <c r="E52" s="36" t="n"/>
    </row>
    <row r="53">
      <c r="B53" s="36" t="n"/>
      <c r="C53" s="36" t="n"/>
      <c r="D53" s="27" t="n"/>
      <c r="E53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11:F16"/>
  <mergeCells count="9">
    <mergeCell ref="B2:F2"/>
    <mergeCell ref="C8:F8"/>
    <mergeCell ref="B34:F34"/>
    <mergeCell ref="B10:F10"/>
    <mergeCell ref="B5:F5"/>
    <mergeCell ref="C6:F6"/>
    <mergeCell ref="C7:F7"/>
    <mergeCell ref="B19:F19"/>
    <mergeCell ref="B1:F1"/>
  </mergeCells>
  <conditionalFormatting sqref="D36:D53">
    <cfRule type="cellIs" priority="1" operator="equal" dxfId="0">
      <formula>"Done"</formula>
    </cfRule>
    <cfRule type="cellIs" priority="2" operator="equal" dxfId="1">
      <formula>"Not Yet"</formula>
    </cfRule>
  </conditionalFormatting>
  <dataValidations count="2">
    <dataValidation sqref="E21:E32" showDropDown="0" showInputMessage="0" showErrorMessage="0" allowBlank="1" type="list">
      <formula1>"Yes,No"</formula1>
    </dataValidation>
    <dataValidation sqref="D36:D53" showDropDown="0" showInputMessage="0" showErrorMessage="0" allowBlank="1" type="list">
      <formula1>"Done,Not Yet"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tabColor rgb="007FA6A0"/>
    <outlinePr summaryBelow="1" summaryRight="1"/>
    <pageSetUpPr fitToPage="1"/>
  </sheetPr>
  <dimension ref="B1:F25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30" customWidth="1" min="2" max="2"/>
    <col width="34" customWidth="1" min="3" max="3"/>
    <col width="14" customWidth="1" min="4" max="4"/>
    <col width="14" customWidth="1" min="5" max="5"/>
    <col width="24" customWidth="1" min="6" max="6"/>
  </cols>
  <sheetData>
    <row r="1" ht="30" customHeight="1">
      <c r="B1" s="1" t="inlineStr">
        <is>
          <t>📛  NAME CHANGE CHECKLIST</t>
        </is>
      </c>
      <c r="C1" s="2" t="n"/>
      <c r="D1" s="2" t="n"/>
      <c r="E1" s="2" t="n"/>
      <c r="F1" s="3" t="n"/>
    </row>
    <row r="2" ht="15" customHeight="1">
      <c r="B2" s="4" t="inlineStr">
        <is>
          <t>Work through the paperwork one win at a time</t>
        </is>
      </c>
      <c r="C2" s="2" t="n"/>
      <c r="D2" s="2" t="n"/>
      <c r="E2" s="2" t="n"/>
      <c r="F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Who to update</t>
        </is>
      </c>
      <c r="C8" s="35" t="inlineStr">
        <is>
          <t>Documents needed</t>
        </is>
      </c>
      <c r="D8" s="35" t="inlineStr">
        <is>
          <t>Done?</t>
        </is>
      </c>
      <c r="E8" s="35" t="inlineStr">
        <is>
          <t>Date completed</t>
        </is>
      </c>
      <c r="F8" s="35" t="inlineStr">
        <is>
          <t>Notes</t>
        </is>
      </c>
    </row>
    <row r="9">
      <c r="B9" s="36" t="inlineStr">
        <is>
          <t>Social Security card</t>
        </is>
      </c>
      <c r="C9" s="36" t="inlineStr">
        <is>
          <t>SS-5 form + certified marriage certificate</t>
        </is>
      </c>
      <c r="D9" s="27" t="n"/>
      <c r="E9" s="47" t="n"/>
      <c r="F9" s="36" t="n"/>
    </row>
    <row r="10">
      <c r="B10" s="36" t="inlineStr">
        <is>
          <t>Driver's license</t>
        </is>
      </c>
      <c r="C10" s="36" t="inlineStr">
        <is>
          <t>New SS card + current license</t>
        </is>
      </c>
      <c r="D10" s="27" t="n"/>
      <c r="E10" s="47" t="n"/>
      <c r="F10" s="36" t="n"/>
    </row>
    <row r="11">
      <c r="B11" s="36" t="inlineStr">
        <is>
          <t>Passport</t>
        </is>
      </c>
      <c r="C11" s="36" t="inlineStr">
        <is>
          <t>DS-5504 form + certificate + photo</t>
        </is>
      </c>
      <c r="D11" s="27" t="n"/>
      <c r="E11" s="47" t="n"/>
      <c r="F11" s="36" t="n"/>
    </row>
    <row r="12">
      <c r="B12" s="36" t="inlineStr">
        <is>
          <t>Bank accounts</t>
        </is>
      </c>
      <c r="C12" s="36" t="inlineStr">
        <is>
          <t>ID + marriage certificate, in branch</t>
        </is>
      </c>
      <c r="D12" s="27" t="n"/>
      <c r="E12" s="47" t="n"/>
      <c r="F12" s="36" t="n"/>
    </row>
    <row r="13">
      <c r="B13" s="36" t="inlineStr">
        <is>
          <t>Credit &amp; debit cards</t>
        </is>
      </c>
      <c r="C13" s="36" t="inlineStr">
        <is>
          <t>Call each issuer</t>
        </is>
      </c>
      <c r="D13" s="27" t="n"/>
      <c r="E13" s="47" t="n"/>
      <c r="F13" s="36" t="n"/>
    </row>
    <row r="14">
      <c r="B14" s="36" t="inlineStr">
        <is>
          <t>Employer / payroll</t>
        </is>
      </c>
      <c r="C14" s="36" t="inlineStr">
        <is>
          <t>HR form + new SS card</t>
        </is>
      </c>
      <c r="D14" s="27" t="n"/>
      <c r="E14" s="47" t="n"/>
      <c r="F14" s="36" t="n"/>
    </row>
    <row r="15">
      <c r="B15" s="36" t="inlineStr">
        <is>
          <t>Voter registration</t>
        </is>
      </c>
      <c r="C15" s="36" t="inlineStr">
        <is>
          <t>Re-register with new name</t>
        </is>
      </c>
      <c r="D15" s="27" t="n"/>
      <c r="E15" s="47" t="n"/>
      <c r="F15" s="36" t="n"/>
    </row>
    <row r="16">
      <c r="B16" s="36" t="inlineStr">
        <is>
          <t>Health insurance</t>
        </is>
      </c>
      <c r="C16" s="36" t="inlineStr">
        <is>
          <t>Qualifying life event update</t>
        </is>
      </c>
      <c r="D16" s="27" t="n"/>
      <c r="E16" s="47" t="n"/>
      <c r="F16" s="36" t="n"/>
    </row>
    <row r="17">
      <c r="B17" s="36" t="inlineStr">
        <is>
          <t>Car title &amp; insurance</t>
        </is>
      </c>
      <c r="C17" s="36" t="inlineStr">
        <is>
          <t>Certificate + updated license</t>
        </is>
      </c>
      <c r="D17" s="27" t="n"/>
      <c r="E17" s="47" t="n"/>
      <c r="F17" s="36" t="n"/>
    </row>
    <row r="18">
      <c r="B18" s="36" t="inlineStr">
        <is>
          <t>Utilities &amp; phone</t>
        </is>
      </c>
      <c r="C18" s="36" t="inlineStr">
        <is>
          <t>Just call — easy win</t>
        </is>
      </c>
      <c r="D18" s="27" t="n"/>
      <c r="E18" s="47" t="n"/>
      <c r="F18" s="36" t="n"/>
    </row>
    <row r="19">
      <c r="B19" s="36" t="inlineStr">
        <is>
          <t>Doctor &amp; dentist offices</t>
        </is>
      </c>
      <c r="C19" s="36" t="inlineStr">
        <is>
          <t>Call ahead of next visit</t>
        </is>
      </c>
      <c r="D19" s="27" t="n"/>
      <c r="E19" s="47" t="n"/>
      <c r="F19" s="36" t="n"/>
    </row>
    <row r="20">
      <c r="B20" s="36" t="inlineStr">
        <is>
          <t>Professional licenses</t>
        </is>
      </c>
      <c r="C20" s="36" t="inlineStr">
        <is>
          <t>Varies by licensing board</t>
        </is>
      </c>
      <c r="D20" s="27" t="n"/>
      <c r="E20" s="47" t="n"/>
      <c r="F20" s="36" t="n"/>
    </row>
    <row r="21">
      <c r="B21" s="36" t="inlineStr">
        <is>
          <t>Loyalty programs &amp; subscriptions</t>
        </is>
      </c>
      <c r="C21" s="36" t="inlineStr">
        <is>
          <t>Gradual clean-up</t>
        </is>
      </c>
      <c r="D21" s="27" t="n"/>
      <c r="E21" s="47" t="n"/>
      <c r="F21" s="36" t="n"/>
    </row>
    <row r="22">
      <c r="B22" s="36" t="n"/>
      <c r="C22" s="36" t="n"/>
      <c r="D22" s="27" t="n"/>
      <c r="E22" s="47" t="n"/>
      <c r="F22" s="36" t="n"/>
    </row>
    <row r="23">
      <c r="B23" s="36" t="n"/>
      <c r="C23" s="36" t="n"/>
      <c r="D23" s="27" t="n"/>
      <c r="E23" s="47" t="n"/>
      <c r="F23" s="36" t="n"/>
    </row>
    <row r="24">
      <c r="B24" s="36" t="n"/>
      <c r="C24" s="36" t="n"/>
      <c r="D24" s="27" t="n"/>
      <c r="E24" s="47" t="n"/>
      <c r="F24" s="36" t="n"/>
    </row>
    <row r="25">
      <c r="B25" s="36" t="n"/>
      <c r="C25" s="36" t="n"/>
      <c r="D25" s="27" t="n"/>
      <c r="E25" s="47" t="n"/>
      <c r="F25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F25"/>
  <mergeCells count="2">
    <mergeCell ref="B2:F2"/>
    <mergeCell ref="B1:F1"/>
  </mergeCells>
  <conditionalFormatting sqref="D9:D25">
    <cfRule type="cellIs" priority="1" operator="equal" dxfId="0">
      <formula>"Done"</formula>
    </cfRule>
    <cfRule type="cellIs" priority="2" operator="equal" dxfId="1">
      <formula>"Not Yet"</formula>
    </cfRule>
  </conditionalFormatting>
  <dataValidations count="1">
    <dataValidation sqref="D9:D25" showDropDown="0" showInputMessage="0" showErrorMessage="0" allowBlank="1" type="list">
      <formula1>"Done,Not Yet"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tabColor rgb="007FA6A0"/>
    <outlinePr summaryBelow="1" summaryRight="1"/>
    <pageSetUpPr fitToPage="1"/>
  </sheetPr>
  <dimension ref="B1:H21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4" customWidth="1" min="2" max="2"/>
    <col width="20" customWidth="1" min="3" max="3"/>
    <col width="14" customWidth="1" min="4" max="4"/>
    <col width="9" customWidth="1" min="5" max="5"/>
    <col width="14" customWidth="1" min="6" max="6"/>
    <col width="14" customWidth="1" min="7" max="7"/>
    <col width="20" customWidth="1" min="8" max="8"/>
  </cols>
  <sheetData>
    <row r="1" ht="30" customHeight="1">
      <c r="B1" s="1" t="inlineStr">
        <is>
          <t>🎁  WEDDING FAVOR IDEAS &amp; TRACKER</t>
        </is>
      </c>
      <c r="C1" s="2" t="n"/>
      <c r="D1" s="2" t="n"/>
      <c r="E1" s="2" t="n"/>
      <c r="F1" s="2" t="n"/>
      <c r="G1" s="3" t="n"/>
    </row>
    <row r="2" ht="15" customHeight="1">
      <c r="B2" s="4" t="inlineStr">
        <is>
          <t>Ideas, quantities, spend &amp; whether you picked it</t>
        </is>
      </c>
      <c r="C2" s="2" t="n"/>
      <c r="D2" s="2" t="n"/>
      <c r="E2" s="2" t="n"/>
      <c r="F2" s="2" t="n"/>
      <c r="G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Favor idea</t>
        </is>
      </c>
      <c r="C8" s="35" t="inlineStr">
        <is>
          <t>Supplier</t>
        </is>
      </c>
      <c r="D8" s="35" t="inlineStr">
        <is>
          <t>Cost each</t>
        </is>
      </c>
      <c r="E8" s="35" t="inlineStr">
        <is>
          <t>Qty</t>
        </is>
      </c>
      <c r="F8" s="35" t="inlineStr">
        <is>
          <t>Total 🔒</t>
        </is>
      </c>
      <c r="G8" s="35" t="inlineStr">
        <is>
          <t>Chosen?</t>
        </is>
      </c>
      <c r="H8" s="35" t="inlineStr">
        <is>
          <t>Notes</t>
        </is>
      </c>
    </row>
    <row r="9">
      <c r="B9" s="36" t="inlineStr">
        <is>
          <t>Mini succulents</t>
        </is>
      </c>
      <c r="C9" s="36" t="inlineStr">
        <is>
          <t>Greenhouse Co.</t>
        </is>
      </c>
      <c r="D9" s="48" t="n">
        <v>3.5</v>
      </c>
      <c r="E9" s="27" t="n">
        <v>90</v>
      </c>
      <c r="F9" s="49">
        <f>IF(OR($D9="",$E9=""),"",$D9*$E9)</f>
        <v/>
      </c>
      <c r="G9" s="27" t="n"/>
      <c r="H9" s="36" t="n"/>
    </row>
    <row r="10">
      <c r="B10" s="36" t="inlineStr">
        <is>
          <t>Local honey jars</t>
        </is>
      </c>
      <c r="C10" s="36" t="inlineStr">
        <is>
          <t>Blue Ridge Bees</t>
        </is>
      </c>
      <c r="D10" s="48" t="n">
        <v>6</v>
      </c>
      <c r="E10" s="27" t="n">
        <v>90</v>
      </c>
      <c r="F10" s="49">
        <f>IF(OR($D10="",$E10=""),"",$D10*$E10)</f>
        <v/>
      </c>
      <c r="G10" s="27" t="n"/>
      <c r="H10" s="36" t="n"/>
    </row>
    <row r="11">
      <c r="B11" s="36" t="inlineStr">
        <is>
          <t>Custom candles</t>
        </is>
      </c>
      <c r="C11" s="36" t="inlineStr">
        <is>
          <t>Wick &amp; Wonder</t>
        </is>
      </c>
      <c r="D11" s="48" t="n">
        <v>7</v>
      </c>
      <c r="E11" s="27" t="n">
        <v>90</v>
      </c>
      <c r="F11" s="49">
        <f>IF(OR($D11="",$E11=""),"",$D11*$E11)</f>
        <v/>
      </c>
      <c r="G11" s="27" t="n"/>
      <c r="H11" s="36" t="n"/>
    </row>
    <row r="12">
      <c r="B12" s="36" t="inlineStr">
        <is>
          <t>Seed packets</t>
        </is>
      </c>
      <c r="C12" s="36" t="inlineStr">
        <is>
          <t>Bloom &amp; Twine</t>
        </is>
      </c>
      <c r="D12" s="48" t="n">
        <v>2</v>
      </c>
      <c r="E12" s="27" t="n">
        <v>90</v>
      </c>
      <c r="F12" s="49">
        <f>IF(OR($D12="",$E12=""),"",$D12*$E12)</f>
        <v/>
      </c>
      <c r="G12" s="27" t="n"/>
      <c r="H12" s="36" t="n"/>
    </row>
    <row r="13">
      <c r="B13" s="36" t="inlineStr">
        <is>
          <t>Bottle openers</t>
        </is>
      </c>
      <c r="C13" s="36" t="inlineStr">
        <is>
          <t>Etsy — MetalWorks</t>
        </is>
      </c>
      <c r="D13" s="48" t="n">
        <v>4</v>
      </c>
      <c r="E13" s="27" t="n">
        <v>90</v>
      </c>
      <c r="F13" s="49">
        <f>IF(OR($D13="",$E13=""),"",$D13*$E13)</f>
        <v/>
      </c>
      <c r="G13" s="27" t="n"/>
      <c r="H13" s="36" t="n"/>
    </row>
    <row r="14">
      <c r="B14" s="36" t="inlineStr">
        <is>
          <t>Coaster sets</t>
        </is>
      </c>
      <c r="C14" s="36" t="inlineStr">
        <is>
          <t>Etsy — Grain &amp; Co.</t>
        </is>
      </c>
      <c r="D14" s="48" t="n">
        <v>5</v>
      </c>
      <c r="E14" s="27" t="n">
        <v>90</v>
      </c>
      <c r="F14" s="49">
        <f>IF(OR($D14="",$E14=""),"",$D14*$E14)</f>
        <v/>
      </c>
      <c r="G14" s="27" t="n"/>
      <c r="H14" s="36" t="n"/>
    </row>
    <row r="15">
      <c r="B15" s="36" t="inlineStr">
        <is>
          <t>Charity donation cards</t>
        </is>
      </c>
      <c r="C15" s="36" t="inlineStr">
        <is>
          <t>—</t>
        </is>
      </c>
      <c r="D15" s="48" t="n">
        <v>1</v>
      </c>
      <c r="E15" s="27" t="n">
        <v>90</v>
      </c>
      <c r="F15" s="49">
        <f>IF(OR($D15="",$E15=""),"",$D15*$E15)</f>
        <v/>
      </c>
      <c r="G15" s="27" t="n"/>
      <c r="H15" s="36" t="n"/>
    </row>
    <row r="16">
      <c r="B16" s="36" t="inlineStr">
        <is>
          <t>Custom matches</t>
        </is>
      </c>
      <c r="C16" s="36" t="inlineStr">
        <is>
          <t>Etsy — LitCo.</t>
        </is>
      </c>
      <c r="D16" s="48" t="n">
        <v>1.5</v>
      </c>
      <c r="E16" s="27" t="n">
        <v>90</v>
      </c>
      <c r="F16" s="49">
        <f>IF(OR($D16="",$E16=""),"",$D16*$E16)</f>
        <v/>
      </c>
      <c r="G16" s="27" t="n"/>
      <c r="H16" s="36" t="n"/>
    </row>
    <row r="17">
      <c r="B17" s="36" t="n"/>
      <c r="C17" s="36" t="n"/>
      <c r="D17" s="48" t="n"/>
      <c r="E17" s="27" t="n"/>
      <c r="F17" s="49">
        <f>IF(OR($D17="",$E17=""),"",$D17*$E17)</f>
        <v/>
      </c>
      <c r="G17" s="27" t="n"/>
      <c r="H17" s="36" t="n"/>
    </row>
    <row r="18">
      <c r="B18" s="36" t="n"/>
      <c r="C18" s="36" t="n"/>
      <c r="D18" s="48" t="n"/>
      <c r="E18" s="27" t="n"/>
      <c r="F18" s="49">
        <f>IF(OR($D18="",$E18=""),"",$D18*$E18)</f>
        <v/>
      </c>
      <c r="G18" s="27" t="n"/>
      <c r="H18" s="36" t="n"/>
    </row>
    <row r="19">
      <c r="B19" s="36" t="n"/>
      <c r="C19" s="36" t="n"/>
      <c r="D19" s="48" t="n"/>
      <c r="E19" s="27" t="n"/>
      <c r="F19" s="49">
        <f>IF(OR($D19="",$E19=""),"",$D19*$E19)</f>
        <v/>
      </c>
      <c r="G19" s="27" t="n"/>
      <c r="H19" s="36" t="n"/>
    </row>
    <row r="20">
      <c r="B20" s="36" t="n"/>
      <c r="C20" s="36" t="n"/>
      <c r="D20" s="48" t="n"/>
      <c r="E20" s="27" t="n"/>
      <c r="F20" s="49">
        <f>IF(OR($D20="",$E20=""),"",$D20*$E20)</f>
        <v/>
      </c>
      <c r="G20" s="27" t="n"/>
      <c r="H20" s="36" t="n"/>
    </row>
    <row r="21">
      <c r="B21" s="42" t="inlineStr">
        <is>
          <t>TOTAL</t>
        </is>
      </c>
      <c r="C21" s="42" t="n"/>
      <c r="D21" s="42" t="n"/>
      <c r="E21" s="42" t="n"/>
      <c r="F21" s="50">
        <f>SUM(F9:F20)</f>
        <v/>
      </c>
      <c r="G21" s="42" t="n"/>
      <c r="H21" s="4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H20"/>
  <mergeCells count="2">
    <mergeCell ref="B2:G2"/>
    <mergeCell ref="B1:G1"/>
  </mergeCells>
  <conditionalFormatting sqref="G9:G20">
    <cfRule type="cellIs" priority="1" operator="equal" dxfId="0">
      <formula>"Yes"</formula>
    </cfRule>
  </conditionalFormatting>
  <dataValidations count="1">
    <dataValidation sqref="G9:G20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tabColor rgb="007FA6A0"/>
    <outlinePr summaryBelow="1" summaryRight="1"/>
    <pageSetUpPr fitToPage="1"/>
  </sheetPr>
  <dimension ref="B1:G20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2" customWidth="1" min="2" max="2"/>
    <col width="26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 ht="30" customHeight="1">
      <c r="B1" s="1" t="inlineStr">
        <is>
          <t>💌  THANK YOU CARD TRACKER</t>
        </is>
      </c>
      <c r="C1" s="2" t="n"/>
      <c r="D1" s="2" t="n"/>
      <c r="E1" s="2" t="n"/>
      <c r="F1" s="2" t="n"/>
      <c r="G1" s="3" t="n"/>
    </row>
    <row r="2" ht="15" customHeight="1">
      <c r="B2" s="4" t="inlineStr">
        <is>
          <t>Guest names pull in from the Guest List — track gifts &amp; notes sent</t>
        </is>
      </c>
      <c r="C2" s="2" t="n"/>
      <c r="D2" s="2" t="n"/>
      <c r="E2" s="2" t="n"/>
      <c r="F2" s="2" t="n"/>
      <c r="G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5">
      <c r="B5" s="8" t="inlineStr">
        <is>
          <t>CARDS SENT</t>
        </is>
      </c>
      <c r="C5" s="31">
        <f>COUNTIF($F$9:$F$208,"Sent")</f>
        <v/>
      </c>
      <c r="D5" s="8" t="inlineStr">
        <is>
          <t>GIFTS LOGGED</t>
        </is>
      </c>
      <c r="E5" s="31">
        <f>SUMPRODUCT(($C$9:$C$208&lt;&gt;"")*1)</f>
        <v/>
      </c>
    </row>
    <row r="8" ht="26" customHeight="1">
      <c r="B8" s="35" t="inlineStr">
        <is>
          <t>Guest 🔒</t>
        </is>
      </c>
      <c r="C8" s="35" t="inlineStr">
        <is>
          <t>Gift received</t>
        </is>
      </c>
      <c r="D8" s="35" t="inlineStr">
        <is>
          <t>Date received</t>
        </is>
      </c>
      <c r="E8" s="35" t="inlineStr">
        <is>
          <t>Thank-you sent</t>
        </is>
      </c>
      <c r="F8" s="35" t="inlineStr">
        <is>
          <t>Status 🔒</t>
        </is>
      </c>
      <c r="G8" s="35" t="inlineStr">
        <is>
          <t>Notes</t>
        </is>
      </c>
    </row>
    <row r="9">
      <c r="B9" s="20">
        <f>IF('Guest List'!$B9="","",'Guest List'!$B9)</f>
        <v/>
      </c>
      <c r="C9" s="36" t="inlineStr">
        <is>
          <t>Stand mixer</t>
        </is>
      </c>
      <c r="D9" s="47" t="n">
        <v>46540</v>
      </c>
      <c r="E9" s="47" t="n">
        <v>46544</v>
      </c>
      <c r="F9" s="33">
        <f>IF($E9&lt;&gt;"","Sent",IF($C9&lt;&gt;"","To write",""))</f>
        <v/>
      </c>
      <c r="G9" s="36" t="n"/>
    </row>
    <row r="10">
      <c r="B10" s="20">
        <f>IF('Guest List'!$B10="","",'Guest List'!$B10)</f>
        <v/>
      </c>
      <c r="C10" s="36" t="inlineStr">
        <is>
          <t>Crystal decanter</t>
        </is>
      </c>
      <c r="D10" s="47" t="n">
        <v>46541</v>
      </c>
      <c r="E10" s="47" t="n"/>
      <c r="F10" s="33">
        <f>IF($E10&lt;&gt;"","Sent",IF($C10&lt;&gt;"","To write",""))</f>
        <v/>
      </c>
      <c r="G10" s="36" t="n"/>
    </row>
    <row r="11">
      <c r="B11" s="20">
        <f>IF('Guest List'!$B11="","",'Guest List'!$B11)</f>
        <v/>
      </c>
      <c r="C11" s="36" t="inlineStr">
        <is>
          <t>Honeymoon fund</t>
        </is>
      </c>
      <c r="D11" s="47" t="n">
        <v>46548</v>
      </c>
      <c r="E11" s="47" t="n"/>
      <c r="F11" s="33">
        <f>IF($E11&lt;&gt;"","Sent",IF($C11&lt;&gt;"","To write",""))</f>
        <v/>
      </c>
      <c r="G11" s="36" t="n"/>
    </row>
    <row r="12">
      <c r="B12" s="20">
        <f>IF('Guest List'!$B12="","",'Guest List'!$B12)</f>
        <v/>
      </c>
      <c r="C12" s="36" t="n"/>
      <c r="D12" s="47" t="n"/>
      <c r="E12" s="47" t="n"/>
      <c r="F12" s="33">
        <f>IF($E12&lt;&gt;"","Sent",IF($C12&lt;&gt;"","To write",""))</f>
        <v/>
      </c>
      <c r="G12" s="36" t="n"/>
    </row>
    <row r="13">
      <c r="B13" s="20">
        <f>IF('Guest List'!$B13="","",'Guest List'!$B13)</f>
        <v/>
      </c>
      <c r="C13" s="36" t="n"/>
      <c r="D13" s="47" t="n"/>
      <c r="E13" s="47" t="n"/>
      <c r="F13" s="33">
        <f>IF($E13&lt;&gt;"","Sent",IF($C13&lt;&gt;"","To write",""))</f>
        <v/>
      </c>
      <c r="G13" s="36" t="n"/>
    </row>
    <row r="14">
      <c r="B14" s="20">
        <f>IF('Guest List'!$B14="","",'Guest List'!$B14)</f>
        <v/>
      </c>
      <c r="C14" s="36" t="n"/>
      <c r="D14" s="47" t="n"/>
      <c r="E14" s="47" t="n"/>
      <c r="F14" s="33">
        <f>IF($E14&lt;&gt;"","Sent",IF($C14&lt;&gt;"","To write",""))</f>
        <v/>
      </c>
      <c r="G14" s="36" t="n"/>
    </row>
    <row r="15">
      <c r="B15" s="20">
        <f>IF('Guest List'!$B15="","",'Guest List'!$B15)</f>
        <v/>
      </c>
      <c r="C15" s="36" t="n"/>
      <c r="D15" s="47" t="n"/>
      <c r="E15" s="47" t="n"/>
      <c r="F15" s="33">
        <f>IF($E15&lt;&gt;"","Sent",IF($C15&lt;&gt;"","To write",""))</f>
        <v/>
      </c>
      <c r="G15" s="36" t="n"/>
    </row>
    <row r="16">
      <c r="B16" s="20">
        <f>IF('Guest List'!$B16="","",'Guest List'!$B16)</f>
        <v/>
      </c>
      <c r="C16" s="36" t="n"/>
      <c r="D16" s="47" t="n"/>
      <c r="E16" s="47" t="n"/>
      <c r="F16" s="33">
        <f>IF($E16&lt;&gt;"","Sent",IF($C16&lt;&gt;"","To write",""))</f>
        <v/>
      </c>
      <c r="G16" s="36" t="n"/>
    </row>
    <row r="17">
      <c r="B17" s="20">
        <f>IF('Guest List'!$B17="","",'Guest List'!$B17)</f>
        <v/>
      </c>
      <c r="C17" s="36" t="n"/>
      <c r="D17" s="47" t="n"/>
      <c r="E17" s="47" t="n"/>
      <c r="F17" s="33">
        <f>IF($E17&lt;&gt;"","Sent",IF($C17&lt;&gt;"","To write",""))</f>
        <v/>
      </c>
      <c r="G17" s="36" t="n"/>
    </row>
    <row r="18">
      <c r="B18" s="20">
        <f>IF('Guest List'!$B18="","",'Guest List'!$B18)</f>
        <v/>
      </c>
      <c r="C18" s="36" t="n"/>
      <c r="D18" s="47" t="n"/>
      <c r="E18" s="47" t="n"/>
      <c r="F18" s="33">
        <f>IF($E18&lt;&gt;"","Sent",IF($C18&lt;&gt;"","To write",""))</f>
        <v/>
      </c>
      <c r="G18" s="36" t="n"/>
    </row>
    <row r="19">
      <c r="B19" s="20">
        <f>IF('Guest List'!$B19="","",'Guest List'!$B19)</f>
        <v/>
      </c>
      <c r="C19" s="36" t="n"/>
      <c r="D19" s="47" t="n"/>
      <c r="E19" s="47" t="n"/>
      <c r="F19" s="33">
        <f>IF($E19&lt;&gt;"","Sent",IF($C19&lt;&gt;"","To write",""))</f>
        <v/>
      </c>
      <c r="G19" s="36" t="n"/>
    </row>
    <row r="20">
      <c r="B20" s="20">
        <f>IF('Guest List'!$B20="","",'Guest List'!$B20)</f>
        <v/>
      </c>
      <c r="C20" s="36" t="n"/>
      <c r="D20" s="47" t="n"/>
      <c r="E20" s="47" t="n"/>
      <c r="F20" s="33">
        <f>IF($E20&lt;&gt;"","Sent",IF($C20&lt;&gt;"","To write",""))</f>
        <v/>
      </c>
      <c r="G20" s="36" t="n"/>
    </row>
    <row r="21">
      <c r="B21" s="20">
        <f>IF('Guest List'!$B21="","",'Guest List'!$B21)</f>
        <v/>
      </c>
      <c r="C21" s="36" t="n"/>
      <c r="D21" s="47" t="n"/>
      <c r="E21" s="47" t="n"/>
      <c r="F21" s="33">
        <f>IF($E21&lt;&gt;"","Sent",IF($C21&lt;&gt;"","To write",""))</f>
        <v/>
      </c>
      <c r="G21" s="36" t="n"/>
    </row>
    <row r="22">
      <c r="B22" s="20">
        <f>IF('Guest List'!$B22="","",'Guest List'!$B22)</f>
        <v/>
      </c>
      <c r="C22" s="36" t="n"/>
      <c r="D22" s="47" t="n"/>
      <c r="E22" s="47" t="n"/>
      <c r="F22" s="33">
        <f>IF($E22&lt;&gt;"","Sent",IF($C22&lt;&gt;"","To write",""))</f>
        <v/>
      </c>
      <c r="G22" s="36" t="n"/>
    </row>
    <row r="23">
      <c r="B23" s="20">
        <f>IF('Guest List'!$B23="","",'Guest List'!$B23)</f>
        <v/>
      </c>
      <c r="C23" s="36" t="n"/>
      <c r="D23" s="47" t="n"/>
      <c r="E23" s="47" t="n"/>
      <c r="F23" s="33">
        <f>IF($E23&lt;&gt;"","Sent",IF($C23&lt;&gt;"","To write",""))</f>
        <v/>
      </c>
      <c r="G23" s="36" t="n"/>
    </row>
    <row r="24">
      <c r="B24" s="20">
        <f>IF('Guest List'!$B24="","",'Guest List'!$B24)</f>
        <v/>
      </c>
      <c r="C24" s="36" t="n"/>
      <c r="D24" s="47" t="n"/>
      <c r="E24" s="47" t="n"/>
      <c r="F24" s="33">
        <f>IF($E24&lt;&gt;"","Sent",IF($C24&lt;&gt;"","To write",""))</f>
        <v/>
      </c>
      <c r="G24" s="36" t="n"/>
    </row>
    <row r="25">
      <c r="B25" s="20">
        <f>IF('Guest List'!$B25="","",'Guest List'!$B25)</f>
        <v/>
      </c>
      <c r="C25" s="36" t="n"/>
      <c r="D25" s="47" t="n"/>
      <c r="E25" s="47" t="n"/>
      <c r="F25" s="33">
        <f>IF($E25&lt;&gt;"","Sent",IF($C25&lt;&gt;"","To write",""))</f>
        <v/>
      </c>
      <c r="G25" s="36" t="n"/>
    </row>
    <row r="26">
      <c r="B26" s="20">
        <f>IF('Guest List'!$B26="","",'Guest List'!$B26)</f>
        <v/>
      </c>
      <c r="C26" s="36" t="n"/>
      <c r="D26" s="47" t="n"/>
      <c r="E26" s="47" t="n"/>
      <c r="F26" s="33">
        <f>IF($E26&lt;&gt;"","Sent",IF($C26&lt;&gt;"","To write",""))</f>
        <v/>
      </c>
      <c r="G26" s="36" t="n"/>
    </row>
    <row r="27">
      <c r="B27" s="20">
        <f>IF('Guest List'!$B27="","",'Guest List'!$B27)</f>
        <v/>
      </c>
      <c r="C27" s="36" t="n"/>
      <c r="D27" s="47" t="n"/>
      <c r="E27" s="47" t="n"/>
      <c r="F27" s="33">
        <f>IF($E27&lt;&gt;"","Sent",IF($C27&lt;&gt;"","To write",""))</f>
        <v/>
      </c>
      <c r="G27" s="36" t="n"/>
    </row>
    <row r="28">
      <c r="B28" s="20">
        <f>IF('Guest List'!$B28="","",'Guest List'!$B28)</f>
        <v/>
      </c>
      <c r="C28" s="36" t="n"/>
      <c r="D28" s="47" t="n"/>
      <c r="E28" s="47" t="n"/>
      <c r="F28" s="33">
        <f>IF($E28&lt;&gt;"","Sent",IF($C28&lt;&gt;"","To write",""))</f>
        <v/>
      </c>
      <c r="G28" s="36" t="n"/>
    </row>
    <row r="29">
      <c r="B29" s="20">
        <f>IF('Guest List'!$B29="","",'Guest List'!$B29)</f>
        <v/>
      </c>
      <c r="C29" s="36" t="n"/>
      <c r="D29" s="47" t="n"/>
      <c r="E29" s="47" t="n"/>
      <c r="F29" s="33">
        <f>IF($E29&lt;&gt;"","Sent",IF($C29&lt;&gt;"","To write",""))</f>
        <v/>
      </c>
      <c r="G29" s="36" t="n"/>
    </row>
    <row r="30">
      <c r="B30" s="20">
        <f>IF('Guest List'!$B30="","",'Guest List'!$B30)</f>
        <v/>
      </c>
      <c r="C30" s="36" t="n"/>
      <c r="D30" s="47" t="n"/>
      <c r="E30" s="47" t="n"/>
      <c r="F30" s="33">
        <f>IF($E30&lt;&gt;"","Sent",IF($C30&lt;&gt;"","To write",""))</f>
        <v/>
      </c>
      <c r="G30" s="36" t="n"/>
    </row>
    <row r="31">
      <c r="B31" s="20">
        <f>IF('Guest List'!$B31="","",'Guest List'!$B31)</f>
        <v/>
      </c>
      <c r="C31" s="36" t="n"/>
      <c r="D31" s="47" t="n"/>
      <c r="E31" s="47" t="n"/>
      <c r="F31" s="33">
        <f>IF($E31&lt;&gt;"","Sent",IF($C31&lt;&gt;"","To write",""))</f>
        <v/>
      </c>
      <c r="G31" s="36" t="n"/>
    </row>
    <row r="32">
      <c r="B32" s="20">
        <f>IF('Guest List'!$B32="","",'Guest List'!$B32)</f>
        <v/>
      </c>
      <c r="C32" s="36" t="n"/>
      <c r="D32" s="47" t="n"/>
      <c r="E32" s="47" t="n"/>
      <c r="F32" s="33">
        <f>IF($E32&lt;&gt;"","Sent",IF($C32&lt;&gt;"","To write",""))</f>
        <v/>
      </c>
      <c r="G32" s="36" t="n"/>
    </row>
    <row r="33">
      <c r="B33" s="20">
        <f>IF('Guest List'!$B33="","",'Guest List'!$B33)</f>
        <v/>
      </c>
      <c r="C33" s="36" t="n"/>
      <c r="D33" s="47" t="n"/>
      <c r="E33" s="47" t="n"/>
      <c r="F33" s="33">
        <f>IF($E33&lt;&gt;"","Sent",IF($C33&lt;&gt;"","To write",""))</f>
        <v/>
      </c>
      <c r="G33" s="36" t="n"/>
    </row>
    <row r="34">
      <c r="B34" s="20">
        <f>IF('Guest List'!$B34="","",'Guest List'!$B34)</f>
        <v/>
      </c>
      <c r="C34" s="36" t="n"/>
      <c r="D34" s="47" t="n"/>
      <c r="E34" s="47" t="n"/>
      <c r="F34" s="33">
        <f>IF($E34&lt;&gt;"","Sent",IF($C34&lt;&gt;"","To write",""))</f>
        <v/>
      </c>
      <c r="G34" s="36" t="n"/>
    </row>
    <row r="35">
      <c r="B35" s="20">
        <f>IF('Guest List'!$B35="","",'Guest List'!$B35)</f>
        <v/>
      </c>
      <c r="C35" s="36" t="n"/>
      <c r="D35" s="47" t="n"/>
      <c r="E35" s="47" t="n"/>
      <c r="F35" s="33">
        <f>IF($E35&lt;&gt;"","Sent",IF($C35&lt;&gt;"","To write",""))</f>
        <v/>
      </c>
      <c r="G35" s="36" t="n"/>
    </row>
    <row r="36">
      <c r="B36" s="20">
        <f>IF('Guest List'!$B36="","",'Guest List'!$B36)</f>
        <v/>
      </c>
      <c r="C36" s="36" t="n"/>
      <c r="D36" s="47" t="n"/>
      <c r="E36" s="47" t="n"/>
      <c r="F36" s="33">
        <f>IF($E36&lt;&gt;"","Sent",IF($C36&lt;&gt;"","To write",""))</f>
        <v/>
      </c>
      <c r="G36" s="36" t="n"/>
    </row>
    <row r="37">
      <c r="B37" s="20">
        <f>IF('Guest List'!$B37="","",'Guest List'!$B37)</f>
        <v/>
      </c>
      <c r="C37" s="36" t="n"/>
      <c r="D37" s="47" t="n"/>
      <c r="E37" s="47" t="n"/>
      <c r="F37" s="33">
        <f>IF($E37&lt;&gt;"","Sent",IF($C37&lt;&gt;"","To write",""))</f>
        <v/>
      </c>
      <c r="G37" s="36" t="n"/>
    </row>
    <row r="38">
      <c r="B38" s="20">
        <f>IF('Guest List'!$B38="","",'Guest List'!$B38)</f>
        <v/>
      </c>
      <c r="C38" s="36" t="n"/>
      <c r="D38" s="47" t="n"/>
      <c r="E38" s="47" t="n"/>
      <c r="F38" s="33">
        <f>IF($E38&lt;&gt;"","Sent",IF($C38&lt;&gt;"","To write",""))</f>
        <v/>
      </c>
      <c r="G38" s="36" t="n"/>
    </row>
    <row r="39">
      <c r="B39" s="20">
        <f>IF('Guest List'!$B39="","",'Guest List'!$B39)</f>
        <v/>
      </c>
      <c r="C39" s="36" t="n"/>
      <c r="D39" s="47" t="n"/>
      <c r="E39" s="47" t="n"/>
      <c r="F39" s="33">
        <f>IF($E39&lt;&gt;"","Sent",IF($C39&lt;&gt;"","To write",""))</f>
        <v/>
      </c>
      <c r="G39" s="36" t="n"/>
    </row>
    <row r="40">
      <c r="B40" s="20">
        <f>IF('Guest List'!$B40="","",'Guest List'!$B40)</f>
        <v/>
      </c>
      <c r="C40" s="36" t="n"/>
      <c r="D40" s="47" t="n"/>
      <c r="E40" s="47" t="n"/>
      <c r="F40" s="33">
        <f>IF($E40&lt;&gt;"","Sent",IF($C40&lt;&gt;"","To write",""))</f>
        <v/>
      </c>
      <c r="G40" s="36" t="n"/>
    </row>
    <row r="41">
      <c r="B41" s="20">
        <f>IF('Guest List'!$B41="","",'Guest List'!$B41)</f>
        <v/>
      </c>
      <c r="C41" s="36" t="n"/>
      <c r="D41" s="47" t="n"/>
      <c r="E41" s="47" t="n"/>
      <c r="F41" s="33">
        <f>IF($E41&lt;&gt;"","Sent",IF($C41&lt;&gt;"","To write",""))</f>
        <v/>
      </c>
      <c r="G41" s="36" t="n"/>
    </row>
    <row r="42">
      <c r="B42" s="20">
        <f>IF('Guest List'!$B42="","",'Guest List'!$B42)</f>
        <v/>
      </c>
      <c r="C42" s="36" t="n"/>
      <c r="D42" s="47" t="n"/>
      <c r="E42" s="47" t="n"/>
      <c r="F42" s="33">
        <f>IF($E42&lt;&gt;"","Sent",IF($C42&lt;&gt;"","To write",""))</f>
        <v/>
      </c>
      <c r="G42" s="36" t="n"/>
    </row>
    <row r="43">
      <c r="B43" s="20">
        <f>IF('Guest List'!$B43="","",'Guest List'!$B43)</f>
        <v/>
      </c>
      <c r="C43" s="36" t="n"/>
      <c r="D43" s="47" t="n"/>
      <c r="E43" s="47" t="n"/>
      <c r="F43" s="33">
        <f>IF($E43&lt;&gt;"","Sent",IF($C43&lt;&gt;"","To write",""))</f>
        <v/>
      </c>
      <c r="G43" s="36" t="n"/>
    </row>
    <row r="44">
      <c r="B44" s="20">
        <f>IF('Guest List'!$B44="","",'Guest List'!$B44)</f>
        <v/>
      </c>
      <c r="C44" s="36" t="n"/>
      <c r="D44" s="47" t="n"/>
      <c r="E44" s="47" t="n"/>
      <c r="F44" s="33">
        <f>IF($E44&lt;&gt;"","Sent",IF($C44&lt;&gt;"","To write",""))</f>
        <v/>
      </c>
      <c r="G44" s="36" t="n"/>
    </row>
    <row r="45">
      <c r="B45" s="20">
        <f>IF('Guest List'!$B45="","",'Guest List'!$B45)</f>
        <v/>
      </c>
      <c r="C45" s="36" t="n"/>
      <c r="D45" s="47" t="n"/>
      <c r="E45" s="47" t="n"/>
      <c r="F45" s="33">
        <f>IF($E45&lt;&gt;"","Sent",IF($C45&lt;&gt;"","To write",""))</f>
        <v/>
      </c>
      <c r="G45" s="36" t="n"/>
    </row>
    <row r="46">
      <c r="B46" s="20">
        <f>IF('Guest List'!$B46="","",'Guest List'!$B46)</f>
        <v/>
      </c>
      <c r="C46" s="36" t="n"/>
      <c r="D46" s="47" t="n"/>
      <c r="E46" s="47" t="n"/>
      <c r="F46" s="33">
        <f>IF($E46&lt;&gt;"","Sent",IF($C46&lt;&gt;"","To write",""))</f>
        <v/>
      </c>
      <c r="G46" s="36" t="n"/>
    </row>
    <row r="47">
      <c r="B47" s="20">
        <f>IF('Guest List'!$B47="","",'Guest List'!$B47)</f>
        <v/>
      </c>
      <c r="C47" s="36" t="n"/>
      <c r="D47" s="47" t="n"/>
      <c r="E47" s="47" t="n"/>
      <c r="F47" s="33">
        <f>IF($E47&lt;&gt;"","Sent",IF($C47&lt;&gt;"","To write",""))</f>
        <v/>
      </c>
      <c r="G47" s="36" t="n"/>
    </row>
    <row r="48">
      <c r="B48" s="20">
        <f>IF('Guest List'!$B48="","",'Guest List'!$B48)</f>
        <v/>
      </c>
      <c r="C48" s="36" t="n"/>
      <c r="D48" s="47" t="n"/>
      <c r="E48" s="47" t="n"/>
      <c r="F48" s="33">
        <f>IF($E48&lt;&gt;"","Sent",IF($C48&lt;&gt;"","To write",""))</f>
        <v/>
      </c>
      <c r="G48" s="36" t="n"/>
    </row>
    <row r="49">
      <c r="B49" s="20">
        <f>IF('Guest List'!$B49="","",'Guest List'!$B49)</f>
        <v/>
      </c>
      <c r="C49" s="36" t="n"/>
      <c r="D49" s="47" t="n"/>
      <c r="E49" s="47" t="n"/>
      <c r="F49" s="33">
        <f>IF($E49&lt;&gt;"","Sent",IF($C49&lt;&gt;"","To write",""))</f>
        <v/>
      </c>
      <c r="G49" s="36" t="n"/>
    </row>
    <row r="50">
      <c r="B50" s="20">
        <f>IF('Guest List'!$B50="","",'Guest List'!$B50)</f>
        <v/>
      </c>
      <c r="C50" s="36" t="n"/>
      <c r="D50" s="47" t="n"/>
      <c r="E50" s="47" t="n"/>
      <c r="F50" s="33">
        <f>IF($E50&lt;&gt;"","Sent",IF($C50&lt;&gt;"","To write",""))</f>
        <v/>
      </c>
      <c r="G50" s="36" t="n"/>
    </row>
    <row r="51">
      <c r="B51" s="20">
        <f>IF('Guest List'!$B51="","",'Guest List'!$B51)</f>
        <v/>
      </c>
      <c r="C51" s="36" t="n"/>
      <c r="D51" s="47" t="n"/>
      <c r="E51" s="47" t="n"/>
      <c r="F51" s="33">
        <f>IF($E51&lt;&gt;"","Sent",IF($C51&lt;&gt;"","To write",""))</f>
        <v/>
      </c>
      <c r="G51" s="36" t="n"/>
    </row>
    <row r="52">
      <c r="B52" s="20">
        <f>IF('Guest List'!$B52="","",'Guest List'!$B52)</f>
        <v/>
      </c>
      <c r="C52" s="36" t="n"/>
      <c r="D52" s="47" t="n"/>
      <c r="E52" s="47" t="n"/>
      <c r="F52" s="33">
        <f>IF($E52&lt;&gt;"","Sent",IF($C52&lt;&gt;"","To write",""))</f>
        <v/>
      </c>
      <c r="G52" s="36" t="n"/>
    </row>
    <row r="53">
      <c r="B53" s="20">
        <f>IF('Guest List'!$B53="","",'Guest List'!$B53)</f>
        <v/>
      </c>
      <c r="C53" s="36" t="n"/>
      <c r="D53" s="47" t="n"/>
      <c r="E53" s="47" t="n"/>
      <c r="F53" s="33">
        <f>IF($E53&lt;&gt;"","Sent",IF($C53&lt;&gt;"","To write",""))</f>
        <v/>
      </c>
      <c r="G53" s="36" t="n"/>
    </row>
    <row r="54">
      <c r="B54" s="20">
        <f>IF('Guest List'!$B54="","",'Guest List'!$B54)</f>
        <v/>
      </c>
      <c r="C54" s="36" t="n"/>
      <c r="D54" s="47" t="n"/>
      <c r="E54" s="47" t="n"/>
      <c r="F54" s="33">
        <f>IF($E54&lt;&gt;"","Sent",IF($C54&lt;&gt;"","To write",""))</f>
        <v/>
      </c>
      <c r="G54" s="36" t="n"/>
    </row>
    <row r="55">
      <c r="B55" s="20">
        <f>IF('Guest List'!$B55="","",'Guest List'!$B55)</f>
        <v/>
      </c>
      <c r="C55" s="36" t="n"/>
      <c r="D55" s="47" t="n"/>
      <c r="E55" s="47" t="n"/>
      <c r="F55" s="33">
        <f>IF($E55&lt;&gt;"","Sent",IF($C55&lt;&gt;"","To write",""))</f>
        <v/>
      </c>
      <c r="G55" s="36" t="n"/>
    </row>
    <row r="56">
      <c r="B56" s="20">
        <f>IF('Guest List'!$B56="","",'Guest List'!$B56)</f>
        <v/>
      </c>
      <c r="C56" s="36" t="n"/>
      <c r="D56" s="47" t="n"/>
      <c r="E56" s="47" t="n"/>
      <c r="F56" s="33">
        <f>IF($E56&lt;&gt;"","Sent",IF($C56&lt;&gt;"","To write",""))</f>
        <v/>
      </c>
      <c r="G56" s="36" t="n"/>
    </row>
    <row r="57">
      <c r="B57" s="20">
        <f>IF('Guest List'!$B57="","",'Guest List'!$B57)</f>
        <v/>
      </c>
      <c r="C57" s="36" t="n"/>
      <c r="D57" s="47" t="n"/>
      <c r="E57" s="47" t="n"/>
      <c r="F57" s="33">
        <f>IF($E57&lt;&gt;"","Sent",IF($C57&lt;&gt;"","To write",""))</f>
        <v/>
      </c>
      <c r="G57" s="36" t="n"/>
    </row>
    <row r="58">
      <c r="B58" s="20">
        <f>IF('Guest List'!$B58="","",'Guest List'!$B58)</f>
        <v/>
      </c>
      <c r="C58" s="36" t="n"/>
      <c r="D58" s="47" t="n"/>
      <c r="E58" s="47" t="n"/>
      <c r="F58" s="33">
        <f>IF($E58&lt;&gt;"","Sent",IF($C58&lt;&gt;"","To write",""))</f>
        <v/>
      </c>
      <c r="G58" s="36" t="n"/>
    </row>
    <row r="59">
      <c r="B59" s="20">
        <f>IF('Guest List'!$B59="","",'Guest List'!$B59)</f>
        <v/>
      </c>
      <c r="C59" s="36" t="n"/>
      <c r="D59" s="47" t="n"/>
      <c r="E59" s="47" t="n"/>
      <c r="F59" s="33">
        <f>IF($E59&lt;&gt;"","Sent",IF($C59&lt;&gt;"","To write",""))</f>
        <v/>
      </c>
      <c r="G59" s="36" t="n"/>
    </row>
    <row r="60">
      <c r="B60" s="20">
        <f>IF('Guest List'!$B60="","",'Guest List'!$B60)</f>
        <v/>
      </c>
      <c r="C60" s="36" t="n"/>
      <c r="D60" s="47" t="n"/>
      <c r="E60" s="47" t="n"/>
      <c r="F60" s="33">
        <f>IF($E60&lt;&gt;"","Sent",IF($C60&lt;&gt;"","To write",""))</f>
        <v/>
      </c>
      <c r="G60" s="36" t="n"/>
    </row>
    <row r="61">
      <c r="B61" s="20">
        <f>IF('Guest List'!$B61="","",'Guest List'!$B61)</f>
        <v/>
      </c>
      <c r="C61" s="36" t="n"/>
      <c r="D61" s="47" t="n"/>
      <c r="E61" s="47" t="n"/>
      <c r="F61" s="33">
        <f>IF($E61&lt;&gt;"","Sent",IF($C61&lt;&gt;"","To write",""))</f>
        <v/>
      </c>
      <c r="G61" s="36" t="n"/>
    </row>
    <row r="62">
      <c r="B62" s="20">
        <f>IF('Guest List'!$B62="","",'Guest List'!$B62)</f>
        <v/>
      </c>
      <c r="C62" s="36" t="n"/>
      <c r="D62" s="47" t="n"/>
      <c r="E62" s="47" t="n"/>
      <c r="F62" s="33">
        <f>IF($E62&lt;&gt;"","Sent",IF($C62&lt;&gt;"","To write",""))</f>
        <v/>
      </c>
      <c r="G62" s="36" t="n"/>
    </row>
    <row r="63">
      <c r="B63" s="20">
        <f>IF('Guest List'!$B63="","",'Guest List'!$B63)</f>
        <v/>
      </c>
      <c r="C63" s="36" t="n"/>
      <c r="D63" s="47" t="n"/>
      <c r="E63" s="47" t="n"/>
      <c r="F63" s="33">
        <f>IF($E63&lt;&gt;"","Sent",IF($C63&lt;&gt;"","To write",""))</f>
        <v/>
      </c>
      <c r="G63" s="36" t="n"/>
    </row>
    <row r="64">
      <c r="B64" s="20">
        <f>IF('Guest List'!$B64="","",'Guest List'!$B64)</f>
        <v/>
      </c>
      <c r="C64" s="36" t="n"/>
      <c r="D64" s="47" t="n"/>
      <c r="E64" s="47" t="n"/>
      <c r="F64" s="33">
        <f>IF($E64&lt;&gt;"","Sent",IF($C64&lt;&gt;"","To write",""))</f>
        <v/>
      </c>
      <c r="G64" s="36" t="n"/>
    </row>
    <row r="65">
      <c r="B65" s="20">
        <f>IF('Guest List'!$B65="","",'Guest List'!$B65)</f>
        <v/>
      </c>
      <c r="C65" s="36" t="n"/>
      <c r="D65" s="47" t="n"/>
      <c r="E65" s="47" t="n"/>
      <c r="F65" s="33">
        <f>IF($E65&lt;&gt;"","Sent",IF($C65&lt;&gt;"","To write",""))</f>
        <v/>
      </c>
      <c r="G65" s="36" t="n"/>
    </row>
    <row r="66">
      <c r="B66" s="20">
        <f>IF('Guest List'!$B66="","",'Guest List'!$B66)</f>
        <v/>
      </c>
      <c r="C66" s="36" t="n"/>
      <c r="D66" s="47" t="n"/>
      <c r="E66" s="47" t="n"/>
      <c r="F66" s="33">
        <f>IF($E66&lt;&gt;"","Sent",IF($C66&lt;&gt;"","To write",""))</f>
        <v/>
      </c>
      <c r="G66" s="36" t="n"/>
    </row>
    <row r="67">
      <c r="B67" s="20">
        <f>IF('Guest List'!$B67="","",'Guest List'!$B67)</f>
        <v/>
      </c>
      <c r="C67" s="36" t="n"/>
      <c r="D67" s="47" t="n"/>
      <c r="E67" s="47" t="n"/>
      <c r="F67" s="33">
        <f>IF($E67&lt;&gt;"","Sent",IF($C67&lt;&gt;"","To write",""))</f>
        <v/>
      </c>
      <c r="G67" s="36" t="n"/>
    </row>
    <row r="68">
      <c r="B68" s="20">
        <f>IF('Guest List'!$B68="","",'Guest List'!$B68)</f>
        <v/>
      </c>
      <c r="C68" s="36" t="n"/>
      <c r="D68" s="47" t="n"/>
      <c r="E68" s="47" t="n"/>
      <c r="F68" s="33">
        <f>IF($E68&lt;&gt;"","Sent",IF($C68&lt;&gt;"","To write",""))</f>
        <v/>
      </c>
      <c r="G68" s="36" t="n"/>
    </row>
    <row r="69">
      <c r="B69" s="20">
        <f>IF('Guest List'!$B69="","",'Guest List'!$B69)</f>
        <v/>
      </c>
      <c r="C69" s="36" t="n"/>
      <c r="D69" s="47" t="n"/>
      <c r="E69" s="47" t="n"/>
      <c r="F69" s="33">
        <f>IF($E69&lt;&gt;"","Sent",IF($C69&lt;&gt;"","To write",""))</f>
        <v/>
      </c>
      <c r="G69" s="36" t="n"/>
    </row>
    <row r="70">
      <c r="B70" s="20">
        <f>IF('Guest List'!$B70="","",'Guest List'!$B70)</f>
        <v/>
      </c>
      <c r="C70" s="36" t="n"/>
      <c r="D70" s="47" t="n"/>
      <c r="E70" s="47" t="n"/>
      <c r="F70" s="33">
        <f>IF($E70&lt;&gt;"","Sent",IF($C70&lt;&gt;"","To write",""))</f>
        <v/>
      </c>
      <c r="G70" s="36" t="n"/>
    </row>
    <row r="71">
      <c r="B71" s="20">
        <f>IF('Guest List'!$B71="","",'Guest List'!$B71)</f>
        <v/>
      </c>
      <c r="C71" s="36" t="n"/>
      <c r="D71" s="47" t="n"/>
      <c r="E71" s="47" t="n"/>
      <c r="F71" s="33">
        <f>IF($E71&lt;&gt;"","Sent",IF($C71&lt;&gt;"","To write",""))</f>
        <v/>
      </c>
      <c r="G71" s="36" t="n"/>
    </row>
    <row r="72">
      <c r="B72" s="20">
        <f>IF('Guest List'!$B72="","",'Guest List'!$B72)</f>
        <v/>
      </c>
      <c r="C72" s="36" t="n"/>
      <c r="D72" s="47" t="n"/>
      <c r="E72" s="47" t="n"/>
      <c r="F72" s="33">
        <f>IF($E72&lt;&gt;"","Sent",IF($C72&lt;&gt;"","To write",""))</f>
        <v/>
      </c>
      <c r="G72" s="36" t="n"/>
    </row>
    <row r="73">
      <c r="B73" s="20">
        <f>IF('Guest List'!$B73="","",'Guest List'!$B73)</f>
        <v/>
      </c>
      <c r="C73" s="36" t="n"/>
      <c r="D73" s="47" t="n"/>
      <c r="E73" s="47" t="n"/>
      <c r="F73" s="33">
        <f>IF($E73&lt;&gt;"","Sent",IF($C73&lt;&gt;"","To write",""))</f>
        <v/>
      </c>
      <c r="G73" s="36" t="n"/>
    </row>
    <row r="74">
      <c r="B74" s="20">
        <f>IF('Guest List'!$B74="","",'Guest List'!$B74)</f>
        <v/>
      </c>
      <c r="C74" s="36" t="n"/>
      <c r="D74" s="47" t="n"/>
      <c r="E74" s="47" t="n"/>
      <c r="F74" s="33">
        <f>IF($E74&lt;&gt;"","Sent",IF($C74&lt;&gt;"","To write",""))</f>
        <v/>
      </c>
      <c r="G74" s="36" t="n"/>
    </row>
    <row r="75">
      <c r="B75" s="20">
        <f>IF('Guest List'!$B75="","",'Guest List'!$B75)</f>
        <v/>
      </c>
      <c r="C75" s="36" t="n"/>
      <c r="D75" s="47" t="n"/>
      <c r="E75" s="47" t="n"/>
      <c r="F75" s="33">
        <f>IF($E75&lt;&gt;"","Sent",IF($C75&lt;&gt;"","To write",""))</f>
        <v/>
      </c>
      <c r="G75" s="36" t="n"/>
    </row>
    <row r="76">
      <c r="B76" s="20">
        <f>IF('Guest List'!$B76="","",'Guest List'!$B76)</f>
        <v/>
      </c>
      <c r="C76" s="36" t="n"/>
      <c r="D76" s="47" t="n"/>
      <c r="E76" s="47" t="n"/>
      <c r="F76" s="33">
        <f>IF($E76&lt;&gt;"","Sent",IF($C76&lt;&gt;"","To write",""))</f>
        <v/>
      </c>
      <c r="G76" s="36" t="n"/>
    </row>
    <row r="77">
      <c r="B77" s="20">
        <f>IF('Guest List'!$B77="","",'Guest List'!$B77)</f>
        <v/>
      </c>
      <c r="C77" s="36" t="n"/>
      <c r="D77" s="47" t="n"/>
      <c r="E77" s="47" t="n"/>
      <c r="F77" s="33">
        <f>IF($E77&lt;&gt;"","Sent",IF($C77&lt;&gt;"","To write",""))</f>
        <v/>
      </c>
      <c r="G77" s="36" t="n"/>
    </row>
    <row r="78">
      <c r="B78" s="20">
        <f>IF('Guest List'!$B78="","",'Guest List'!$B78)</f>
        <v/>
      </c>
      <c r="C78" s="36" t="n"/>
      <c r="D78" s="47" t="n"/>
      <c r="E78" s="47" t="n"/>
      <c r="F78" s="33">
        <f>IF($E78&lt;&gt;"","Sent",IF($C78&lt;&gt;"","To write",""))</f>
        <v/>
      </c>
      <c r="G78" s="36" t="n"/>
    </row>
    <row r="79">
      <c r="B79" s="20">
        <f>IF('Guest List'!$B79="","",'Guest List'!$B79)</f>
        <v/>
      </c>
      <c r="C79" s="36" t="n"/>
      <c r="D79" s="47" t="n"/>
      <c r="E79" s="47" t="n"/>
      <c r="F79" s="33">
        <f>IF($E79&lt;&gt;"","Sent",IF($C79&lt;&gt;"","To write",""))</f>
        <v/>
      </c>
      <c r="G79" s="36" t="n"/>
    </row>
    <row r="80">
      <c r="B80" s="20">
        <f>IF('Guest List'!$B80="","",'Guest List'!$B80)</f>
        <v/>
      </c>
      <c r="C80" s="36" t="n"/>
      <c r="D80" s="47" t="n"/>
      <c r="E80" s="47" t="n"/>
      <c r="F80" s="33">
        <f>IF($E80&lt;&gt;"","Sent",IF($C80&lt;&gt;"","To write",""))</f>
        <v/>
      </c>
      <c r="G80" s="36" t="n"/>
    </row>
    <row r="81">
      <c r="B81" s="20">
        <f>IF('Guest List'!$B81="","",'Guest List'!$B81)</f>
        <v/>
      </c>
      <c r="C81" s="36" t="n"/>
      <c r="D81" s="47" t="n"/>
      <c r="E81" s="47" t="n"/>
      <c r="F81" s="33">
        <f>IF($E81&lt;&gt;"","Sent",IF($C81&lt;&gt;"","To write",""))</f>
        <v/>
      </c>
      <c r="G81" s="36" t="n"/>
    </row>
    <row r="82">
      <c r="B82" s="20">
        <f>IF('Guest List'!$B82="","",'Guest List'!$B82)</f>
        <v/>
      </c>
      <c r="C82" s="36" t="n"/>
      <c r="D82" s="47" t="n"/>
      <c r="E82" s="47" t="n"/>
      <c r="F82" s="33">
        <f>IF($E82&lt;&gt;"","Sent",IF($C82&lt;&gt;"","To write",""))</f>
        <v/>
      </c>
      <c r="G82" s="36" t="n"/>
    </row>
    <row r="83">
      <c r="B83" s="20">
        <f>IF('Guest List'!$B83="","",'Guest List'!$B83)</f>
        <v/>
      </c>
      <c r="C83" s="36" t="n"/>
      <c r="D83" s="47" t="n"/>
      <c r="E83" s="47" t="n"/>
      <c r="F83" s="33">
        <f>IF($E83&lt;&gt;"","Sent",IF($C83&lt;&gt;"","To write",""))</f>
        <v/>
      </c>
      <c r="G83" s="36" t="n"/>
    </row>
    <row r="84">
      <c r="B84" s="20">
        <f>IF('Guest List'!$B84="","",'Guest List'!$B84)</f>
        <v/>
      </c>
      <c r="C84" s="36" t="n"/>
      <c r="D84" s="47" t="n"/>
      <c r="E84" s="47" t="n"/>
      <c r="F84" s="33">
        <f>IF($E84&lt;&gt;"","Sent",IF($C84&lt;&gt;"","To write",""))</f>
        <v/>
      </c>
      <c r="G84" s="36" t="n"/>
    </row>
    <row r="85">
      <c r="B85" s="20">
        <f>IF('Guest List'!$B85="","",'Guest List'!$B85)</f>
        <v/>
      </c>
      <c r="C85" s="36" t="n"/>
      <c r="D85" s="47" t="n"/>
      <c r="E85" s="47" t="n"/>
      <c r="F85" s="33">
        <f>IF($E85&lt;&gt;"","Sent",IF($C85&lt;&gt;"","To write",""))</f>
        <v/>
      </c>
      <c r="G85" s="36" t="n"/>
    </row>
    <row r="86">
      <c r="B86" s="20">
        <f>IF('Guest List'!$B86="","",'Guest List'!$B86)</f>
        <v/>
      </c>
      <c r="C86" s="36" t="n"/>
      <c r="D86" s="47" t="n"/>
      <c r="E86" s="47" t="n"/>
      <c r="F86" s="33">
        <f>IF($E86&lt;&gt;"","Sent",IF($C86&lt;&gt;"","To write",""))</f>
        <v/>
      </c>
      <c r="G86" s="36" t="n"/>
    </row>
    <row r="87">
      <c r="B87" s="20">
        <f>IF('Guest List'!$B87="","",'Guest List'!$B87)</f>
        <v/>
      </c>
      <c r="C87" s="36" t="n"/>
      <c r="D87" s="47" t="n"/>
      <c r="E87" s="47" t="n"/>
      <c r="F87" s="33">
        <f>IF($E87&lt;&gt;"","Sent",IF($C87&lt;&gt;"","To write",""))</f>
        <v/>
      </c>
      <c r="G87" s="36" t="n"/>
    </row>
    <row r="88">
      <c r="B88" s="20">
        <f>IF('Guest List'!$B88="","",'Guest List'!$B88)</f>
        <v/>
      </c>
      <c r="C88" s="36" t="n"/>
      <c r="D88" s="47" t="n"/>
      <c r="E88" s="47" t="n"/>
      <c r="F88" s="33">
        <f>IF($E88&lt;&gt;"","Sent",IF($C88&lt;&gt;"","To write",""))</f>
        <v/>
      </c>
      <c r="G88" s="36" t="n"/>
    </row>
    <row r="89">
      <c r="B89" s="20">
        <f>IF('Guest List'!$B89="","",'Guest List'!$B89)</f>
        <v/>
      </c>
      <c r="C89" s="36" t="n"/>
      <c r="D89" s="47" t="n"/>
      <c r="E89" s="47" t="n"/>
      <c r="F89" s="33">
        <f>IF($E89&lt;&gt;"","Sent",IF($C89&lt;&gt;"","To write",""))</f>
        <v/>
      </c>
      <c r="G89" s="36" t="n"/>
    </row>
    <row r="90">
      <c r="B90" s="20">
        <f>IF('Guest List'!$B90="","",'Guest List'!$B90)</f>
        <v/>
      </c>
      <c r="C90" s="36" t="n"/>
      <c r="D90" s="47" t="n"/>
      <c r="E90" s="47" t="n"/>
      <c r="F90" s="33">
        <f>IF($E90&lt;&gt;"","Sent",IF($C90&lt;&gt;"","To write",""))</f>
        <v/>
      </c>
      <c r="G90" s="36" t="n"/>
    </row>
    <row r="91">
      <c r="B91" s="20">
        <f>IF('Guest List'!$B91="","",'Guest List'!$B91)</f>
        <v/>
      </c>
      <c r="C91" s="36" t="n"/>
      <c r="D91" s="47" t="n"/>
      <c r="E91" s="47" t="n"/>
      <c r="F91" s="33">
        <f>IF($E91&lt;&gt;"","Sent",IF($C91&lt;&gt;"","To write",""))</f>
        <v/>
      </c>
      <c r="G91" s="36" t="n"/>
    </row>
    <row r="92">
      <c r="B92" s="20">
        <f>IF('Guest List'!$B92="","",'Guest List'!$B92)</f>
        <v/>
      </c>
      <c r="C92" s="36" t="n"/>
      <c r="D92" s="47" t="n"/>
      <c r="E92" s="47" t="n"/>
      <c r="F92" s="33">
        <f>IF($E92&lt;&gt;"","Sent",IF($C92&lt;&gt;"","To write",""))</f>
        <v/>
      </c>
      <c r="G92" s="36" t="n"/>
    </row>
    <row r="93">
      <c r="B93" s="20">
        <f>IF('Guest List'!$B93="","",'Guest List'!$B93)</f>
        <v/>
      </c>
      <c r="C93" s="36" t="n"/>
      <c r="D93" s="47" t="n"/>
      <c r="E93" s="47" t="n"/>
      <c r="F93" s="33">
        <f>IF($E93&lt;&gt;"","Sent",IF($C93&lt;&gt;"","To write",""))</f>
        <v/>
      </c>
      <c r="G93" s="36" t="n"/>
    </row>
    <row r="94">
      <c r="B94" s="20">
        <f>IF('Guest List'!$B94="","",'Guest List'!$B94)</f>
        <v/>
      </c>
      <c r="C94" s="36" t="n"/>
      <c r="D94" s="47" t="n"/>
      <c r="E94" s="47" t="n"/>
      <c r="F94" s="33">
        <f>IF($E94&lt;&gt;"","Sent",IF($C94&lt;&gt;"","To write",""))</f>
        <v/>
      </c>
      <c r="G94" s="36" t="n"/>
    </row>
    <row r="95">
      <c r="B95" s="20">
        <f>IF('Guest List'!$B95="","",'Guest List'!$B95)</f>
        <v/>
      </c>
      <c r="C95" s="36" t="n"/>
      <c r="D95" s="47" t="n"/>
      <c r="E95" s="47" t="n"/>
      <c r="F95" s="33">
        <f>IF($E95&lt;&gt;"","Sent",IF($C95&lt;&gt;"","To write",""))</f>
        <v/>
      </c>
      <c r="G95" s="36" t="n"/>
    </row>
    <row r="96">
      <c r="B96" s="20">
        <f>IF('Guest List'!$B96="","",'Guest List'!$B96)</f>
        <v/>
      </c>
      <c r="C96" s="36" t="n"/>
      <c r="D96" s="47" t="n"/>
      <c r="E96" s="47" t="n"/>
      <c r="F96" s="33">
        <f>IF($E96&lt;&gt;"","Sent",IF($C96&lt;&gt;"","To write",""))</f>
        <v/>
      </c>
      <c r="G96" s="36" t="n"/>
    </row>
    <row r="97">
      <c r="B97" s="20">
        <f>IF('Guest List'!$B97="","",'Guest List'!$B97)</f>
        <v/>
      </c>
      <c r="C97" s="36" t="n"/>
      <c r="D97" s="47" t="n"/>
      <c r="E97" s="47" t="n"/>
      <c r="F97" s="33">
        <f>IF($E97&lt;&gt;"","Sent",IF($C97&lt;&gt;"","To write",""))</f>
        <v/>
      </c>
      <c r="G97" s="36" t="n"/>
    </row>
    <row r="98">
      <c r="B98" s="20">
        <f>IF('Guest List'!$B98="","",'Guest List'!$B98)</f>
        <v/>
      </c>
      <c r="C98" s="36" t="n"/>
      <c r="D98" s="47" t="n"/>
      <c r="E98" s="47" t="n"/>
      <c r="F98" s="33">
        <f>IF($E98&lt;&gt;"","Sent",IF($C98&lt;&gt;"","To write",""))</f>
        <v/>
      </c>
      <c r="G98" s="36" t="n"/>
    </row>
    <row r="99">
      <c r="B99" s="20">
        <f>IF('Guest List'!$B99="","",'Guest List'!$B99)</f>
        <v/>
      </c>
      <c r="C99" s="36" t="n"/>
      <c r="D99" s="47" t="n"/>
      <c r="E99" s="47" t="n"/>
      <c r="F99" s="33">
        <f>IF($E99&lt;&gt;"","Sent",IF($C99&lt;&gt;"","To write",""))</f>
        <v/>
      </c>
      <c r="G99" s="36" t="n"/>
    </row>
    <row r="100">
      <c r="B100" s="20">
        <f>IF('Guest List'!$B100="","",'Guest List'!$B100)</f>
        <v/>
      </c>
      <c r="C100" s="36" t="n"/>
      <c r="D100" s="47" t="n"/>
      <c r="E100" s="47" t="n"/>
      <c r="F100" s="33">
        <f>IF($E100&lt;&gt;"","Sent",IF($C100&lt;&gt;"","To write",""))</f>
        <v/>
      </c>
      <c r="G100" s="36" t="n"/>
    </row>
    <row r="101">
      <c r="B101" s="20">
        <f>IF('Guest List'!$B101="","",'Guest List'!$B101)</f>
        <v/>
      </c>
      <c r="C101" s="36" t="n"/>
      <c r="D101" s="47" t="n"/>
      <c r="E101" s="47" t="n"/>
      <c r="F101" s="33">
        <f>IF($E101&lt;&gt;"","Sent",IF($C101&lt;&gt;"","To write",""))</f>
        <v/>
      </c>
      <c r="G101" s="36" t="n"/>
    </row>
    <row r="102">
      <c r="B102" s="20">
        <f>IF('Guest List'!$B102="","",'Guest List'!$B102)</f>
        <v/>
      </c>
      <c r="C102" s="36" t="n"/>
      <c r="D102" s="47" t="n"/>
      <c r="E102" s="47" t="n"/>
      <c r="F102" s="33">
        <f>IF($E102&lt;&gt;"","Sent",IF($C102&lt;&gt;"","To write",""))</f>
        <v/>
      </c>
      <c r="G102" s="36" t="n"/>
    </row>
    <row r="103">
      <c r="B103" s="20">
        <f>IF('Guest List'!$B103="","",'Guest List'!$B103)</f>
        <v/>
      </c>
      <c r="C103" s="36" t="n"/>
      <c r="D103" s="47" t="n"/>
      <c r="E103" s="47" t="n"/>
      <c r="F103" s="33">
        <f>IF($E103&lt;&gt;"","Sent",IF($C103&lt;&gt;"","To write",""))</f>
        <v/>
      </c>
      <c r="G103" s="36" t="n"/>
    </row>
    <row r="104">
      <c r="B104" s="20">
        <f>IF('Guest List'!$B104="","",'Guest List'!$B104)</f>
        <v/>
      </c>
      <c r="C104" s="36" t="n"/>
      <c r="D104" s="47" t="n"/>
      <c r="E104" s="47" t="n"/>
      <c r="F104" s="33">
        <f>IF($E104&lt;&gt;"","Sent",IF($C104&lt;&gt;"","To write",""))</f>
        <v/>
      </c>
      <c r="G104" s="36" t="n"/>
    </row>
    <row r="105">
      <c r="B105" s="20">
        <f>IF('Guest List'!$B105="","",'Guest List'!$B105)</f>
        <v/>
      </c>
      <c r="C105" s="36" t="n"/>
      <c r="D105" s="47" t="n"/>
      <c r="E105" s="47" t="n"/>
      <c r="F105" s="33">
        <f>IF($E105&lt;&gt;"","Sent",IF($C105&lt;&gt;"","To write",""))</f>
        <v/>
      </c>
      <c r="G105" s="36" t="n"/>
    </row>
    <row r="106">
      <c r="B106" s="20">
        <f>IF('Guest List'!$B106="","",'Guest List'!$B106)</f>
        <v/>
      </c>
      <c r="C106" s="36" t="n"/>
      <c r="D106" s="47" t="n"/>
      <c r="E106" s="47" t="n"/>
      <c r="F106" s="33">
        <f>IF($E106&lt;&gt;"","Sent",IF($C106&lt;&gt;"","To write",""))</f>
        <v/>
      </c>
      <c r="G106" s="36" t="n"/>
    </row>
    <row r="107">
      <c r="B107" s="20">
        <f>IF('Guest List'!$B107="","",'Guest List'!$B107)</f>
        <v/>
      </c>
      <c r="C107" s="36" t="n"/>
      <c r="D107" s="47" t="n"/>
      <c r="E107" s="47" t="n"/>
      <c r="F107" s="33">
        <f>IF($E107&lt;&gt;"","Sent",IF($C107&lt;&gt;"","To write",""))</f>
        <v/>
      </c>
      <c r="G107" s="36" t="n"/>
    </row>
    <row r="108">
      <c r="B108" s="20">
        <f>IF('Guest List'!$B108="","",'Guest List'!$B108)</f>
        <v/>
      </c>
      <c r="C108" s="36" t="n"/>
      <c r="D108" s="47" t="n"/>
      <c r="E108" s="47" t="n"/>
      <c r="F108" s="33">
        <f>IF($E108&lt;&gt;"","Sent",IF($C108&lt;&gt;"","To write",""))</f>
        <v/>
      </c>
      <c r="G108" s="36" t="n"/>
    </row>
    <row r="109">
      <c r="B109" s="20">
        <f>IF('Guest List'!$B109="","",'Guest List'!$B109)</f>
        <v/>
      </c>
      <c r="C109" s="36" t="n"/>
      <c r="D109" s="47" t="n"/>
      <c r="E109" s="47" t="n"/>
      <c r="F109" s="33">
        <f>IF($E109&lt;&gt;"","Sent",IF($C109&lt;&gt;"","To write",""))</f>
        <v/>
      </c>
      <c r="G109" s="36" t="n"/>
    </row>
    <row r="110">
      <c r="B110" s="20">
        <f>IF('Guest List'!$B110="","",'Guest List'!$B110)</f>
        <v/>
      </c>
      <c r="C110" s="36" t="n"/>
      <c r="D110" s="47" t="n"/>
      <c r="E110" s="47" t="n"/>
      <c r="F110" s="33">
        <f>IF($E110&lt;&gt;"","Sent",IF($C110&lt;&gt;"","To write",""))</f>
        <v/>
      </c>
      <c r="G110" s="36" t="n"/>
    </row>
    <row r="111">
      <c r="B111" s="20">
        <f>IF('Guest List'!$B111="","",'Guest List'!$B111)</f>
        <v/>
      </c>
      <c r="C111" s="36" t="n"/>
      <c r="D111" s="47" t="n"/>
      <c r="E111" s="47" t="n"/>
      <c r="F111" s="33">
        <f>IF($E111&lt;&gt;"","Sent",IF($C111&lt;&gt;"","To write",""))</f>
        <v/>
      </c>
      <c r="G111" s="36" t="n"/>
    </row>
    <row r="112">
      <c r="B112" s="20">
        <f>IF('Guest List'!$B112="","",'Guest List'!$B112)</f>
        <v/>
      </c>
      <c r="C112" s="36" t="n"/>
      <c r="D112" s="47" t="n"/>
      <c r="E112" s="47" t="n"/>
      <c r="F112" s="33">
        <f>IF($E112&lt;&gt;"","Sent",IF($C112&lt;&gt;"","To write",""))</f>
        <v/>
      </c>
      <c r="G112" s="36" t="n"/>
    </row>
    <row r="113">
      <c r="B113" s="20">
        <f>IF('Guest List'!$B113="","",'Guest List'!$B113)</f>
        <v/>
      </c>
      <c r="C113" s="36" t="n"/>
      <c r="D113" s="47" t="n"/>
      <c r="E113" s="47" t="n"/>
      <c r="F113" s="33">
        <f>IF($E113&lt;&gt;"","Sent",IF($C113&lt;&gt;"","To write",""))</f>
        <v/>
      </c>
      <c r="G113" s="36" t="n"/>
    </row>
    <row r="114">
      <c r="B114" s="20">
        <f>IF('Guest List'!$B114="","",'Guest List'!$B114)</f>
        <v/>
      </c>
      <c r="C114" s="36" t="n"/>
      <c r="D114" s="47" t="n"/>
      <c r="E114" s="47" t="n"/>
      <c r="F114" s="33">
        <f>IF($E114&lt;&gt;"","Sent",IF($C114&lt;&gt;"","To write",""))</f>
        <v/>
      </c>
      <c r="G114" s="36" t="n"/>
    </row>
    <row r="115">
      <c r="B115" s="20">
        <f>IF('Guest List'!$B115="","",'Guest List'!$B115)</f>
        <v/>
      </c>
      <c r="C115" s="36" t="n"/>
      <c r="D115" s="47" t="n"/>
      <c r="E115" s="47" t="n"/>
      <c r="F115" s="33">
        <f>IF($E115&lt;&gt;"","Sent",IF($C115&lt;&gt;"","To write",""))</f>
        <v/>
      </c>
      <c r="G115" s="36" t="n"/>
    </row>
    <row r="116">
      <c r="B116" s="20">
        <f>IF('Guest List'!$B116="","",'Guest List'!$B116)</f>
        <v/>
      </c>
      <c r="C116" s="36" t="n"/>
      <c r="D116" s="47" t="n"/>
      <c r="E116" s="47" t="n"/>
      <c r="F116" s="33">
        <f>IF($E116&lt;&gt;"","Sent",IF($C116&lt;&gt;"","To write",""))</f>
        <v/>
      </c>
      <c r="G116" s="36" t="n"/>
    </row>
    <row r="117">
      <c r="B117" s="20">
        <f>IF('Guest List'!$B117="","",'Guest List'!$B117)</f>
        <v/>
      </c>
      <c r="C117" s="36" t="n"/>
      <c r="D117" s="47" t="n"/>
      <c r="E117" s="47" t="n"/>
      <c r="F117" s="33">
        <f>IF($E117&lt;&gt;"","Sent",IF($C117&lt;&gt;"","To write",""))</f>
        <v/>
      </c>
      <c r="G117" s="36" t="n"/>
    </row>
    <row r="118">
      <c r="B118" s="20">
        <f>IF('Guest List'!$B118="","",'Guest List'!$B118)</f>
        <v/>
      </c>
      <c r="C118" s="36" t="n"/>
      <c r="D118" s="47" t="n"/>
      <c r="E118" s="47" t="n"/>
      <c r="F118" s="33">
        <f>IF($E118&lt;&gt;"","Sent",IF($C118&lt;&gt;"","To write",""))</f>
        <v/>
      </c>
      <c r="G118" s="36" t="n"/>
    </row>
    <row r="119">
      <c r="B119" s="20">
        <f>IF('Guest List'!$B119="","",'Guest List'!$B119)</f>
        <v/>
      </c>
      <c r="C119" s="36" t="n"/>
      <c r="D119" s="47" t="n"/>
      <c r="E119" s="47" t="n"/>
      <c r="F119" s="33">
        <f>IF($E119&lt;&gt;"","Sent",IF($C119&lt;&gt;"","To write",""))</f>
        <v/>
      </c>
      <c r="G119" s="36" t="n"/>
    </row>
    <row r="120">
      <c r="B120" s="20">
        <f>IF('Guest List'!$B120="","",'Guest List'!$B120)</f>
        <v/>
      </c>
      <c r="C120" s="36" t="n"/>
      <c r="D120" s="47" t="n"/>
      <c r="E120" s="47" t="n"/>
      <c r="F120" s="33">
        <f>IF($E120&lt;&gt;"","Sent",IF($C120&lt;&gt;"","To write",""))</f>
        <v/>
      </c>
      <c r="G120" s="36" t="n"/>
    </row>
    <row r="121">
      <c r="B121" s="20">
        <f>IF('Guest List'!$B121="","",'Guest List'!$B121)</f>
        <v/>
      </c>
      <c r="C121" s="36" t="n"/>
      <c r="D121" s="47" t="n"/>
      <c r="E121" s="47" t="n"/>
      <c r="F121" s="33">
        <f>IF($E121&lt;&gt;"","Sent",IF($C121&lt;&gt;"","To write",""))</f>
        <v/>
      </c>
      <c r="G121" s="36" t="n"/>
    </row>
    <row r="122">
      <c r="B122" s="20">
        <f>IF('Guest List'!$B122="","",'Guest List'!$B122)</f>
        <v/>
      </c>
      <c r="C122" s="36" t="n"/>
      <c r="D122" s="47" t="n"/>
      <c r="E122" s="47" t="n"/>
      <c r="F122" s="33">
        <f>IF($E122&lt;&gt;"","Sent",IF($C122&lt;&gt;"","To write",""))</f>
        <v/>
      </c>
      <c r="G122" s="36" t="n"/>
    </row>
    <row r="123">
      <c r="B123" s="20">
        <f>IF('Guest List'!$B123="","",'Guest List'!$B123)</f>
        <v/>
      </c>
      <c r="C123" s="36" t="n"/>
      <c r="D123" s="47" t="n"/>
      <c r="E123" s="47" t="n"/>
      <c r="F123" s="33">
        <f>IF($E123&lt;&gt;"","Sent",IF($C123&lt;&gt;"","To write",""))</f>
        <v/>
      </c>
      <c r="G123" s="36" t="n"/>
    </row>
    <row r="124">
      <c r="B124" s="20">
        <f>IF('Guest List'!$B124="","",'Guest List'!$B124)</f>
        <v/>
      </c>
      <c r="C124" s="36" t="n"/>
      <c r="D124" s="47" t="n"/>
      <c r="E124" s="47" t="n"/>
      <c r="F124" s="33">
        <f>IF($E124&lt;&gt;"","Sent",IF($C124&lt;&gt;"","To write",""))</f>
        <v/>
      </c>
      <c r="G124" s="36" t="n"/>
    </row>
    <row r="125">
      <c r="B125" s="20">
        <f>IF('Guest List'!$B125="","",'Guest List'!$B125)</f>
        <v/>
      </c>
      <c r="C125" s="36" t="n"/>
      <c r="D125" s="47" t="n"/>
      <c r="E125" s="47" t="n"/>
      <c r="F125" s="33">
        <f>IF($E125&lt;&gt;"","Sent",IF($C125&lt;&gt;"","To write",""))</f>
        <v/>
      </c>
      <c r="G125" s="36" t="n"/>
    </row>
    <row r="126">
      <c r="B126" s="20">
        <f>IF('Guest List'!$B126="","",'Guest List'!$B126)</f>
        <v/>
      </c>
      <c r="C126" s="36" t="n"/>
      <c r="D126" s="47" t="n"/>
      <c r="E126" s="47" t="n"/>
      <c r="F126" s="33">
        <f>IF($E126&lt;&gt;"","Sent",IF($C126&lt;&gt;"","To write",""))</f>
        <v/>
      </c>
      <c r="G126" s="36" t="n"/>
    </row>
    <row r="127">
      <c r="B127" s="20">
        <f>IF('Guest List'!$B127="","",'Guest List'!$B127)</f>
        <v/>
      </c>
      <c r="C127" s="36" t="n"/>
      <c r="D127" s="47" t="n"/>
      <c r="E127" s="47" t="n"/>
      <c r="F127" s="33">
        <f>IF($E127&lt;&gt;"","Sent",IF($C127&lt;&gt;"","To write",""))</f>
        <v/>
      </c>
      <c r="G127" s="36" t="n"/>
    </row>
    <row r="128">
      <c r="B128" s="20">
        <f>IF('Guest List'!$B128="","",'Guest List'!$B128)</f>
        <v/>
      </c>
      <c r="C128" s="36" t="n"/>
      <c r="D128" s="47" t="n"/>
      <c r="E128" s="47" t="n"/>
      <c r="F128" s="33">
        <f>IF($E128&lt;&gt;"","Sent",IF($C128&lt;&gt;"","To write",""))</f>
        <v/>
      </c>
      <c r="G128" s="36" t="n"/>
    </row>
    <row r="129">
      <c r="B129" s="20">
        <f>IF('Guest List'!$B129="","",'Guest List'!$B129)</f>
        <v/>
      </c>
      <c r="C129" s="36" t="n"/>
      <c r="D129" s="47" t="n"/>
      <c r="E129" s="47" t="n"/>
      <c r="F129" s="33">
        <f>IF($E129&lt;&gt;"","Sent",IF($C129&lt;&gt;"","To write",""))</f>
        <v/>
      </c>
      <c r="G129" s="36" t="n"/>
    </row>
    <row r="130">
      <c r="B130" s="20">
        <f>IF('Guest List'!$B130="","",'Guest List'!$B130)</f>
        <v/>
      </c>
      <c r="C130" s="36" t="n"/>
      <c r="D130" s="47" t="n"/>
      <c r="E130" s="47" t="n"/>
      <c r="F130" s="33">
        <f>IF($E130&lt;&gt;"","Sent",IF($C130&lt;&gt;"","To write",""))</f>
        <v/>
      </c>
      <c r="G130" s="36" t="n"/>
    </row>
    <row r="131">
      <c r="B131" s="20">
        <f>IF('Guest List'!$B131="","",'Guest List'!$B131)</f>
        <v/>
      </c>
      <c r="C131" s="36" t="n"/>
      <c r="D131" s="47" t="n"/>
      <c r="E131" s="47" t="n"/>
      <c r="F131" s="33">
        <f>IF($E131&lt;&gt;"","Sent",IF($C131&lt;&gt;"","To write",""))</f>
        <v/>
      </c>
      <c r="G131" s="36" t="n"/>
    </row>
    <row r="132">
      <c r="B132" s="20">
        <f>IF('Guest List'!$B132="","",'Guest List'!$B132)</f>
        <v/>
      </c>
      <c r="C132" s="36" t="n"/>
      <c r="D132" s="47" t="n"/>
      <c r="E132" s="47" t="n"/>
      <c r="F132" s="33">
        <f>IF($E132&lt;&gt;"","Sent",IF($C132&lt;&gt;"","To write",""))</f>
        <v/>
      </c>
      <c r="G132" s="36" t="n"/>
    </row>
    <row r="133">
      <c r="B133" s="20">
        <f>IF('Guest List'!$B133="","",'Guest List'!$B133)</f>
        <v/>
      </c>
      <c r="C133" s="36" t="n"/>
      <c r="D133" s="47" t="n"/>
      <c r="E133" s="47" t="n"/>
      <c r="F133" s="33">
        <f>IF($E133&lt;&gt;"","Sent",IF($C133&lt;&gt;"","To write",""))</f>
        <v/>
      </c>
      <c r="G133" s="36" t="n"/>
    </row>
    <row r="134">
      <c r="B134" s="20">
        <f>IF('Guest List'!$B134="","",'Guest List'!$B134)</f>
        <v/>
      </c>
      <c r="C134" s="36" t="n"/>
      <c r="D134" s="47" t="n"/>
      <c r="E134" s="47" t="n"/>
      <c r="F134" s="33">
        <f>IF($E134&lt;&gt;"","Sent",IF($C134&lt;&gt;"","To write",""))</f>
        <v/>
      </c>
      <c r="G134" s="36" t="n"/>
    </row>
    <row r="135">
      <c r="B135" s="20">
        <f>IF('Guest List'!$B135="","",'Guest List'!$B135)</f>
        <v/>
      </c>
      <c r="C135" s="36" t="n"/>
      <c r="D135" s="47" t="n"/>
      <c r="E135" s="47" t="n"/>
      <c r="F135" s="33">
        <f>IF($E135&lt;&gt;"","Sent",IF($C135&lt;&gt;"","To write",""))</f>
        <v/>
      </c>
      <c r="G135" s="36" t="n"/>
    </row>
    <row r="136">
      <c r="B136" s="20">
        <f>IF('Guest List'!$B136="","",'Guest List'!$B136)</f>
        <v/>
      </c>
      <c r="C136" s="36" t="n"/>
      <c r="D136" s="47" t="n"/>
      <c r="E136" s="47" t="n"/>
      <c r="F136" s="33">
        <f>IF($E136&lt;&gt;"","Sent",IF($C136&lt;&gt;"","To write",""))</f>
        <v/>
      </c>
      <c r="G136" s="36" t="n"/>
    </row>
    <row r="137">
      <c r="B137" s="20">
        <f>IF('Guest List'!$B137="","",'Guest List'!$B137)</f>
        <v/>
      </c>
      <c r="C137" s="36" t="n"/>
      <c r="D137" s="47" t="n"/>
      <c r="E137" s="47" t="n"/>
      <c r="F137" s="33">
        <f>IF($E137&lt;&gt;"","Sent",IF($C137&lt;&gt;"","To write",""))</f>
        <v/>
      </c>
      <c r="G137" s="36" t="n"/>
    </row>
    <row r="138">
      <c r="B138" s="20">
        <f>IF('Guest List'!$B138="","",'Guest List'!$B138)</f>
        <v/>
      </c>
      <c r="C138" s="36" t="n"/>
      <c r="D138" s="47" t="n"/>
      <c r="E138" s="47" t="n"/>
      <c r="F138" s="33">
        <f>IF($E138&lt;&gt;"","Sent",IF($C138&lt;&gt;"","To write",""))</f>
        <v/>
      </c>
      <c r="G138" s="36" t="n"/>
    </row>
    <row r="139">
      <c r="B139" s="20">
        <f>IF('Guest List'!$B139="","",'Guest List'!$B139)</f>
        <v/>
      </c>
      <c r="C139" s="36" t="n"/>
      <c r="D139" s="47" t="n"/>
      <c r="E139" s="47" t="n"/>
      <c r="F139" s="33">
        <f>IF($E139&lt;&gt;"","Sent",IF($C139&lt;&gt;"","To write",""))</f>
        <v/>
      </c>
      <c r="G139" s="36" t="n"/>
    </row>
    <row r="140">
      <c r="B140" s="20">
        <f>IF('Guest List'!$B140="","",'Guest List'!$B140)</f>
        <v/>
      </c>
      <c r="C140" s="36" t="n"/>
      <c r="D140" s="47" t="n"/>
      <c r="E140" s="47" t="n"/>
      <c r="F140" s="33">
        <f>IF($E140&lt;&gt;"","Sent",IF($C140&lt;&gt;"","To write",""))</f>
        <v/>
      </c>
      <c r="G140" s="36" t="n"/>
    </row>
    <row r="141">
      <c r="B141" s="20">
        <f>IF('Guest List'!$B141="","",'Guest List'!$B141)</f>
        <v/>
      </c>
      <c r="C141" s="36" t="n"/>
      <c r="D141" s="47" t="n"/>
      <c r="E141" s="47" t="n"/>
      <c r="F141" s="33">
        <f>IF($E141&lt;&gt;"","Sent",IF($C141&lt;&gt;"","To write",""))</f>
        <v/>
      </c>
      <c r="G141" s="36" t="n"/>
    </row>
    <row r="142">
      <c r="B142" s="20">
        <f>IF('Guest List'!$B142="","",'Guest List'!$B142)</f>
        <v/>
      </c>
      <c r="C142" s="36" t="n"/>
      <c r="D142" s="47" t="n"/>
      <c r="E142" s="47" t="n"/>
      <c r="F142" s="33">
        <f>IF($E142&lt;&gt;"","Sent",IF($C142&lt;&gt;"","To write",""))</f>
        <v/>
      </c>
      <c r="G142" s="36" t="n"/>
    </row>
    <row r="143">
      <c r="B143" s="20">
        <f>IF('Guest List'!$B143="","",'Guest List'!$B143)</f>
        <v/>
      </c>
      <c r="C143" s="36" t="n"/>
      <c r="D143" s="47" t="n"/>
      <c r="E143" s="47" t="n"/>
      <c r="F143" s="33">
        <f>IF($E143&lt;&gt;"","Sent",IF($C143&lt;&gt;"","To write",""))</f>
        <v/>
      </c>
      <c r="G143" s="36" t="n"/>
    </row>
    <row r="144">
      <c r="B144" s="20">
        <f>IF('Guest List'!$B144="","",'Guest List'!$B144)</f>
        <v/>
      </c>
      <c r="C144" s="36" t="n"/>
      <c r="D144" s="47" t="n"/>
      <c r="E144" s="47" t="n"/>
      <c r="F144" s="33">
        <f>IF($E144&lt;&gt;"","Sent",IF($C144&lt;&gt;"","To write",""))</f>
        <v/>
      </c>
      <c r="G144" s="36" t="n"/>
    </row>
    <row r="145">
      <c r="B145" s="20">
        <f>IF('Guest List'!$B145="","",'Guest List'!$B145)</f>
        <v/>
      </c>
      <c r="C145" s="36" t="n"/>
      <c r="D145" s="47" t="n"/>
      <c r="E145" s="47" t="n"/>
      <c r="F145" s="33">
        <f>IF($E145&lt;&gt;"","Sent",IF($C145&lt;&gt;"","To write",""))</f>
        <v/>
      </c>
      <c r="G145" s="36" t="n"/>
    </row>
    <row r="146">
      <c r="B146" s="20">
        <f>IF('Guest List'!$B146="","",'Guest List'!$B146)</f>
        <v/>
      </c>
      <c r="C146" s="36" t="n"/>
      <c r="D146" s="47" t="n"/>
      <c r="E146" s="47" t="n"/>
      <c r="F146" s="33">
        <f>IF($E146&lt;&gt;"","Sent",IF($C146&lt;&gt;"","To write",""))</f>
        <v/>
      </c>
      <c r="G146" s="36" t="n"/>
    </row>
    <row r="147">
      <c r="B147" s="20">
        <f>IF('Guest List'!$B147="","",'Guest List'!$B147)</f>
        <v/>
      </c>
      <c r="C147" s="36" t="n"/>
      <c r="D147" s="47" t="n"/>
      <c r="E147" s="47" t="n"/>
      <c r="F147" s="33">
        <f>IF($E147&lt;&gt;"","Sent",IF($C147&lt;&gt;"","To write",""))</f>
        <v/>
      </c>
      <c r="G147" s="36" t="n"/>
    </row>
    <row r="148">
      <c r="B148" s="20">
        <f>IF('Guest List'!$B148="","",'Guest List'!$B148)</f>
        <v/>
      </c>
      <c r="C148" s="36" t="n"/>
      <c r="D148" s="47" t="n"/>
      <c r="E148" s="47" t="n"/>
      <c r="F148" s="33">
        <f>IF($E148&lt;&gt;"","Sent",IF($C148&lt;&gt;"","To write",""))</f>
        <v/>
      </c>
      <c r="G148" s="36" t="n"/>
    </row>
    <row r="149">
      <c r="B149" s="20">
        <f>IF('Guest List'!$B149="","",'Guest List'!$B149)</f>
        <v/>
      </c>
      <c r="C149" s="36" t="n"/>
      <c r="D149" s="47" t="n"/>
      <c r="E149" s="47" t="n"/>
      <c r="F149" s="33">
        <f>IF($E149&lt;&gt;"","Sent",IF($C149&lt;&gt;"","To write",""))</f>
        <v/>
      </c>
      <c r="G149" s="36" t="n"/>
    </row>
    <row r="150">
      <c r="B150" s="20">
        <f>IF('Guest List'!$B150="","",'Guest List'!$B150)</f>
        <v/>
      </c>
      <c r="C150" s="36" t="n"/>
      <c r="D150" s="47" t="n"/>
      <c r="E150" s="47" t="n"/>
      <c r="F150" s="33">
        <f>IF($E150&lt;&gt;"","Sent",IF($C150&lt;&gt;"","To write",""))</f>
        <v/>
      </c>
      <c r="G150" s="36" t="n"/>
    </row>
    <row r="151">
      <c r="B151" s="20">
        <f>IF('Guest List'!$B151="","",'Guest List'!$B151)</f>
        <v/>
      </c>
      <c r="C151" s="36" t="n"/>
      <c r="D151" s="47" t="n"/>
      <c r="E151" s="47" t="n"/>
      <c r="F151" s="33">
        <f>IF($E151&lt;&gt;"","Sent",IF($C151&lt;&gt;"","To write",""))</f>
        <v/>
      </c>
      <c r="G151" s="36" t="n"/>
    </row>
    <row r="152">
      <c r="B152" s="20">
        <f>IF('Guest List'!$B152="","",'Guest List'!$B152)</f>
        <v/>
      </c>
      <c r="C152" s="36" t="n"/>
      <c r="D152" s="47" t="n"/>
      <c r="E152" s="47" t="n"/>
      <c r="F152" s="33">
        <f>IF($E152&lt;&gt;"","Sent",IF($C152&lt;&gt;"","To write",""))</f>
        <v/>
      </c>
      <c r="G152" s="36" t="n"/>
    </row>
    <row r="153">
      <c r="B153" s="20">
        <f>IF('Guest List'!$B153="","",'Guest List'!$B153)</f>
        <v/>
      </c>
      <c r="C153" s="36" t="n"/>
      <c r="D153" s="47" t="n"/>
      <c r="E153" s="47" t="n"/>
      <c r="F153" s="33">
        <f>IF($E153&lt;&gt;"","Sent",IF($C153&lt;&gt;"","To write",""))</f>
        <v/>
      </c>
      <c r="G153" s="36" t="n"/>
    </row>
    <row r="154">
      <c r="B154" s="20">
        <f>IF('Guest List'!$B154="","",'Guest List'!$B154)</f>
        <v/>
      </c>
      <c r="C154" s="36" t="n"/>
      <c r="D154" s="47" t="n"/>
      <c r="E154" s="47" t="n"/>
      <c r="F154" s="33">
        <f>IF($E154&lt;&gt;"","Sent",IF($C154&lt;&gt;"","To write",""))</f>
        <v/>
      </c>
      <c r="G154" s="36" t="n"/>
    </row>
    <row r="155">
      <c r="B155" s="20">
        <f>IF('Guest List'!$B155="","",'Guest List'!$B155)</f>
        <v/>
      </c>
      <c r="C155" s="36" t="n"/>
      <c r="D155" s="47" t="n"/>
      <c r="E155" s="47" t="n"/>
      <c r="F155" s="33">
        <f>IF($E155&lt;&gt;"","Sent",IF($C155&lt;&gt;"","To write",""))</f>
        <v/>
      </c>
      <c r="G155" s="36" t="n"/>
    </row>
    <row r="156">
      <c r="B156" s="20">
        <f>IF('Guest List'!$B156="","",'Guest List'!$B156)</f>
        <v/>
      </c>
      <c r="C156" s="36" t="n"/>
      <c r="D156" s="47" t="n"/>
      <c r="E156" s="47" t="n"/>
      <c r="F156" s="33">
        <f>IF($E156&lt;&gt;"","Sent",IF($C156&lt;&gt;"","To write",""))</f>
        <v/>
      </c>
      <c r="G156" s="36" t="n"/>
    </row>
    <row r="157">
      <c r="B157" s="20">
        <f>IF('Guest List'!$B157="","",'Guest List'!$B157)</f>
        <v/>
      </c>
      <c r="C157" s="36" t="n"/>
      <c r="D157" s="47" t="n"/>
      <c r="E157" s="47" t="n"/>
      <c r="F157" s="33">
        <f>IF($E157&lt;&gt;"","Sent",IF($C157&lt;&gt;"","To write",""))</f>
        <v/>
      </c>
      <c r="G157" s="36" t="n"/>
    </row>
    <row r="158">
      <c r="B158" s="20">
        <f>IF('Guest List'!$B158="","",'Guest List'!$B158)</f>
        <v/>
      </c>
      <c r="C158" s="36" t="n"/>
      <c r="D158" s="47" t="n"/>
      <c r="E158" s="47" t="n"/>
      <c r="F158" s="33">
        <f>IF($E158&lt;&gt;"","Sent",IF($C158&lt;&gt;"","To write",""))</f>
        <v/>
      </c>
      <c r="G158" s="36" t="n"/>
    </row>
    <row r="159">
      <c r="B159" s="20">
        <f>IF('Guest List'!$B159="","",'Guest List'!$B159)</f>
        <v/>
      </c>
      <c r="C159" s="36" t="n"/>
      <c r="D159" s="47" t="n"/>
      <c r="E159" s="47" t="n"/>
      <c r="F159" s="33">
        <f>IF($E159&lt;&gt;"","Sent",IF($C159&lt;&gt;"","To write",""))</f>
        <v/>
      </c>
      <c r="G159" s="36" t="n"/>
    </row>
    <row r="160">
      <c r="B160" s="20">
        <f>IF('Guest List'!$B160="","",'Guest List'!$B160)</f>
        <v/>
      </c>
      <c r="C160" s="36" t="n"/>
      <c r="D160" s="47" t="n"/>
      <c r="E160" s="47" t="n"/>
      <c r="F160" s="33">
        <f>IF($E160&lt;&gt;"","Sent",IF($C160&lt;&gt;"","To write",""))</f>
        <v/>
      </c>
      <c r="G160" s="36" t="n"/>
    </row>
    <row r="161">
      <c r="B161" s="20">
        <f>IF('Guest List'!$B161="","",'Guest List'!$B161)</f>
        <v/>
      </c>
      <c r="C161" s="36" t="n"/>
      <c r="D161" s="47" t="n"/>
      <c r="E161" s="47" t="n"/>
      <c r="F161" s="33">
        <f>IF($E161&lt;&gt;"","Sent",IF($C161&lt;&gt;"","To write",""))</f>
        <v/>
      </c>
      <c r="G161" s="36" t="n"/>
    </row>
    <row r="162">
      <c r="B162" s="20">
        <f>IF('Guest List'!$B162="","",'Guest List'!$B162)</f>
        <v/>
      </c>
      <c r="C162" s="36" t="n"/>
      <c r="D162" s="47" t="n"/>
      <c r="E162" s="47" t="n"/>
      <c r="F162" s="33">
        <f>IF($E162&lt;&gt;"","Sent",IF($C162&lt;&gt;"","To write",""))</f>
        <v/>
      </c>
      <c r="G162" s="36" t="n"/>
    </row>
    <row r="163">
      <c r="B163" s="20">
        <f>IF('Guest List'!$B163="","",'Guest List'!$B163)</f>
        <v/>
      </c>
      <c r="C163" s="36" t="n"/>
      <c r="D163" s="47" t="n"/>
      <c r="E163" s="47" t="n"/>
      <c r="F163" s="33">
        <f>IF($E163&lt;&gt;"","Sent",IF($C163&lt;&gt;"","To write",""))</f>
        <v/>
      </c>
      <c r="G163" s="36" t="n"/>
    </row>
    <row r="164">
      <c r="B164" s="20">
        <f>IF('Guest List'!$B164="","",'Guest List'!$B164)</f>
        <v/>
      </c>
      <c r="C164" s="36" t="n"/>
      <c r="D164" s="47" t="n"/>
      <c r="E164" s="47" t="n"/>
      <c r="F164" s="33">
        <f>IF($E164&lt;&gt;"","Sent",IF($C164&lt;&gt;"","To write",""))</f>
        <v/>
      </c>
      <c r="G164" s="36" t="n"/>
    </row>
    <row r="165">
      <c r="B165" s="20">
        <f>IF('Guest List'!$B165="","",'Guest List'!$B165)</f>
        <v/>
      </c>
      <c r="C165" s="36" t="n"/>
      <c r="D165" s="47" t="n"/>
      <c r="E165" s="47" t="n"/>
      <c r="F165" s="33">
        <f>IF($E165&lt;&gt;"","Sent",IF($C165&lt;&gt;"","To write",""))</f>
        <v/>
      </c>
      <c r="G165" s="36" t="n"/>
    </row>
    <row r="166">
      <c r="B166" s="20">
        <f>IF('Guest List'!$B166="","",'Guest List'!$B166)</f>
        <v/>
      </c>
      <c r="C166" s="36" t="n"/>
      <c r="D166" s="47" t="n"/>
      <c r="E166" s="47" t="n"/>
      <c r="F166" s="33">
        <f>IF($E166&lt;&gt;"","Sent",IF($C166&lt;&gt;"","To write",""))</f>
        <v/>
      </c>
      <c r="G166" s="36" t="n"/>
    </row>
    <row r="167">
      <c r="B167" s="20">
        <f>IF('Guest List'!$B167="","",'Guest List'!$B167)</f>
        <v/>
      </c>
      <c r="C167" s="36" t="n"/>
      <c r="D167" s="47" t="n"/>
      <c r="E167" s="47" t="n"/>
      <c r="F167" s="33">
        <f>IF($E167&lt;&gt;"","Sent",IF($C167&lt;&gt;"","To write",""))</f>
        <v/>
      </c>
      <c r="G167" s="36" t="n"/>
    </row>
    <row r="168">
      <c r="B168" s="20">
        <f>IF('Guest List'!$B168="","",'Guest List'!$B168)</f>
        <v/>
      </c>
      <c r="C168" s="36" t="n"/>
      <c r="D168" s="47" t="n"/>
      <c r="E168" s="47" t="n"/>
      <c r="F168" s="33">
        <f>IF($E168&lt;&gt;"","Sent",IF($C168&lt;&gt;"","To write",""))</f>
        <v/>
      </c>
      <c r="G168" s="36" t="n"/>
    </row>
    <row r="169">
      <c r="B169" s="20">
        <f>IF('Guest List'!$B169="","",'Guest List'!$B169)</f>
        <v/>
      </c>
      <c r="C169" s="36" t="n"/>
      <c r="D169" s="47" t="n"/>
      <c r="E169" s="47" t="n"/>
      <c r="F169" s="33">
        <f>IF($E169&lt;&gt;"","Sent",IF($C169&lt;&gt;"","To write",""))</f>
        <v/>
      </c>
      <c r="G169" s="36" t="n"/>
    </row>
    <row r="170">
      <c r="B170" s="20">
        <f>IF('Guest List'!$B170="","",'Guest List'!$B170)</f>
        <v/>
      </c>
      <c r="C170" s="36" t="n"/>
      <c r="D170" s="47" t="n"/>
      <c r="E170" s="47" t="n"/>
      <c r="F170" s="33">
        <f>IF($E170&lt;&gt;"","Sent",IF($C170&lt;&gt;"","To write",""))</f>
        <v/>
      </c>
      <c r="G170" s="36" t="n"/>
    </row>
    <row r="171">
      <c r="B171" s="20">
        <f>IF('Guest List'!$B171="","",'Guest List'!$B171)</f>
        <v/>
      </c>
      <c r="C171" s="36" t="n"/>
      <c r="D171" s="47" t="n"/>
      <c r="E171" s="47" t="n"/>
      <c r="F171" s="33">
        <f>IF($E171&lt;&gt;"","Sent",IF($C171&lt;&gt;"","To write",""))</f>
        <v/>
      </c>
      <c r="G171" s="36" t="n"/>
    </row>
    <row r="172">
      <c r="B172" s="20">
        <f>IF('Guest List'!$B172="","",'Guest List'!$B172)</f>
        <v/>
      </c>
      <c r="C172" s="36" t="n"/>
      <c r="D172" s="47" t="n"/>
      <c r="E172" s="47" t="n"/>
      <c r="F172" s="33">
        <f>IF($E172&lt;&gt;"","Sent",IF($C172&lt;&gt;"","To write",""))</f>
        <v/>
      </c>
      <c r="G172" s="36" t="n"/>
    </row>
    <row r="173">
      <c r="B173" s="20">
        <f>IF('Guest List'!$B173="","",'Guest List'!$B173)</f>
        <v/>
      </c>
      <c r="C173" s="36" t="n"/>
      <c r="D173" s="47" t="n"/>
      <c r="E173" s="47" t="n"/>
      <c r="F173" s="33">
        <f>IF($E173&lt;&gt;"","Sent",IF($C173&lt;&gt;"","To write",""))</f>
        <v/>
      </c>
      <c r="G173" s="36" t="n"/>
    </row>
    <row r="174">
      <c r="B174" s="20">
        <f>IF('Guest List'!$B174="","",'Guest List'!$B174)</f>
        <v/>
      </c>
      <c r="C174" s="36" t="n"/>
      <c r="D174" s="47" t="n"/>
      <c r="E174" s="47" t="n"/>
      <c r="F174" s="33">
        <f>IF($E174&lt;&gt;"","Sent",IF($C174&lt;&gt;"","To write",""))</f>
        <v/>
      </c>
      <c r="G174" s="36" t="n"/>
    </row>
    <row r="175">
      <c r="B175" s="20">
        <f>IF('Guest List'!$B175="","",'Guest List'!$B175)</f>
        <v/>
      </c>
      <c r="C175" s="36" t="n"/>
      <c r="D175" s="47" t="n"/>
      <c r="E175" s="47" t="n"/>
      <c r="F175" s="33">
        <f>IF($E175&lt;&gt;"","Sent",IF($C175&lt;&gt;"","To write",""))</f>
        <v/>
      </c>
      <c r="G175" s="36" t="n"/>
    </row>
    <row r="176">
      <c r="B176" s="20">
        <f>IF('Guest List'!$B176="","",'Guest List'!$B176)</f>
        <v/>
      </c>
      <c r="C176" s="36" t="n"/>
      <c r="D176" s="47" t="n"/>
      <c r="E176" s="47" t="n"/>
      <c r="F176" s="33">
        <f>IF($E176&lt;&gt;"","Sent",IF($C176&lt;&gt;"","To write",""))</f>
        <v/>
      </c>
      <c r="G176" s="36" t="n"/>
    </row>
    <row r="177">
      <c r="B177" s="20">
        <f>IF('Guest List'!$B177="","",'Guest List'!$B177)</f>
        <v/>
      </c>
      <c r="C177" s="36" t="n"/>
      <c r="D177" s="47" t="n"/>
      <c r="E177" s="47" t="n"/>
      <c r="F177" s="33">
        <f>IF($E177&lt;&gt;"","Sent",IF($C177&lt;&gt;"","To write",""))</f>
        <v/>
      </c>
      <c r="G177" s="36" t="n"/>
    </row>
    <row r="178">
      <c r="B178" s="20">
        <f>IF('Guest List'!$B178="","",'Guest List'!$B178)</f>
        <v/>
      </c>
      <c r="C178" s="36" t="n"/>
      <c r="D178" s="47" t="n"/>
      <c r="E178" s="47" t="n"/>
      <c r="F178" s="33">
        <f>IF($E178&lt;&gt;"","Sent",IF($C178&lt;&gt;"","To write",""))</f>
        <v/>
      </c>
      <c r="G178" s="36" t="n"/>
    </row>
    <row r="179">
      <c r="B179" s="20">
        <f>IF('Guest List'!$B179="","",'Guest List'!$B179)</f>
        <v/>
      </c>
      <c r="C179" s="36" t="n"/>
      <c r="D179" s="47" t="n"/>
      <c r="E179" s="47" t="n"/>
      <c r="F179" s="33">
        <f>IF($E179&lt;&gt;"","Sent",IF($C179&lt;&gt;"","To write",""))</f>
        <v/>
      </c>
      <c r="G179" s="36" t="n"/>
    </row>
    <row r="180">
      <c r="B180" s="20">
        <f>IF('Guest List'!$B180="","",'Guest List'!$B180)</f>
        <v/>
      </c>
      <c r="C180" s="36" t="n"/>
      <c r="D180" s="47" t="n"/>
      <c r="E180" s="47" t="n"/>
      <c r="F180" s="33">
        <f>IF($E180&lt;&gt;"","Sent",IF($C180&lt;&gt;"","To write",""))</f>
        <v/>
      </c>
      <c r="G180" s="36" t="n"/>
    </row>
    <row r="181">
      <c r="B181" s="20">
        <f>IF('Guest List'!$B181="","",'Guest List'!$B181)</f>
        <v/>
      </c>
      <c r="C181" s="36" t="n"/>
      <c r="D181" s="47" t="n"/>
      <c r="E181" s="47" t="n"/>
      <c r="F181" s="33">
        <f>IF($E181&lt;&gt;"","Sent",IF($C181&lt;&gt;"","To write",""))</f>
        <v/>
      </c>
      <c r="G181" s="36" t="n"/>
    </row>
    <row r="182">
      <c r="B182" s="20">
        <f>IF('Guest List'!$B182="","",'Guest List'!$B182)</f>
        <v/>
      </c>
      <c r="C182" s="36" t="n"/>
      <c r="D182" s="47" t="n"/>
      <c r="E182" s="47" t="n"/>
      <c r="F182" s="33">
        <f>IF($E182&lt;&gt;"","Sent",IF($C182&lt;&gt;"","To write",""))</f>
        <v/>
      </c>
      <c r="G182" s="36" t="n"/>
    </row>
    <row r="183">
      <c r="B183" s="20">
        <f>IF('Guest List'!$B183="","",'Guest List'!$B183)</f>
        <v/>
      </c>
      <c r="C183" s="36" t="n"/>
      <c r="D183" s="47" t="n"/>
      <c r="E183" s="47" t="n"/>
      <c r="F183" s="33">
        <f>IF($E183&lt;&gt;"","Sent",IF($C183&lt;&gt;"","To write",""))</f>
        <v/>
      </c>
      <c r="G183" s="36" t="n"/>
    </row>
    <row r="184">
      <c r="B184" s="20">
        <f>IF('Guest List'!$B184="","",'Guest List'!$B184)</f>
        <v/>
      </c>
      <c r="C184" s="36" t="n"/>
      <c r="D184" s="47" t="n"/>
      <c r="E184" s="47" t="n"/>
      <c r="F184" s="33">
        <f>IF($E184&lt;&gt;"","Sent",IF($C184&lt;&gt;"","To write",""))</f>
        <v/>
      </c>
      <c r="G184" s="36" t="n"/>
    </row>
    <row r="185">
      <c r="B185" s="20">
        <f>IF('Guest List'!$B185="","",'Guest List'!$B185)</f>
        <v/>
      </c>
      <c r="C185" s="36" t="n"/>
      <c r="D185" s="47" t="n"/>
      <c r="E185" s="47" t="n"/>
      <c r="F185" s="33">
        <f>IF($E185&lt;&gt;"","Sent",IF($C185&lt;&gt;"","To write",""))</f>
        <v/>
      </c>
      <c r="G185" s="36" t="n"/>
    </row>
    <row r="186">
      <c r="B186" s="20">
        <f>IF('Guest List'!$B186="","",'Guest List'!$B186)</f>
        <v/>
      </c>
      <c r="C186" s="36" t="n"/>
      <c r="D186" s="47" t="n"/>
      <c r="E186" s="47" t="n"/>
      <c r="F186" s="33">
        <f>IF($E186&lt;&gt;"","Sent",IF($C186&lt;&gt;"","To write",""))</f>
        <v/>
      </c>
      <c r="G186" s="36" t="n"/>
    </row>
    <row r="187">
      <c r="B187" s="20">
        <f>IF('Guest List'!$B187="","",'Guest List'!$B187)</f>
        <v/>
      </c>
      <c r="C187" s="36" t="n"/>
      <c r="D187" s="47" t="n"/>
      <c r="E187" s="47" t="n"/>
      <c r="F187" s="33">
        <f>IF($E187&lt;&gt;"","Sent",IF($C187&lt;&gt;"","To write",""))</f>
        <v/>
      </c>
      <c r="G187" s="36" t="n"/>
    </row>
    <row r="188">
      <c r="B188" s="20">
        <f>IF('Guest List'!$B188="","",'Guest List'!$B188)</f>
        <v/>
      </c>
      <c r="C188" s="36" t="n"/>
      <c r="D188" s="47" t="n"/>
      <c r="E188" s="47" t="n"/>
      <c r="F188" s="33">
        <f>IF($E188&lt;&gt;"","Sent",IF($C188&lt;&gt;"","To write",""))</f>
        <v/>
      </c>
      <c r="G188" s="36" t="n"/>
    </row>
    <row r="189">
      <c r="B189" s="20">
        <f>IF('Guest List'!$B189="","",'Guest List'!$B189)</f>
        <v/>
      </c>
      <c r="C189" s="36" t="n"/>
      <c r="D189" s="47" t="n"/>
      <c r="E189" s="47" t="n"/>
      <c r="F189" s="33">
        <f>IF($E189&lt;&gt;"","Sent",IF($C189&lt;&gt;"","To write",""))</f>
        <v/>
      </c>
      <c r="G189" s="36" t="n"/>
    </row>
    <row r="190">
      <c r="B190" s="20">
        <f>IF('Guest List'!$B190="","",'Guest List'!$B190)</f>
        <v/>
      </c>
      <c r="C190" s="36" t="n"/>
      <c r="D190" s="47" t="n"/>
      <c r="E190" s="47" t="n"/>
      <c r="F190" s="33">
        <f>IF($E190&lt;&gt;"","Sent",IF($C190&lt;&gt;"","To write",""))</f>
        <v/>
      </c>
      <c r="G190" s="36" t="n"/>
    </row>
    <row r="191">
      <c r="B191" s="20">
        <f>IF('Guest List'!$B191="","",'Guest List'!$B191)</f>
        <v/>
      </c>
      <c r="C191" s="36" t="n"/>
      <c r="D191" s="47" t="n"/>
      <c r="E191" s="47" t="n"/>
      <c r="F191" s="33">
        <f>IF($E191&lt;&gt;"","Sent",IF($C191&lt;&gt;"","To write",""))</f>
        <v/>
      </c>
      <c r="G191" s="36" t="n"/>
    </row>
    <row r="192">
      <c r="B192" s="20">
        <f>IF('Guest List'!$B192="","",'Guest List'!$B192)</f>
        <v/>
      </c>
      <c r="C192" s="36" t="n"/>
      <c r="D192" s="47" t="n"/>
      <c r="E192" s="47" t="n"/>
      <c r="F192" s="33">
        <f>IF($E192&lt;&gt;"","Sent",IF($C192&lt;&gt;"","To write",""))</f>
        <v/>
      </c>
      <c r="G192" s="36" t="n"/>
    </row>
    <row r="193">
      <c r="B193" s="20">
        <f>IF('Guest List'!$B193="","",'Guest List'!$B193)</f>
        <v/>
      </c>
      <c r="C193" s="36" t="n"/>
      <c r="D193" s="47" t="n"/>
      <c r="E193" s="47" t="n"/>
      <c r="F193" s="33">
        <f>IF($E193&lt;&gt;"","Sent",IF($C193&lt;&gt;"","To write",""))</f>
        <v/>
      </c>
      <c r="G193" s="36" t="n"/>
    </row>
    <row r="194">
      <c r="B194" s="20">
        <f>IF('Guest List'!$B194="","",'Guest List'!$B194)</f>
        <v/>
      </c>
      <c r="C194" s="36" t="n"/>
      <c r="D194" s="47" t="n"/>
      <c r="E194" s="47" t="n"/>
      <c r="F194" s="33">
        <f>IF($E194&lt;&gt;"","Sent",IF($C194&lt;&gt;"","To write",""))</f>
        <v/>
      </c>
      <c r="G194" s="36" t="n"/>
    </row>
    <row r="195">
      <c r="B195" s="20">
        <f>IF('Guest List'!$B195="","",'Guest List'!$B195)</f>
        <v/>
      </c>
      <c r="C195" s="36" t="n"/>
      <c r="D195" s="47" t="n"/>
      <c r="E195" s="47" t="n"/>
      <c r="F195" s="33">
        <f>IF($E195&lt;&gt;"","Sent",IF($C195&lt;&gt;"","To write",""))</f>
        <v/>
      </c>
      <c r="G195" s="36" t="n"/>
    </row>
    <row r="196">
      <c r="B196" s="20">
        <f>IF('Guest List'!$B196="","",'Guest List'!$B196)</f>
        <v/>
      </c>
      <c r="C196" s="36" t="n"/>
      <c r="D196" s="47" t="n"/>
      <c r="E196" s="47" t="n"/>
      <c r="F196" s="33">
        <f>IF($E196&lt;&gt;"","Sent",IF($C196&lt;&gt;"","To write",""))</f>
        <v/>
      </c>
      <c r="G196" s="36" t="n"/>
    </row>
    <row r="197">
      <c r="B197" s="20">
        <f>IF('Guest List'!$B197="","",'Guest List'!$B197)</f>
        <v/>
      </c>
      <c r="C197" s="36" t="n"/>
      <c r="D197" s="47" t="n"/>
      <c r="E197" s="47" t="n"/>
      <c r="F197" s="33">
        <f>IF($E197&lt;&gt;"","Sent",IF($C197&lt;&gt;"","To write",""))</f>
        <v/>
      </c>
      <c r="G197" s="36" t="n"/>
    </row>
    <row r="198">
      <c r="B198" s="20">
        <f>IF('Guest List'!$B198="","",'Guest List'!$B198)</f>
        <v/>
      </c>
      <c r="C198" s="36" t="n"/>
      <c r="D198" s="47" t="n"/>
      <c r="E198" s="47" t="n"/>
      <c r="F198" s="33">
        <f>IF($E198&lt;&gt;"","Sent",IF($C198&lt;&gt;"","To write",""))</f>
        <v/>
      </c>
      <c r="G198" s="36" t="n"/>
    </row>
    <row r="199">
      <c r="B199" s="20">
        <f>IF('Guest List'!$B199="","",'Guest List'!$B199)</f>
        <v/>
      </c>
      <c r="C199" s="36" t="n"/>
      <c r="D199" s="47" t="n"/>
      <c r="E199" s="47" t="n"/>
      <c r="F199" s="33">
        <f>IF($E199&lt;&gt;"","Sent",IF($C199&lt;&gt;"","To write",""))</f>
        <v/>
      </c>
      <c r="G199" s="36" t="n"/>
    </row>
    <row r="200">
      <c r="B200" s="20">
        <f>IF('Guest List'!$B200="","",'Guest List'!$B200)</f>
        <v/>
      </c>
      <c r="C200" s="36" t="n"/>
      <c r="D200" s="47" t="n"/>
      <c r="E200" s="47" t="n"/>
      <c r="F200" s="33">
        <f>IF($E200&lt;&gt;"","Sent",IF($C200&lt;&gt;"","To write",""))</f>
        <v/>
      </c>
      <c r="G200" s="36" t="n"/>
    </row>
    <row r="201">
      <c r="B201" s="20">
        <f>IF('Guest List'!$B201="","",'Guest List'!$B201)</f>
        <v/>
      </c>
      <c r="C201" s="36" t="n"/>
      <c r="D201" s="47" t="n"/>
      <c r="E201" s="47" t="n"/>
      <c r="F201" s="33">
        <f>IF($E201&lt;&gt;"","Sent",IF($C201&lt;&gt;"","To write",""))</f>
        <v/>
      </c>
      <c r="G201" s="36" t="n"/>
    </row>
    <row r="202">
      <c r="B202" s="20">
        <f>IF('Guest List'!$B202="","",'Guest List'!$B202)</f>
        <v/>
      </c>
      <c r="C202" s="36" t="n"/>
      <c r="D202" s="47" t="n"/>
      <c r="E202" s="47" t="n"/>
      <c r="F202" s="33">
        <f>IF($E202&lt;&gt;"","Sent",IF($C202&lt;&gt;"","To write",""))</f>
        <v/>
      </c>
      <c r="G202" s="36" t="n"/>
    </row>
    <row r="203">
      <c r="B203" s="20">
        <f>IF('Guest List'!$B203="","",'Guest List'!$B203)</f>
        <v/>
      </c>
      <c r="C203" s="36" t="n"/>
      <c r="D203" s="47" t="n"/>
      <c r="E203" s="47" t="n"/>
      <c r="F203" s="33">
        <f>IF($E203&lt;&gt;"","Sent",IF($C203&lt;&gt;"","To write",""))</f>
        <v/>
      </c>
      <c r="G203" s="36" t="n"/>
    </row>
    <row r="204">
      <c r="B204" s="20">
        <f>IF('Guest List'!$B204="","",'Guest List'!$B204)</f>
        <v/>
      </c>
      <c r="C204" s="36" t="n"/>
      <c r="D204" s="47" t="n"/>
      <c r="E204" s="47" t="n"/>
      <c r="F204" s="33">
        <f>IF($E204&lt;&gt;"","Sent",IF($C204&lt;&gt;"","To write",""))</f>
        <v/>
      </c>
      <c r="G204" s="36" t="n"/>
    </row>
    <row r="205">
      <c r="B205" s="20">
        <f>IF('Guest List'!$B205="","",'Guest List'!$B205)</f>
        <v/>
      </c>
      <c r="C205" s="36" t="n"/>
      <c r="D205" s="47" t="n"/>
      <c r="E205" s="47" t="n"/>
      <c r="F205" s="33">
        <f>IF($E205&lt;&gt;"","Sent",IF($C205&lt;&gt;"","To write",""))</f>
        <v/>
      </c>
      <c r="G205" s="36" t="n"/>
    </row>
    <row r="206">
      <c r="B206" s="20">
        <f>IF('Guest List'!$B206="","",'Guest List'!$B206)</f>
        <v/>
      </c>
      <c r="C206" s="36" t="n"/>
      <c r="D206" s="47" t="n"/>
      <c r="E206" s="47" t="n"/>
      <c r="F206" s="33">
        <f>IF($E206&lt;&gt;"","Sent",IF($C206&lt;&gt;"","To write",""))</f>
        <v/>
      </c>
      <c r="G206" s="36" t="n"/>
    </row>
    <row r="207">
      <c r="B207" s="20">
        <f>IF('Guest List'!$B207="","",'Guest List'!$B207)</f>
        <v/>
      </c>
      <c r="C207" s="36" t="n"/>
      <c r="D207" s="47" t="n"/>
      <c r="E207" s="47" t="n"/>
      <c r="F207" s="33">
        <f>IF($E207&lt;&gt;"","Sent",IF($C207&lt;&gt;"","To write",""))</f>
        <v/>
      </c>
      <c r="G207" s="36" t="n"/>
    </row>
    <row r="208">
      <c r="B208" s="20">
        <f>IF('Guest List'!$B208="","",'Guest List'!$B208)</f>
        <v/>
      </c>
      <c r="C208" s="36" t="n"/>
      <c r="D208" s="47" t="n"/>
      <c r="E208" s="47" t="n"/>
      <c r="F208" s="33">
        <f>IF($E208&lt;&gt;"","Sent",IF($C208&lt;&gt;"","To write",""))</f>
        <v/>
      </c>
      <c r="G208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G208"/>
  <mergeCells count="2">
    <mergeCell ref="B2:G2"/>
    <mergeCell ref="B1:G1"/>
  </mergeCells>
  <conditionalFormatting sqref="F9:F208">
    <cfRule type="cellIs" priority="1" operator="equal" dxfId="0">
      <formula>"Sent"</formula>
    </cfRule>
    <cfRule type="cellIs" priority="2" operator="equal" dxfId="1">
      <formula>"To write"</formula>
    </cfRule>
  </conditionalFormatting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tabColor rgb="007FA6A0"/>
    <outlinePr summaryBelow="1" summaryRight="1"/>
    <pageSetUpPr fitToPage="1"/>
  </sheetPr>
  <dimension ref="B1:H25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0" customWidth="1" min="2" max="2"/>
    <col width="24" customWidth="1" min="3" max="3"/>
    <col width="26" customWidth="1" min="4" max="4"/>
    <col width="14" customWidth="1" min="5" max="5"/>
    <col width="14" customWidth="1" min="6" max="6"/>
    <col width="16" customWidth="1" min="7" max="7"/>
    <col width="18" customWidth="1" min="8" max="8"/>
  </cols>
  <sheetData>
    <row r="1" ht="30" customHeight="1">
      <c r="B1" s="1" t="inlineStr">
        <is>
          <t>🛒  REGISTRY CHECKLIST</t>
        </is>
      </c>
      <c r="C1" s="2" t="n"/>
      <c r="D1" s="2" t="n"/>
      <c r="E1" s="2" t="n"/>
      <c r="F1" s="2" t="n"/>
      <c r="G1" s="2" t="n"/>
      <c r="H1" s="3" t="n"/>
    </row>
    <row r="2" ht="15" customHeight="1">
      <c r="B2" s="4" t="inlineStr">
        <is>
          <t>Stores, items &amp; purchased status</t>
        </is>
      </c>
      <c r="C2" s="2" t="n"/>
      <c r="D2" s="2" t="n"/>
      <c r="E2" s="2" t="n"/>
      <c r="F2" s="2" t="n"/>
      <c r="G2" s="2" t="n"/>
      <c r="H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Store</t>
        </is>
      </c>
      <c r="C8" s="35" t="inlineStr">
        <is>
          <t>Registry link</t>
        </is>
      </c>
      <c r="D8" s="35" t="inlineStr">
        <is>
          <t>Item</t>
        </is>
      </c>
      <c r="E8" s="35" t="inlineStr">
        <is>
          <t>Price</t>
        </is>
      </c>
      <c r="F8" s="35" t="inlineStr">
        <is>
          <t>Purchased?</t>
        </is>
      </c>
      <c r="G8" s="35" t="inlineStr">
        <is>
          <t>Purchased by</t>
        </is>
      </c>
      <c r="H8" s="35" t="inlineStr">
        <is>
          <t>Notes</t>
        </is>
      </c>
    </row>
    <row r="9">
      <c r="B9" s="36" t="inlineStr">
        <is>
          <t>Crate &amp; Barrel</t>
        </is>
      </c>
      <c r="C9" s="36" t="inlineStr">
        <is>
          <t>crateandbarrel.com/registry</t>
        </is>
      </c>
      <c r="D9" s="36" t="inlineStr">
        <is>
          <t>Stand mixer</t>
        </is>
      </c>
      <c r="E9" s="45" t="n">
        <v>380</v>
      </c>
      <c r="F9" s="27" t="n"/>
      <c r="G9" s="36" t="n"/>
      <c r="H9" s="36" t="n"/>
    </row>
    <row r="10">
      <c r="B10" s="36" t="inlineStr">
        <is>
          <t>Crate &amp; Barrel</t>
        </is>
      </c>
      <c r="C10" s="36" t="inlineStr">
        <is>
          <t>crateandbarrel.com/registry</t>
        </is>
      </c>
      <c r="D10" s="36" t="inlineStr">
        <is>
          <t>Dinnerware set</t>
        </is>
      </c>
      <c r="E10" s="45" t="n">
        <v>210</v>
      </c>
      <c r="F10" s="27" t="n"/>
      <c r="G10" s="36" t="n"/>
      <c r="H10" s="36" t="n"/>
    </row>
    <row r="11">
      <c r="B11" s="36" t="inlineStr">
        <is>
          <t>Crate &amp; Barrel</t>
        </is>
      </c>
      <c r="C11" s="36" t="inlineStr">
        <is>
          <t>crateandbarrel.com/registry</t>
        </is>
      </c>
      <c r="D11" s="36" t="inlineStr">
        <is>
          <t>Bedding set</t>
        </is>
      </c>
      <c r="E11" s="45" t="n">
        <v>160</v>
      </c>
      <c r="F11" s="27" t="n"/>
      <c r="G11" s="36" t="n"/>
      <c r="H11" s="36" t="n"/>
    </row>
    <row r="12">
      <c r="B12" s="36" t="inlineStr">
        <is>
          <t>Amazon</t>
        </is>
      </c>
      <c r="C12" s="36" t="inlineStr">
        <is>
          <t>amazon.com/wedding</t>
        </is>
      </c>
      <c r="D12" s="36" t="inlineStr">
        <is>
          <t>Crystal decanter</t>
        </is>
      </c>
      <c r="E12" s="45" t="n">
        <v>70</v>
      </c>
      <c r="F12" s="27" t="n"/>
      <c r="G12" s="36" t="n"/>
      <c r="H12" s="36" t="n"/>
    </row>
    <row r="13">
      <c r="B13" s="36" t="inlineStr">
        <is>
          <t>Amazon</t>
        </is>
      </c>
      <c r="C13" s="36" t="inlineStr">
        <is>
          <t>amazon.com/wedding</t>
        </is>
      </c>
      <c r="D13" s="36" t="inlineStr">
        <is>
          <t>Robot vacuum</t>
        </is>
      </c>
      <c r="E13" s="45" t="n">
        <v>400</v>
      </c>
      <c r="F13" s="27" t="n"/>
      <c r="G13" s="36" t="n"/>
      <c r="H13" s="36" t="n"/>
    </row>
    <row r="14">
      <c r="B14" s="36" t="inlineStr">
        <is>
          <t>Honeymoon fund</t>
        </is>
      </c>
      <c r="C14" s="36" t="inlineStr">
        <is>
          <t>our-wedding-website.com</t>
        </is>
      </c>
      <c r="D14" s="36" t="inlineStr">
        <is>
          <t>Experiences fund</t>
        </is>
      </c>
      <c r="E14" s="45" t="n"/>
      <c r="F14" s="27" t="n"/>
      <c r="G14" s="36" t="n"/>
      <c r="H14" s="36" t="n"/>
    </row>
    <row r="15">
      <c r="B15" s="36" t="n"/>
      <c r="C15" s="36" t="n"/>
      <c r="D15" s="36" t="n"/>
      <c r="E15" s="45" t="n"/>
      <c r="F15" s="27" t="n"/>
      <c r="G15" s="36" t="n"/>
      <c r="H15" s="36" t="n"/>
    </row>
    <row r="16">
      <c r="B16" s="36" t="n"/>
      <c r="C16" s="36" t="n"/>
      <c r="D16" s="36" t="n"/>
      <c r="E16" s="45" t="n"/>
      <c r="F16" s="27" t="n"/>
      <c r="G16" s="36" t="n"/>
      <c r="H16" s="36" t="n"/>
    </row>
    <row r="17">
      <c r="B17" s="36" t="n"/>
      <c r="C17" s="36" t="n"/>
      <c r="D17" s="36" t="n"/>
      <c r="E17" s="45" t="n"/>
      <c r="F17" s="27" t="n"/>
      <c r="G17" s="36" t="n"/>
      <c r="H17" s="36" t="n"/>
    </row>
    <row r="18">
      <c r="B18" s="36" t="n"/>
      <c r="C18" s="36" t="n"/>
      <c r="D18" s="36" t="n"/>
      <c r="E18" s="45" t="n"/>
      <c r="F18" s="27" t="n"/>
      <c r="G18" s="36" t="n"/>
      <c r="H18" s="36" t="n"/>
    </row>
    <row r="19">
      <c r="B19" s="36" t="n"/>
      <c r="C19" s="36" t="n"/>
      <c r="D19" s="36" t="n"/>
      <c r="E19" s="45" t="n"/>
      <c r="F19" s="27" t="n"/>
      <c r="G19" s="36" t="n"/>
      <c r="H19" s="36" t="n"/>
    </row>
    <row r="20">
      <c r="B20" s="36" t="n"/>
      <c r="C20" s="36" t="n"/>
      <c r="D20" s="36" t="n"/>
      <c r="E20" s="45" t="n"/>
      <c r="F20" s="27" t="n"/>
      <c r="G20" s="36" t="n"/>
      <c r="H20" s="36" t="n"/>
    </row>
    <row r="21">
      <c r="B21" s="36" t="n"/>
      <c r="C21" s="36" t="n"/>
      <c r="D21" s="36" t="n"/>
      <c r="E21" s="45" t="n"/>
      <c r="F21" s="27" t="n"/>
      <c r="G21" s="36" t="n"/>
      <c r="H21" s="36" t="n"/>
    </row>
    <row r="22">
      <c r="B22" s="36" t="n"/>
      <c r="C22" s="36" t="n"/>
      <c r="D22" s="36" t="n"/>
      <c r="E22" s="45" t="n"/>
      <c r="F22" s="27" t="n"/>
      <c r="G22" s="36" t="n"/>
      <c r="H22" s="36" t="n"/>
    </row>
    <row r="23">
      <c r="B23" s="36" t="n"/>
      <c r="C23" s="36" t="n"/>
      <c r="D23" s="36" t="n"/>
      <c r="E23" s="45" t="n"/>
      <c r="F23" s="27" t="n"/>
      <c r="G23" s="36" t="n"/>
      <c r="H23" s="36" t="n"/>
    </row>
    <row r="24">
      <c r="B24" s="36" t="n"/>
      <c r="C24" s="36" t="n"/>
      <c r="D24" s="36" t="n"/>
      <c r="E24" s="45" t="n"/>
      <c r="F24" s="27" t="n"/>
      <c r="G24" s="36" t="n"/>
      <c r="H24" s="36" t="n"/>
    </row>
    <row r="25">
      <c r="B25" s="42" t="inlineStr">
        <is>
          <t>TOTAL VALUE</t>
        </is>
      </c>
      <c r="C25" s="42" t="n"/>
      <c r="D25" s="42" t="n"/>
      <c r="E25" s="46">
        <f>SUM(E9:E24)</f>
        <v/>
      </c>
      <c r="F25" s="42" t="n"/>
      <c r="G25" s="42" t="n"/>
      <c r="H25" s="4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H24"/>
  <mergeCells count="2">
    <mergeCell ref="B1:H1"/>
    <mergeCell ref="B2:H2"/>
  </mergeCells>
  <dataValidations count="1">
    <dataValidation sqref="F9:F24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tabColor rgb="007FA6A0"/>
    <outlinePr summaryBelow="1" summaryRight="1"/>
    <pageSetUpPr fitToPage="1"/>
  </sheetPr>
  <dimension ref="B1:F35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B1" s="1" t="inlineStr">
        <is>
          <t>✍️  VOW WRITING WORKSHEET</t>
        </is>
      </c>
      <c r="C1" s="2" t="n"/>
      <c r="D1" s="2" t="n"/>
      <c r="E1" s="2" t="n"/>
      <c r="F1" s="3" t="n"/>
    </row>
    <row r="2" ht="15" customHeight="1">
      <c r="B2" s="4" t="inlineStr">
        <is>
          <t>Answer honestly — then shape these into your vows</t>
        </is>
      </c>
      <c r="C2" s="2" t="n"/>
      <c r="D2" s="2" t="n"/>
      <c r="E2" s="2" t="n"/>
      <c r="F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5">
      <c r="B5" s="8" t="inlineStr">
        <is>
          <t>1. How we met &amp; my first impression</t>
        </is>
      </c>
    </row>
    <row r="6">
      <c r="B6" s="39" t="inlineStr">
        <is>
          <t>It was a rainy Tuesday and the coffee shop had one table left…</t>
        </is>
      </c>
      <c r="C6" s="40" t="n"/>
      <c r="D6" s="40" t="n"/>
      <c r="E6" s="40" t="n"/>
      <c r="F6" s="40" t="n"/>
    </row>
    <row r="7">
      <c r="B7" s="40" t="n"/>
      <c r="C7" s="40" t="n"/>
      <c r="D7" s="40" t="n"/>
      <c r="E7" s="40" t="n"/>
      <c r="F7" s="40" t="n"/>
    </row>
    <row r="8">
      <c r="B8" s="40" t="n"/>
      <c r="C8" s="40" t="n"/>
      <c r="D8" s="40" t="n"/>
      <c r="E8" s="40" t="n"/>
      <c r="F8" s="40" t="n"/>
    </row>
    <row r="10">
      <c r="B10" s="8" t="inlineStr">
        <is>
          <t>2. What I love most about you</t>
        </is>
      </c>
    </row>
    <row r="11">
      <c r="B11" s="39" t="inlineStr">
        <is>
          <t>The way you talk to strangers' dogs like old friends…</t>
        </is>
      </c>
      <c r="C11" s="40" t="n"/>
      <c r="D11" s="40" t="n"/>
      <c r="E11" s="40" t="n"/>
      <c r="F11" s="40" t="n"/>
    </row>
    <row r="12">
      <c r="B12" s="40" t="n"/>
      <c r="C12" s="40" t="n"/>
      <c r="D12" s="40" t="n"/>
      <c r="E12" s="40" t="n"/>
      <c r="F12" s="40" t="n"/>
    </row>
    <row r="13">
      <c r="B13" s="40" t="n"/>
      <c r="C13" s="40" t="n"/>
      <c r="D13" s="40" t="n"/>
      <c r="E13" s="40" t="n"/>
      <c r="F13" s="40" t="n"/>
    </row>
    <row r="15">
      <c r="B15" s="8" t="inlineStr">
        <is>
          <t>3. The exact moment I knew</t>
        </is>
      </c>
    </row>
    <row r="16">
      <c r="B16" s="39" t="n"/>
      <c r="C16" s="40" t="n"/>
      <c r="D16" s="40" t="n"/>
      <c r="E16" s="40" t="n"/>
      <c r="F16" s="40" t="n"/>
    </row>
    <row r="17">
      <c r="B17" s="40" t="n"/>
      <c r="C17" s="40" t="n"/>
      <c r="D17" s="40" t="n"/>
      <c r="E17" s="40" t="n"/>
      <c r="F17" s="40" t="n"/>
    </row>
    <row r="18">
      <c r="B18" s="40" t="n"/>
      <c r="C18" s="40" t="n"/>
      <c r="D18" s="40" t="n"/>
      <c r="E18" s="40" t="n"/>
      <c r="F18" s="40" t="n"/>
    </row>
    <row r="20">
      <c r="B20" s="8" t="inlineStr">
        <is>
          <t>4. What I promise you (big and small)</t>
        </is>
      </c>
    </row>
    <row r="21">
      <c r="B21" s="39" t="inlineStr">
        <is>
          <t>I promise to always split the last slice…</t>
        </is>
      </c>
      <c r="C21" s="40" t="n"/>
      <c r="D21" s="40" t="n"/>
      <c r="E21" s="40" t="n"/>
      <c r="F21" s="40" t="n"/>
    </row>
    <row r="22">
      <c r="B22" s="40" t="n"/>
      <c r="C22" s="40" t="n"/>
      <c r="D22" s="40" t="n"/>
      <c r="E22" s="40" t="n"/>
      <c r="F22" s="40" t="n"/>
    </row>
    <row r="23">
      <c r="B23" s="40" t="n"/>
      <c r="C23" s="40" t="n"/>
      <c r="D23" s="40" t="n"/>
      <c r="E23" s="40" t="n"/>
      <c r="F23" s="40" t="n"/>
    </row>
    <row r="25">
      <c r="B25" s="8" t="inlineStr">
        <is>
          <t>5. The funny bit — make them laugh</t>
        </is>
      </c>
    </row>
    <row r="26">
      <c r="B26" s="39" t="n"/>
      <c r="C26" s="40" t="n"/>
      <c r="D26" s="40" t="n"/>
      <c r="E26" s="40" t="n"/>
      <c r="F26" s="40" t="n"/>
    </row>
    <row r="27">
      <c r="B27" s="40" t="n"/>
      <c r="C27" s="40" t="n"/>
      <c r="D27" s="40" t="n"/>
      <c r="E27" s="40" t="n"/>
      <c r="F27" s="40" t="n"/>
    </row>
    <row r="28">
      <c r="B28" s="40" t="n"/>
      <c r="C28" s="40" t="n"/>
      <c r="D28" s="40" t="n"/>
      <c r="E28" s="40" t="n"/>
      <c r="F28" s="40" t="n"/>
    </row>
    <row r="30">
      <c r="B30" s="8" t="inlineStr">
        <is>
          <t>6. Our closing line — the vow they'll quote</t>
        </is>
      </c>
    </row>
    <row r="31">
      <c r="B31" s="39" t="n"/>
      <c r="C31" s="40" t="n"/>
      <c r="D31" s="40" t="n"/>
      <c r="E31" s="40" t="n"/>
      <c r="F31" s="40" t="n"/>
    </row>
    <row r="32">
      <c r="B32" s="40" t="n"/>
      <c r="C32" s="40" t="n"/>
      <c r="D32" s="40" t="n"/>
      <c r="E32" s="40" t="n"/>
      <c r="F32" s="40" t="n"/>
    </row>
    <row r="33">
      <c r="B33" s="40" t="n"/>
      <c r="C33" s="40" t="n"/>
      <c r="D33" s="40" t="n"/>
      <c r="E33" s="40" t="n"/>
      <c r="F33" s="40" t="n"/>
    </row>
    <row r="35">
      <c r="B35" s="44" t="inlineStr">
        <is>
          <t>💡  Tip: vows read best at 1–2 minutes each. Read them out loud and cut anything you stumble over.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mergeCells count="8">
    <mergeCell ref="B26:F28"/>
    <mergeCell ref="B21:F23"/>
    <mergeCell ref="B2:F2"/>
    <mergeCell ref="B16:F18"/>
    <mergeCell ref="B11:F13"/>
    <mergeCell ref="B1:F1"/>
    <mergeCell ref="B31:F33"/>
    <mergeCell ref="B6:F8"/>
  </mergeCell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tabColor rgb="007FA6A0"/>
    <outlinePr summaryBelow="1" summaryRight="1"/>
    <pageSetUpPr fitToPage="1"/>
  </sheetPr>
  <dimension ref="B1:E37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30" customWidth="1" min="2" max="2"/>
    <col width="30" customWidth="1" min="3" max="3"/>
    <col width="14" customWidth="1" min="4" max="4"/>
    <col width="24" customWidth="1" min="5" max="5"/>
  </cols>
  <sheetData>
    <row r="1" ht="30" customHeight="1">
      <c r="B1" s="1" t="inlineStr">
        <is>
          <t>#️⃣  WEDDING HASHTAG &amp; SOCIAL PLAN</t>
        </is>
      </c>
      <c r="C1" s="2" t="n"/>
      <c r="D1" s="2" t="n"/>
      <c r="E1" s="3" t="n"/>
    </row>
    <row r="2" ht="15" customHeight="1">
      <c r="B2" s="4" t="inlineStr">
        <is>
          <t>Get taggin'</t>
        </is>
      </c>
      <c r="C2" s="2" t="n"/>
      <c r="D2" s="2" t="n"/>
      <c r="E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5" ht="20" customHeight="1">
      <c r="B5" s="6" t="inlineStr">
        <is>
          <t>THE DETAILS</t>
        </is>
      </c>
      <c r="C5" s="7" t="n"/>
      <c r="D5" s="7" t="n"/>
      <c r="E5" s="7" t="n"/>
    </row>
    <row r="6">
      <c r="B6" s="8" t="inlineStr">
        <is>
          <t>Auto hashtag 🔒</t>
        </is>
      </c>
      <c r="C6" s="20">
        <f>IF(Dashboard!$C$13="","",Dashboard!$C$13)</f>
        <v/>
      </c>
    </row>
    <row r="7">
      <c r="B7" s="8" t="inlineStr">
        <is>
          <t>Partner 1 handle</t>
        </is>
      </c>
      <c r="C7" s="36" t="inlineStr">
        <is>
          <t>@alex.morgan</t>
        </is>
      </c>
    </row>
    <row r="8">
      <c r="B8" s="8" t="inlineStr">
        <is>
          <t>Partner 2 handle</t>
        </is>
      </c>
      <c r="C8" s="36" t="inlineStr">
        <is>
          <t>@jordan.lee</t>
        </is>
      </c>
    </row>
    <row r="9">
      <c r="B9" s="8" t="inlineStr">
        <is>
          <t>Backup / fun hashtags</t>
        </is>
      </c>
      <c r="C9" s="36" t="inlineStr">
        <is>
          <t>#MorganLeeSayIDo  #FinallyFrickinMarried</t>
        </is>
      </c>
      <c r="D9" s="57" t="n"/>
      <c r="E9" s="58" t="n"/>
    </row>
    <row r="11" ht="20" customHeight="1">
      <c r="B11" s="6" t="inlineStr">
        <is>
          <t>HASHTAG IDEAS</t>
        </is>
      </c>
      <c r="C11" s="7" t="n"/>
      <c r="D11" s="7" t="n"/>
      <c r="E11" s="7" t="n"/>
    </row>
    <row r="12" ht="26" customHeight="1">
      <c r="B12" s="35" t="inlineStr">
        <is>
          <t>Hashtag idea</t>
        </is>
      </c>
      <c r="C12" s="35" t="inlineStr">
        <is>
          <t>Where to use</t>
        </is>
      </c>
      <c r="D12" s="35" t="inlineStr">
        <is>
          <t>Notes</t>
        </is>
      </c>
    </row>
    <row r="13">
      <c r="B13" s="36" t="inlineStr">
        <is>
          <t>#MorganLeeSayIDo</t>
        </is>
      </c>
      <c r="C13" s="36" t="inlineStr">
        <is>
          <t>Instagram, TikTok, signage</t>
        </is>
      </c>
      <c r="D13" s="36" t="n"/>
    </row>
    <row r="14">
      <c r="B14" s="36" t="inlineStr">
        <is>
          <t>#TheMorgansGetHitched</t>
        </is>
      </c>
      <c r="C14" s="36" t="inlineStr">
        <is>
          <t>Photo booth prints</t>
        </is>
      </c>
      <c r="D14" s="36" t="n"/>
    </row>
    <row r="15">
      <c r="B15" s="36" t="inlineStr">
        <is>
          <t>#EatDrinkBeMarried</t>
        </is>
      </c>
      <c r="C15" s="36" t="inlineStr">
        <is>
          <t>Late-night snack photos</t>
        </is>
      </c>
      <c r="D15" s="36" t="n"/>
    </row>
    <row r="16">
      <c r="B16" s="36" t="inlineStr">
        <is>
          <t>#AlexAndJordanTakeAmalfi</t>
        </is>
      </c>
      <c r="C16" s="36" t="inlineStr">
        <is>
          <t>Honeymoon spam</t>
        </is>
      </c>
      <c r="D16" s="36" t="n"/>
    </row>
    <row r="17">
      <c r="B17" s="36" t="n"/>
      <c r="C17" s="36" t="n"/>
      <c r="D17" s="36" t="n"/>
    </row>
    <row r="18">
      <c r="B18" s="36" t="n"/>
      <c r="C18" s="36" t="n"/>
      <c r="D18" s="36" t="n"/>
    </row>
    <row r="19">
      <c r="B19" s="36" t="n"/>
      <c r="C19" s="36" t="n"/>
      <c r="D19" s="36" t="n"/>
    </row>
    <row r="20">
      <c r="B20" s="36" t="n"/>
      <c r="C20" s="36" t="n"/>
      <c r="D20" s="36" t="n"/>
    </row>
    <row r="21" ht="20" customHeight="1">
      <c r="B21" s="6" t="inlineStr">
        <is>
          <t>SOCIAL PLAN</t>
        </is>
      </c>
      <c r="C21" s="7" t="n"/>
      <c r="D21" s="7" t="n"/>
      <c r="E21" s="7" t="n"/>
    </row>
    <row r="22" ht="26" customHeight="1">
      <c r="B22" s="35" t="inlineStr">
        <is>
          <t>Platform</t>
        </is>
      </c>
      <c r="C22" s="35" t="inlineStr">
        <is>
          <t>Handle / link</t>
        </is>
      </c>
      <c r="D22" s="35" t="inlineStr">
        <is>
          <t>Plan</t>
        </is>
      </c>
    </row>
    <row r="23">
      <c r="B23" s="36" t="inlineStr">
        <is>
          <t>Instagram</t>
        </is>
      </c>
      <c r="C23" s="36" t="inlineStr">
        <is>
          <t>@alex.morgan</t>
        </is>
      </c>
      <c r="D23" s="36" t="inlineStr">
        <is>
          <t>Teaser post when save-the-dates mail</t>
        </is>
      </c>
    </row>
    <row r="24">
      <c r="B24" s="36" t="inlineStr">
        <is>
          <t>TikTok</t>
        </is>
      </c>
      <c r="C24" s="36" t="inlineStr">
        <is>
          <t>@jordan.lee</t>
        </is>
      </c>
      <c r="D24" s="36" t="inlineStr">
        <is>
          <t>Planning-behind-the-scenes series</t>
        </is>
      </c>
    </row>
    <row r="25">
      <c r="B25" s="36" t="inlineStr">
        <is>
          <t>Facebook group</t>
        </is>
      </c>
      <c r="C25" s="36" t="inlineStr">
        <is>
          <t>Morgan–Lee Wedding</t>
        </is>
      </c>
      <c r="D25" s="36" t="inlineStr">
        <is>
          <t>Guest logistics &amp; carpooling</t>
        </is>
      </c>
    </row>
    <row r="26">
      <c r="B26" s="36" t="inlineStr">
        <is>
          <t>Wedding website</t>
        </is>
      </c>
      <c r="C26" s="36" t="inlineStr">
        <is>
          <t>withjoy.com/morgan-lee</t>
        </is>
      </c>
      <c r="D26" s="36" t="inlineStr">
        <is>
          <t>RSVPs, registry, FAQs</t>
        </is>
      </c>
    </row>
    <row r="27">
      <c r="B27" s="36" t="n"/>
      <c r="C27" s="36" t="n"/>
      <c r="D27" s="36" t="n"/>
    </row>
    <row r="28">
      <c r="B28" s="36" t="n"/>
      <c r="C28" s="36" t="n"/>
      <c r="D28" s="36" t="n"/>
    </row>
    <row r="29">
      <c r="B29" s="36" t="n"/>
      <c r="C29" s="36" t="n"/>
      <c r="D29" s="36" t="n"/>
    </row>
    <row r="31" ht="20" customHeight="1">
      <c r="B31" s="6" t="inlineStr">
        <is>
          <t>SIGNAGE &amp; REMINDERS</t>
        </is>
      </c>
      <c r="C31" s="7" t="n"/>
      <c r="D31" s="7" t="n"/>
      <c r="E31" s="7" t="n"/>
    </row>
    <row r="32" ht="26" customHeight="1">
      <c r="B32" s="35" t="inlineStr">
        <is>
          <t>Sign</t>
        </is>
      </c>
      <c r="C32" s="35" t="inlineStr">
        <is>
          <t>Made by</t>
        </is>
      </c>
      <c r="D32" s="35" t="inlineStr">
        <is>
          <t>Done?</t>
        </is>
      </c>
    </row>
    <row r="33">
      <c r="B33" s="36" t="inlineStr">
        <is>
          <t>Hashtag sign for reception</t>
        </is>
      </c>
      <c r="C33" s="36" t="inlineStr">
        <is>
          <t>Handmade paper co.</t>
        </is>
      </c>
      <c r="D33" s="27" t="n"/>
    </row>
    <row r="34">
      <c r="B34" s="36" t="inlineStr">
        <is>
          <t>Unplugged ceremony sign</t>
        </is>
      </c>
      <c r="C34" s="36" t="inlineStr">
        <is>
          <t>DIY calligraphy</t>
        </is>
      </c>
      <c r="D34" s="27" t="n"/>
    </row>
    <row r="35">
      <c r="B35" s="36" t="inlineStr">
        <is>
          <t>Welcome sign with QR to site</t>
        </is>
      </c>
      <c r="C35" s="36" t="inlineStr">
        <is>
          <t>Poster shop</t>
        </is>
      </c>
      <c r="D35" s="27" t="n"/>
    </row>
    <row r="36">
      <c r="B36" s="36" t="n"/>
      <c r="C36" s="36" t="n"/>
      <c r="D36" s="27" t="n"/>
    </row>
    <row r="37">
      <c r="B37" s="36" t="n"/>
      <c r="C37" s="36" t="n"/>
      <c r="D37" s="2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mergeCells count="7">
    <mergeCell ref="B31:E31"/>
    <mergeCell ref="B1:E1"/>
    <mergeCell ref="B21:E21"/>
    <mergeCell ref="C9:E9"/>
    <mergeCell ref="B11:E11"/>
    <mergeCell ref="B5:E5"/>
    <mergeCell ref="B2:E2"/>
  </mergeCells>
  <conditionalFormatting sqref="D33:D37">
    <cfRule type="cellIs" priority="1" operator="equal" dxfId="0">
      <formula>"Done"</formula>
    </cfRule>
    <cfRule type="cellIs" priority="2" operator="equal" dxfId="1">
      <formula>"Not Yet"</formula>
    </cfRule>
  </conditionalFormatting>
  <dataValidations count="1">
    <dataValidation sqref="D33:D37" showDropDown="0" showInputMessage="0" showErrorMessage="0" allowBlank="1" type="list">
      <formula1>"Done,Not Yet"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tabColor rgb="007FA6A0"/>
    <outlinePr summaryBelow="1" summaryRight="1"/>
    <pageSetUpPr fitToPage="1"/>
  </sheetPr>
  <dimension ref="B1:G24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34" customWidth="1" min="2" max="2"/>
    <col width="14" customWidth="1" min="3" max="3"/>
    <col width="14" customWidth="1" min="4" max="4"/>
    <col width="14" customWidth="1" min="5" max="5"/>
    <col width="18" customWidth="1" min="6" max="6"/>
    <col width="24" customWidth="1" min="7" max="7"/>
  </cols>
  <sheetData>
    <row r="1" ht="30" customHeight="1">
      <c r="B1" s="1" t="inlineStr">
        <is>
          <t>📜  LEGAL &amp; OFFICIANT REQUIREMENTS</t>
        </is>
      </c>
      <c r="C1" s="2" t="n"/>
      <c r="D1" s="2" t="n"/>
      <c r="E1" s="2" t="n"/>
      <c r="F1" s="2" t="n"/>
      <c r="G1" s="3" t="n"/>
    </row>
    <row r="2" ht="15" customHeight="1">
      <c r="B2" s="4" t="inlineStr">
        <is>
          <t>Marriage license, deadlines &amp; witnesses — suggested dates auto-set</t>
        </is>
      </c>
      <c r="C2" s="2" t="n"/>
      <c r="D2" s="2" t="n"/>
      <c r="E2" s="2" t="n"/>
      <c r="F2" s="2" t="n"/>
      <c r="G2" s="3" t="n"/>
    </row>
    <row r="3" ht="12" customHeight="1">
      <c r="B3" s="5" t="inlineStr">
        <is>
          <t>✏️  Cream cells = your input     🔒  Grey cells = protected formulas     •     Novality Store  Version 2.0</t>
        </is>
      </c>
    </row>
    <row r="4" ht="6" customHeight="1"/>
    <row r="8" ht="26" customHeight="1">
      <c r="B8" s="35" t="inlineStr">
        <is>
          <t>Requirement</t>
        </is>
      </c>
      <c r="C8" s="35" t="inlineStr">
        <is>
          <t>Suggested by 🔒</t>
        </is>
      </c>
      <c r="D8" s="35" t="inlineStr">
        <is>
          <t>Done?</t>
        </is>
      </c>
      <c r="E8" s="35" t="inlineStr">
        <is>
          <t>Date done</t>
        </is>
      </c>
      <c r="F8" s="35" t="inlineStr">
        <is>
          <t>Who handles</t>
        </is>
      </c>
      <c r="G8" s="35" t="inlineStr">
        <is>
          <t>Notes</t>
        </is>
      </c>
    </row>
    <row r="9">
      <c r="B9" s="36" t="inlineStr">
        <is>
          <t>Book officiant &amp; confirm credentials</t>
        </is>
      </c>
      <c r="C9" s="32">
        <f>IF(Dashboard!$C$8="","",Dashboard!$C$8-180)</f>
        <v/>
      </c>
      <c r="D9" s="27" t="n"/>
      <c r="E9" s="47" t="n"/>
      <c r="F9" s="36" t="n"/>
      <c r="G9" s="36" t="n"/>
    </row>
    <row r="10">
      <c r="B10" s="36" t="inlineStr">
        <is>
          <t>Check county marriage license rules</t>
        </is>
      </c>
      <c r="C10" s="32">
        <f>IF(Dashboard!$C$8="","",Dashboard!$C$8-120)</f>
        <v/>
      </c>
      <c r="D10" s="27" t="n"/>
      <c r="E10" s="47" t="n"/>
      <c r="F10" s="36" t="n"/>
      <c r="G10" s="36" t="n"/>
    </row>
    <row r="11">
      <c r="B11" s="36" t="inlineStr">
        <is>
          <t>Apply for the marriage license (both of you)</t>
        </is>
      </c>
      <c r="C11" s="32">
        <f>IF(Dashboard!$C$8="","",Dashboard!$C$8-60)</f>
        <v/>
      </c>
      <c r="D11" s="27" t="n"/>
      <c r="E11" s="47" t="n"/>
      <c r="F11" s="36" t="n"/>
      <c r="G11" s="36" t="n"/>
    </row>
    <row r="12">
      <c r="B12" s="36" t="inlineStr">
        <is>
          <t>Confirm witness requirements (usually 2, 18+)</t>
        </is>
      </c>
      <c r="C12" s="32">
        <f>IF(Dashboard!$C$8="","",Dashboard!$C$8-60)</f>
        <v/>
      </c>
      <c r="D12" s="27" t="n"/>
      <c r="E12" s="47" t="n"/>
      <c r="F12" s="36" t="n"/>
      <c r="G12" s="36" t="n"/>
    </row>
    <row r="13">
      <c r="B13" s="36" t="inlineStr">
        <is>
          <t>Pick up the license within its valid window</t>
        </is>
      </c>
      <c r="C13" s="32">
        <f>IF(Dashboard!$C$8="","",Dashboard!$C$8-21)</f>
        <v/>
      </c>
      <c r="D13" s="27" t="n"/>
      <c r="E13" s="47" t="n"/>
      <c r="F13" s="36" t="n"/>
      <c r="G13" s="36" t="n"/>
    </row>
    <row r="14">
      <c r="B14" s="36" t="inlineStr">
        <is>
          <t>Officiant completes &amp; files paperwork on the day</t>
        </is>
      </c>
      <c r="C14" s="32">
        <f>IF(Dashboard!$C$8="","",Dashboard!$C$8)</f>
        <v/>
      </c>
      <c r="D14" s="27" t="n"/>
      <c r="E14" s="47" t="n"/>
      <c r="F14" s="36" t="n"/>
      <c r="G14" s="36" t="n"/>
    </row>
    <row r="15">
      <c r="B15" s="36" t="inlineStr">
        <is>
          <t>Pack license, IDs &amp; vows for the wedding day</t>
        </is>
      </c>
      <c r="C15" s="32">
        <f>IF(Dashboard!$C$8="","",Dashboard!$C$8-7)</f>
        <v/>
      </c>
      <c r="D15" s="27" t="n"/>
      <c r="E15" s="47" t="n"/>
      <c r="F15" s="36" t="n"/>
      <c r="G15" s="36" t="n"/>
    </row>
    <row r="16">
      <c r="B16" s="36" t="inlineStr">
        <is>
          <t>Return signed license to the county clerk</t>
        </is>
      </c>
      <c r="C16" s="32">
        <f>IF(Dashboard!$C$8="","",Dashboard!$C$8+7)</f>
        <v/>
      </c>
      <c r="D16" s="27" t="n"/>
      <c r="E16" s="47" t="n"/>
      <c r="F16" s="36" t="n"/>
      <c r="G16" s="36" t="n"/>
    </row>
    <row r="17">
      <c r="B17" s="36" t="inlineStr">
        <is>
          <t>Order certified copies for name change</t>
        </is>
      </c>
      <c r="C17" s="32">
        <f>IF(Dashboard!$C$8="","",Dashboard!$C$8+21)</f>
        <v/>
      </c>
      <c r="D17" s="27" t="n"/>
      <c r="E17" s="47" t="n"/>
      <c r="F17" s="36" t="n"/>
      <c r="G17" s="36" t="n"/>
    </row>
    <row r="18">
      <c r="B18" s="36" t="inlineStr">
        <is>
          <t>Start the name-change paperwork</t>
        </is>
      </c>
      <c r="C18" s="32">
        <f>IF(Dashboard!$C$8="","",Dashboard!$C$8+30)</f>
        <v/>
      </c>
      <c r="D18" s="27" t="n"/>
      <c r="E18" s="47" t="n"/>
      <c r="F18" s="36" t="n"/>
      <c r="G18" s="36" t="n"/>
    </row>
    <row r="19">
      <c r="B19" s="36" t="n"/>
      <c r="C19" s="32">
        <f>IF(Dashboard!$C$8="","","")</f>
        <v/>
      </c>
      <c r="D19" s="27" t="n"/>
      <c r="E19" s="47" t="n"/>
      <c r="F19" s="36" t="n"/>
      <c r="G19" s="36" t="n"/>
    </row>
    <row r="20">
      <c r="B20" s="36" t="n"/>
      <c r="C20" s="32">
        <f>IF(Dashboard!$C$8="","","")</f>
        <v/>
      </c>
      <c r="D20" s="27" t="n"/>
      <c r="E20" s="47" t="n"/>
      <c r="F20" s="36" t="n"/>
      <c r="G20" s="36" t="n"/>
    </row>
    <row r="21">
      <c r="B21" s="36" t="n"/>
      <c r="C21" s="32">
        <f>IF(Dashboard!$C$8="","","")</f>
        <v/>
      </c>
      <c r="D21" s="27" t="n"/>
      <c r="E21" s="47" t="n"/>
      <c r="F21" s="36" t="n"/>
      <c r="G21" s="36" t="n"/>
    </row>
    <row r="22">
      <c r="B22" s="36" t="n"/>
      <c r="C22" s="32">
        <f>IF(Dashboard!$C$8="","","")</f>
        <v/>
      </c>
      <c r="D22" s="27" t="n"/>
      <c r="E22" s="47" t="n"/>
      <c r="F22" s="36" t="n"/>
      <c r="G22" s="36" t="n"/>
    </row>
    <row r="24">
      <c r="B24" s="60" t="inlineStr">
        <is>
          <t>⚠️  Every county is different — always confirm rules, fees and waiting periods with your local clerk.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EC7C"/>
  <autoFilter ref="B8:G22"/>
  <mergeCells count="2">
    <mergeCell ref="B2:G2"/>
    <mergeCell ref="B1:G1"/>
  </mergeCells>
  <conditionalFormatting sqref="D9:D22">
    <cfRule type="cellIs" priority="1" operator="equal" dxfId="0">
      <formula>"Done"</formula>
    </cfRule>
    <cfRule type="cellIs" priority="2" operator="equal" dxfId="1">
      <formula>"Not Yet"</formula>
    </cfRule>
  </conditionalFormatting>
  <dataValidations count="1">
    <dataValidation sqref="D9:D22" showDropDown="0" showInputMessage="0" showErrorMessage="0" allowBlank="1" type="list">
      <formula1>"Done,Not Yet"</formula1>
    </dataValidation>
  </dataValidations>
  <pageMargins left="0.75" right="0.75" top="1" bottom="1" header="0.5" footer="0.5"/>
  <pageSetup orientation="landscape" fitToHeight="0" fitToWidth="1"/>
  <headerFooter>
    <oddHeader/>
    <oddFooter>&amp;R&amp;8 &amp;KB76E79Novality Store • Wedding Planner Spreadsheet • Version 2.0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Novality Store</dc:creator>
  <dc:title>Wedding Planner Spreadsheet — Version 2.0</dc:title>
  <dc:description>Wedding Planner Spreadsheet Version 2.0 by Novality Store. Formula cells are protected.</dc:description>
  <dc:subject>Wedding planning</dc:subject>
  <dcterms:created xsi:type="dcterms:W3CDTF">2026-08-26T13:04:04Z</dcterms:created>
  <dcterms:modified xsi:type="dcterms:W3CDTF">2026-08-26T13:04:05Z</dcterms:modified>
  <cp:lastModifiedBy>Novality Store</cp:lastModifiedBy>
  <cp:category>Wedding Planner</cp:category>
  <cp:keywords>wedding, planner, budget, checklist, Novality Store</cp:keywords>
</cp:coreProperties>
</file>